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628" codeName="{60716B99-48EF-4627-542C-1B4CF24DBC83}"/>
  <workbookPr updateLinks="never" codeName="ThisWorkbook"/>
  <mc:AlternateContent xmlns:mc="http://schemas.openxmlformats.org/markup-compatibility/2006">
    <mc:Choice Requires="x15">
      <x15ac:absPath xmlns:x15ac="http://schemas.microsoft.com/office/spreadsheetml/2010/11/ac" url="E:\UwAmp\www\TPI\doc\"/>
    </mc:Choice>
  </mc:AlternateContent>
  <xr:revisionPtr revIDLastSave="0" documentId="13_ncr:1_{BFACE8E0-CAB6-4CB4-B892-9FD53AEFBD47}" xr6:coauthVersionLast="47" xr6:coauthVersionMax="47" xr10:uidLastSave="{00000000-0000-0000-0000-000000000000}"/>
  <bookViews>
    <workbookView xWindow="-120" yWindow="-120" windowWidth="38640" windowHeight="21240" activeTab="2"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12" l="1"/>
  <c r="C4" i="10"/>
  <c r="C5" i="10"/>
  <c r="B12" i="10"/>
  <c r="C11" i="10"/>
  <c r="C10" i="10"/>
  <c r="C9" i="10"/>
  <c r="C8" i="10"/>
  <c r="C7" i="10"/>
  <c r="C6" i="10"/>
  <c r="B12" i="12"/>
  <c r="B18" i="12"/>
  <c r="B24" i="12"/>
  <c r="B31" i="12"/>
  <c r="B37" i="12"/>
  <c r="B43" i="12"/>
  <c r="B49" i="12"/>
  <c r="B55" i="12"/>
  <c r="B64" i="12"/>
  <c r="B71" i="12"/>
  <c r="B81" i="12"/>
  <c r="B87" i="12"/>
  <c r="B94" i="12"/>
  <c r="B100" i="12"/>
  <c r="B108" i="12"/>
  <c r="B116" i="12"/>
  <c r="B124" i="12"/>
  <c r="B131" i="12"/>
  <c r="B138" i="12"/>
  <c r="B148" i="12"/>
  <c r="B156" i="12"/>
  <c r="B163" i="12"/>
  <c r="B170" i="12"/>
  <c r="B177" i="12"/>
  <c r="B183" i="12"/>
  <c r="B190" i="12"/>
  <c r="C189" i="12"/>
  <c r="B202" i="12"/>
  <c r="C201" i="12"/>
  <c r="C200" i="12"/>
  <c r="C199" i="12"/>
  <c r="C198" i="12"/>
  <c r="C197" i="12"/>
  <c r="B24" i="10"/>
  <c r="C23" i="10"/>
  <c r="C22" i="10"/>
  <c r="C21" i="10"/>
  <c r="C20" i="10"/>
  <c r="C19" i="10"/>
  <c r="B36" i="10"/>
  <c r="C35" i="10"/>
  <c r="C34" i="10"/>
  <c r="C33" i="10"/>
  <c r="C32" i="10"/>
  <c r="B48" i="10"/>
  <c r="C47" i="10"/>
  <c r="C46" i="10"/>
  <c r="C45" i="10"/>
  <c r="C44" i="10"/>
  <c r="C43" i="10"/>
  <c r="B60" i="10"/>
  <c r="C59" i="10"/>
  <c r="C58" i="10"/>
  <c r="C57" i="10"/>
  <c r="C56" i="10"/>
  <c r="C55" i="10"/>
  <c r="B72" i="10"/>
  <c r="C71" i="10"/>
  <c r="C70" i="10"/>
  <c r="C69" i="10"/>
  <c r="C68" i="10"/>
  <c r="C67" i="10"/>
  <c r="B84" i="10"/>
  <c r="C83" i="10"/>
  <c r="C82" i="10"/>
  <c r="C81" i="10"/>
  <c r="C80" i="10"/>
  <c r="C79" i="10"/>
  <c r="B96" i="10"/>
  <c r="C95" i="10"/>
  <c r="C94" i="10"/>
  <c r="C93" i="10"/>
  <c r="C92" i="10"/>
  <c r="C91" i="10"/>
  <c r="B108" i="10"/>
  <c r="C107" i="10"/>
  <c r="C106" i="10"/>
  <c r="C105" i="10"/>
  <c r="C104" i="10"/>
  <c r="C103" i="10"/>
  <c r="B120" i="10"/>
  <c r="C119" i="10"/>
  <c r="C118" i="10"/>
  <c r="C117" i="10"/>
  <c r="C116" i="10"/>
  <c r="B132" i="10"/>
  <c r="C131" i="10"/>
  <c r="C130" i="10"/>
  <c r="C129" i="10"/>
  <c r="C128" i="10"/>
  <c r="C127" i="10"/>
  <c r="B144" i="10"/>
  <c r="C143" i="10"/>
  <c r="C142" i="10"/>
  <c r="C141" i="10"/>
  <c r="B156" i="10"/>
  <c r="C155" i="10"/>
  <c r="C154" i="10"/>
  <c r="C153" i="10"/>
  <c r="C152" i="10"/>
  <c r="B168" i="10"/>
  <c r="C167" i="10"/>
  <c r="C166" i="10"/>
  <c r="C165" i="10"/>
  <c r="B180" i="10"/>
  <c r="C179" i="10"/>
  <c r="C178" i="10"/>
  <c r="C177" i="10"/>
  <c r="C176" i="10"/>
  <c r="B192" i="10"/>
  <c r="C191" i="10"/>
  <c r="C190" i="10"/>
  <c r="C189" i="10"/>
  <c r="B204" i="10"/>
  <c r="C203" i="10"/>
  <c r="C202" i="10"/>
  <c r="C201" i="10"/>
  <c r="C200" i="10"/>
  <c r="B216" i="10"/>
  <c r="C215" i="10"/>
  <c r="C214" i="10"/>
  <c r="C213" i="10"/>
  <c r="C212" i="10"/>
  <c r="B228" i="10"/>
  <c r="C227" i="10"/>
  <c r="C226" i="10"/>
  <c r="C225" i="10"/>
  <c r="C224" i="10"/>
  <c r="B240" i="10"/>
  <c r="C239" i="10"/>
  <c r="C238" i="10"/>
  <c r="C237" i="10"/>
  <c r="C236" i="10"/>
  <c r="B252" i="10"/>
  <c r="C251" i="10"/>
  <c r="B264" i="10"/>
  <c r="C263" i="10"/>
  <c r="C262" i="10"/>
  <c r="C261" i="10"/>
  <c r="C260" i="10"/>
  <c r="E278" i="10"/>
  <c r="B276" i="10"/>
  <c r="C275" i="10"/>
  <c r="B288" i="10"/>
  <c r="C287" i="10"/>
  <c r="C286" i="10"/>
  <c r="C285" i="10"/>
  <c r="C284" i="10"/>
  <c r="B300" i="10"/>
  <c r="C299" i="10"/>
  <c r="C298" i="10"/>
  <c r="C297" i="10"/>
  <c r="B312" i="10"/>
  <c r="C311" i="10"/>
  <c r="C310" i="10"/>
  <c r="C309" i="10"/>
  <c r="C308" i="10"/>
  <c r="B324" i="10"/>
  <c r="C323" i="10"/>
  <c r="C322" i="10"/>
  <c r="C321" i="10"/>
  <c r="C320" i="10"/>
  <c r="C319" i="10"/>
  <c r="C318" i="10"/>
  <c r="B336" i="10"/>
  <c r="C335" i="10"/>
  <c r="C334" i="10"/>
  <c r="C333" i="10"/>
  <c r="C332" i="10"/>
  <c r="C331" i="10"/>
  <c r="C10" i="15"/>
  <c r="C9" i="15"/>
  <c r="C8" i="15"/>
  <c r="C7" i="15"/>
  <c r="C6" i="15"/>
  <c r="C5" i="15"/>
  <c r="C4" i="15"/>
  <c r="C3" i="15"/>
  <c r="B11" i="15"/>
  <c r="C10" i="16"/>
  <c r="C9" i="16"/>
  <c r="C8" i="16"/>
  <c r="C7" i="16"/>
  <c r="C6" i="16"/>
  <c r="C5" i="16"/>
  <c r="C4" i="16"/>
  <c r="C3" i="16"/>
  <c r="B11" i="16"/>
  <c r="C11" i="16"/>
  <c r="C11" i="15"/>
  <c r="C28" i="10"/>
  <c r="C40" i="10"/>
  <c r="C52" i="10"/>
  <c r="C64" i="10"/>
  <c r="C76" i="10"/>
  <c r="C88" i="10"/>
  <c r="C274" i="10"/>
  <c r="C100" i="10"/>
  <c r="C114" i="10"/>
  <c r="C112" i="10"/>
  <c r="C140" i="10"/>
  <c r="C139" i="10"/>
  <c r="C136" i="10"/>
  <c r="C148" i="10"/>
  <c r="C164" i="10"/>
  <c r="C160" i="10"/>
  <c r="C172" i="10"/>
  <c r="C184" i="10"/>
  <c r="C196" i="10"/>
  <c r="C208" i="10"/>
  <c r="C220" i="10"/>
  <c r="C232" i="10"/>
  <c r="C250" i="10"/>
  <c r="C244" i="10"/>
  <c r="C296" i="10"/>
  <c r="C280" i="10"/>
  <c r="C292" i="10"/>
  <c r="C304" i="10"/>
  <c r="C125" i="10"/>
  <c r="C268" i="10"/>
  <c r="C5" i="12"/>
  <c r="C4" i="12"/>
  <c r="C6" i="12"/>
  <c r="C16" i="10"/>
  <c r="C12" i="10"/>
  <c r="C78" i="10"/>
  <c r="C211" i="10"/>
  <c r="C336" i="10"/>
  <c r="C72" i="10"/>
  <c r="C168" i="10"/>
  <c r="C150" i="10"/>
  <c r="C210" i="10"/>
  <c r="C271" i="10"/>
  <c r="C270" i="10"/>
  <c r="C90" i="10"/>
  <c r="C307" i="10"/>
  <c r="C272" i="10"/>
  <c r="C84" i="10"/>
  <c r="C180" i="10"/>
  <c r="C276" i="10"/>
  <c r="C197" i="10"/>
  <c r="C120" i="10"/>
  <c r="C30" i="10"/>
  <c r="C221" i="10"/>
  <c r="C53" i="10"/>
  <c r="C223" i="10"/>
  <c r="C282" i="10"/>
  <c r="C89" i="10"/>
  <c r="C185" i="10"/>
  <c r="C288" i="10"/>
  <c r="C306" i="10"/>
  <c r="C259" i="10"/>
  <c r="C77" i="10"/>
  <c r="C115" i="10"/>
  <c r="C163" i="10"/>
  <c r="C222" i="10"/>
  <c r="C283" i="10"/>
  <c r="C294" i="10"/>
  <c r="C96" i="10"/>
  <c r="C192" i="10"/>
  <c r="C281" i="10"/>
  <c r="C101" i="10"/>
  <c r="C293" i="10"/>
  <c r="C188" i="10"/>
  <c r="C18" i="10"/>
  <c r="C151" i="10"/>
  <c r="C162" i="10"/>
  <c r="C295" i="10"/>
  <c r="C174" i="10"/>
  <c r="C312" i="10"/>
  <c r="C273" i="10"/>
  <c r="C235" i="10"/>
  <c r="C124" i="10"/>
  <c r="C108" i="10"/>
  <c r="C204" i="10"/>
  <c r="C198" i="10"/>
  <c r="C249" i="10"/>
  <c r="C31" i="10"/>
  <c r="C175" i="10"/>
  <c r="C234" i="10"/>
  <c r="C17" i="10"/>
  <c r="C113" i="10"/>
  <c r="C209" i="10"/>
  <c r="C300" i="10"/>
  <c r="C305" i="10"/>
  <c r="C216" i="10"/>
  <c r="C48" i="10"/>
  <c r="C102" i="10"/>
  <c r="C24" i="10"/>
  <c r="C228" i="10"/>
  <c r="C149" i="10"/>
  <c r="C29" i="10"/>
  <c r="C161" i="10"/>
  <c r="C173" i="10"/>
  <c r="C42" i="10"/>
  <c r="C187" i="10"/>
  <c r="C317" i="10"/>
  <c r="C36" i="10"/>
  <c r="C132" i="10"/>
  <c r="C240" i="10"/>
  <c r="C60" i="10"/>
  <c r="C186" i="10"/>
  <c r="C330" i="10"/>
  <c r="C41" i="10"/>
  <c r="C137" i="10"/>
  <c r="C233" i="10"/>
  <c r="C328" i="10"/>
  <c r="C269" i="10"/>
  <c r="C54" i="10"/>
  <c r="C126" i="10"/>
  <c r="C246" i="10"/>
  <c r="C316" i="10"/>
  <c r="C144" i="10"/>
  <c r="C138" i="10"/>
  <c r="C199" i="10"/>
  <c r="C329" i="10"/>
  <c r="C156" i="10"/>
  <c r="C65" i="10"/>
  <c r="C66" i="10"/>
  <c r="C324" i="10"/>
  <c r="C11" i="12"/>
  <c r="C10" i="12"/>
  <c r="C17" i="12"/>
  <c r="C16" i="12"/>
  <c r="C94" i="12"/>
  <c r="C69" i="12"/>
  <c r="C104" i="12"/>
  <c r="C108" i="12"/>
  <c r="C98" i="12"/>
  <c r="C22" i="12"/>
  <c r="C85" i="12"/>
  <c r="C153" i="12"/>
  <c r="C148" i="12"/>
  <c r="C143" i="12"/>
  <c r="C43" i="12"/>
  <c r="C124" i="12"/>
  <c r="C55" i="12"/>
  <c r="C152" i="12"/>
  <c r="C28" i="12"/>
  <c r="C105" i="12"/>
  <c r="C131" i="12"/>
  <c r="C81" i="12"/>
  <c r="C202" i="12"/>
  <c r="C71" i="12"/>
  <c r="C190" i="12"/>
  <c r="C78" i="12"/>
  <c r="C24" i="12"/>
  <c r="C168" i="12"/>
  <c r="C187" i="12"/>
  <c r="C130" i="12"/>
  <c r="C30" i="12"/>
  <c r="C136" i="12"/>
  <c r="C113" i="12"/>
  <c r="C53" i="12"/>
  <c r="C18" i="12"/>
  <c r="C176" i="12"/>
  <c r="C112" i="12"/>
  <c r="C41" i="12"/>
  <c r="C114" i="12"/>
  <c r="C174" i="12"/>
  <c r="C54" i="12"/>
  <c r="C93" i="12"/>
  <c r="C188" i="12"/>
  <c r="C61" i="12"/>
  <c r="C47" i="12"/>
  <c r="C23" i="12"/>
  <c r="C12" i="12"/>
  <c r="C91" i="12"/>
  <c r="C170" i="12"/>
  <c r="C146" i="12"/>
  <c r="C107" i="12"/>
  <c r="C63" i="12"/>
  <c r="C29" i="12"/>
  <c r="C160" i="12"/>
  <c r="C135" i="12"/>
  <c r="C62" i="12"/>
  <c r="C122" i="12"/>
  <c r="C194" i="12"/>
  <c r="C31" i="12"/>
  <c r="C147" i="12"/>
  <c r="C120" i="12"/>
  <c r="C87" i="12"/>
  <c r="C76" i="12"/>
  <c r="C77" i="12"/>
  <c r="C167" i="12"/>
  <c r="C155" i="12"/>
  <c r="C156" i="12"/>
  <c r="C60" i="12"/>
  <c r="C36" i="12"/>
  <c r="C163" i="12"/>
  <c r="C128" i="12"/>
  <c r="C145" i="12"/>
  <c r="C59" i="12"/>
  <c r="C37" i="12"/>
  <c r="C121" i="12"/>
  <c r="C68" i="12"/>
  <c r="C106" i="12"/>
  <c r="C64" i="12"/>
  <c r="C35" i="12"/>
  <c r="C138" i="12"/>
  <c r="C99" i="12"/>
  <c r="C79" i="12"/>
  <c r="C181" i="12"/>
  <c r="C137" i="12"/>
  <c r="C115" i="12"/>
  <c r="C183" i="12"/>
  <c r="C142" i="12"/>
  <c r="C169" i="12"/>
  <c r="C100" i="12"/>
  <c r="C42" i="12"/>
  <c r="C195" i="12"/>
  <c r="C80" i="12"/>
  <c r="C154" i="12"/>
  <c r="C162" i="12"/>
  <c r="C92" i="12"/>
  <c r="C70" i="12"/>
  <c r="C123" i="12"/>
  <c r="C75" i="12"/>
  <c r="C129" i="12"/>
  <c r="C161" i="12"/>
  <c r="C175" i="12"/>
  <c r="C196" i="12"/>
  <c r="C48" i="12"/>
  <c r="C182" i="12"/>
  <c r="C86" i="12"/>
  <c r="C49" i="12"/>
  <c r="C144" i="12"/>
  <c r="C116" i="12"/>
  <c r="C177" i="12"/>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C247" i="10"/>
  <c r="C248" i="10"/>
  <c r="C245" i="10"/>
  <c r="C252" i="10"/>
  <c r="C256" i="10"/>
  <c r="C258" i="10"/>
  <c r="C257" i="10"/>
  <c r="C264" i="10"/>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<sst xmlns="http://schemas.openxmlformats.org/spreadsheetml/2006/main" count="1277" uniqueCount="244">
  <si>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</si>
  <si>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</si>
  <si>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</si>
  <si>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</si>
  <si>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</si>
  <si>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</si>
  <si>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</si>
  <si>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</si>
  <si>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</si>
  <si>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</si>
  <si>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</si>
  <si>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</si>
  <si>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</si>
  <si>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</si>
  <si>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</si>
  <si>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</si>
  <si>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</si>
  <si>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</si>
  <si>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</si>
  <si>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</si>
  <si>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</si>
  <si>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</si>
  <si>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</si>
  <si>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</si>
  <si>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</si>
  <si>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</si>
  <si>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</si>
  <si>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</si>
  <si>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</si>
  <si>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</si>
  <si>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</si>
  <si>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</si>
  <si>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</si>
  <si>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</si>
  <si>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</si>
  <si>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</si>
  <si>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</si>
  <si>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</si>
  <si>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</si>
  <si>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</si>
  <si>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</si>
  <si>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Matin</t>
  </si>
  <si>
    <t>Après-midi</t>
  </si>
  <si>
    <t>TPI</t>
  </si>
  <si>
    <t>Leonar Dupuis</t>
  </si>
  <si>
    <t>FIN2</t>
  </si>
  <si>
    <t>ETML - Vennes</t>
  </si>
  <si>
    <t>Du 13.05.2024 au 03.06.2024</t>
  </si>
  <si>
    <t>CDC - Validation</t>
  </si>
  <si>
    <t>Réalisation - Authentification</t>
  </si>
  <si>
    <t>Réalisation - Opérations CRUD</t>
  </si>
  <si>
    <t>Réalisation - Modifier la liste des participants de l'activité</t>
  </si>
  <si>
    <t>Réalisation - Consulter les activités</t>
  </si>
  <si>
    <t>Réalisation - Consulter un profil utilisateur</t>
  </si>
  <si>
    <t>Réalisation - Base de donnée</t>
  </si>
  <si>
    <t>Analyse - Maquette du site web</t>
  </si>
  <si>
    <t>Analyse - Schéma de la base de donnée</t>
  </si>
  <si>
    <t xml:space="preserve">Début de la planification initiale </t>
  </si>
  <si>
    <t>Début de la conception de la charte graphique et de la maquette du site web.</t>
  </si>
  <si>
    <t>Finalisation de la planification.</t>
  </si>
  <si>
    <t>Fin de la conception de la charte graphique et de la maquette du site web.</t>
  </si>
  <si>
    <t xml:space="preserve">Début de la rédaction du rapport du TPI </t>
  </si>
  <si>
    <t xml:space="preserve">Documentation sur la méthode MERISE pour la base de données. </t>
  </si>
  <si>
    <t>Début de la conception du schéma de la base de donnée.</t>
  </si>
  <si>
    <t>Recherches de la définition d'une charte graphique, la différence avec une maquette et plusieurs exemples.</t>
  </si>
  <si>
    <t xml:space="preserve">Fin de la conception du schéma de la base de donnée. </t>
  </si>
  <si>
    <t>Documentation en ligne</t>
  </si>
  <si>
    <t>Avancement dans le rapport.</t>
  </si>
  <si>
    <t xml:space="preserve">Réalisation d'un système d'authentification pseudo/mdp simple sur le site web, système de création d'un compte non demandé. </t>
  </si>
  <si>
    <t>Tests de la fonctionnalité d'authentification.</t>
  </si>
  <si>
    <t>Reçu et signature du cahier des charges après entretien avec l'expert, réponses aux éventuelles questions.</t>
  </si>
  <si>
    <t>Fin de l'implémentation des opérations CRUD pour les activités en tant qu'enseignant</t>
  </si>
  <si>
    <t>Tests de l'implémentation des opérations CRUD</t>
  </si>
  <si>
    <t xml:space="preserve">Implémenter la possibilité pour un organisateur d'afficher la liste des participants, et de supprimer ou ajouter des participants dans son activité. </t>
  </si>
  <si>
    <t>Fin de l'implémentation de la fonctionnalité</t>
  </si>
  <si>
    <t>Tenu du journal de travail</t>
  </si>
  <si>
    <t>Tests de l'implémentation permettant de modifier la liste des participants de l'activité.</t>
  </si>
  <si>
    <t>Avancement dans la rédaction du rapport.</t>
  </si>
  <si>
    <t>Avancement dans la rédaction rapport.</t>
  </si>
  <si>
    <t>Réalisation - S'inscrire à une activité</t>
  </si>
  <si>
    <t xml:space="preserve">Tests vérifiant que la connexion à la base de données à bien été réalisée. </t>
  </si>
  <si>
    <t xml:space="preserve">Création de la base de donnée MySQL en se référant au schéma réalisé et importation de celle-ci sur PhpMyAdmin. Effectuer une connexion depuis le site web à la base de données.  </t>
  </si>
  <si>
    <t>Tests - Résultats et analyses</t>
  </si>
  <si>
    <t xml:space="preserve">Implémentation pour un enseignant la possibilité d'ajouter, modifier, supprimer et afficher les détails d'une activité. </t>
  </si>
  <si>
    <t>Implémentation de la fonctionnalité permettant à un élève de consulter la liste des activités et afficher les détails.</t>
  </si>
  <si>
    <t>Tests de l'implémentation permettant de consulter les activités.</t>
  </si>
  <si>
    <t>Fin de l''implémentation de la fonctionnalité.</t>
  </si>
  <si>
    <t>Recherches techniques pour les méthodes SQL afin de savoir comment implémenter une limite d'inscription pour une activité.</t>
  </si>
  <si>
    <t>Implémentation de la fonctionnalité permettant de s'inscrire à une activité si le nombre maximal de participant n'est pas atteint.</t>
  </si>
  <si>
    <t>Tests de la fonctionnalité permettant de s'inscrire à une activité.</t>
  </si>
  <si>
    <t>Fin de l'implémentation de la fonctionnalité.</t>
  </si>
  <si>
    <t>Implémentation de la fonctionnalité permettant de consulter un profil utilisateur.</t>
  </si>
  <si>
    <t>Tenu du journal de travail.</t>
  </si>
  <si>
    <t>Analyse - Stratégies des tests</t>
  </si>
  <si>
    <t>Etablir les stratégies de tests pour les fonctionnalités à tester dans le projet.</t>
  </si>
  <si>
    <t xml:space="preserve">Avancement dans le rapport. </t>
  </si>
  <si>
    <t>Vérification de l'ortographe, phrases/syntaxes dans le rapport.</t>
  </si>
  <si>
    <t>Exportation PDF et relecture final du rapport.</t>
  </si>
  <si>
    <t>lundi, 13 mai 2024</t>
  </si>
  <si>
    <t>mardi, 14 mai 2024</t>
  </si>
  <si>
    <t>mercredi, 15 mai 2024</t>
  </si>
  <si>
    <t>jeudi, 16 mai 2024</t>
  </si>
  <si>
    <t>vendredi, 17 mai 2024</t>
  </si>
  <si>
    <t>mardi, 21 mai 2024</t>
  </si>
  <si>
    <t>mercredi, 22 mai 2024</t>
  </si>
  <si>
    <t>jeudi, 23 mai 2024</t>
  </si>
  <si>
    <t>vendredi, 24 mai 2024</t>
  </si>
  <si>
    <t>lundi, 27 mai 2024</t>
  </si>
  <si>
    <t>mardi, 28 mai 2024</t>
  </si>
  <si>
    <t>mercredi, 29 mai 2024</t>
  </si>
  <si>
    <t>jeudi, 30 mai 2024</t>
  </si>
  <si>
    <t>vendredi, 31 mai 2024</t>
  </si>
  <si>
    <t>lundi, 3 juin 2024</t>
  </si>
  <si>
    <t>Séquence 27</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</si>
  <si>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</si>
  <si>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</si>
  <si>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</si>
  <si>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</si>
  <si>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</si>
  <si>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</si>
  <si>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</si>
  <si>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</si>
  <si>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</si>
  <si>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</si>
  <si>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</si>
  <si>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</si>
  <si>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</si>
  <si>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</si>
  <si>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</si>
  <si>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</si>
  <si>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</si>
  <si>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</si>
  <si>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</si>
  <si>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</si>
  <si>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</si>
  <si>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</si>
  <si>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Séquence 4</t>
  </si>
  <si>
    <t>88h</t>
  </si>
  <si>
    <t>Test final du projet afin de vérifier avant l'envoi</t>
  </si>
  <si>
    <t>Implémentation de la fonctionnalité.</t>
  </si>
  <si>
    <t>Fin implémentation.</t>
  </si>
  <si>
    <t>Tests en tant qu'utilisateur final et correction des éventuels derniers bugs et dernière implémentation.</t>
  </si>
  <si>
    <t>Validation CDC</t>
  </si>
  <si>
    <t>Génération d'un logo pour le site web, résultat convaincant au bout de la deuixième génération. Utilisation de ChatGPT4 avec l'extension DALL-E permettant la génération d'image.</t>
  </si>
  <si>
    <t>https://chat.openai.com</t>
  </si>
  <si>
    <t xml:space="preserve">Rédaction de la partie "Planification", début de la "Conception" dans Analyse, du Titre, et d'un objectif complémentaire "Si le temps le permet.." dans le rapport.  </t>
  </si>
  <si>
    <t>Etant en retard sur ma planification initiale, j'aurai préféré avoir réalisé minimum 3 pages de la maquette web, mais je suis satisfait de savoir dans quelle direction je vais concernant l'aspect visuelle. J'arrive à me mettre dans la peau de l'utilisateur et voir où les éléments devraient être placés.</t>
  </si>
  <si>
    <t>Génération d'un nouveau logo -&gt; L'ancien est beaucoup trop chargé, alors j'ai décidé d'en générer un nouveau sur ChatGPT4 - Extension DALL-E plus simple en gardant l'aspect énergique. Début de la maquette web sur FIGMA, en utilisant le logo sur le site, page d'accueil presque terminé.</t>
  </si>
  <si>
    <t>https://www.figma.com/</t>
  </si>
  <si>
    <t>Remplacement du logo dans la page de garde et dans la partie Analyse/Concept. Rédaction dans la partie description du rapport en expliquant le contexte et les intérêts de ce site, de la partie Matériel et Prérequis. Création d'un tableau dans le dossier des tests contenant les futurs fonctionnalités qui devront être testés sur le site web.</t>
  </si>
  <si>
    <t xml:space="preserve">70% de la maquette du site web finie sur Figma, il manque la page de gestion d'erreur pour la connexion et la possibilité de viister les profils utilisateurs (élèves et enseignant). </t>
  </si>
  <si>
    <t>Recherche d'une image paysage représentant des gens dessinés représentant des activités à insérer à la page d'accueil du site web (prompt : people doing activities free png)</t>
  </si>
  <si>
    <t>https://www.freepik.com/free-vector/people-doing-summer-sports_9447449.htm#query=outdoor%20sport&amp;position=8&amp;from_view=keyword&amp;track=ais_user&amp;uuid=b546840f-12c3-457d-b737-46b77639cda2</t>
  </si>
  <si>
    <t xml:space="preserve">Maquettes sur Figma terminées à 100% </t>
  </si>
  <si>
    <t>Réalisation du MCD/MLD, avancé à 75%. 3 tables ont été créées (student, activity, teacher). Clé nommé selon les conventions de nommages de l'ETML.</t>
  </si>
  <si>
    <t xml:space="preserve">Réalisation - Interface graphique </t>
  </si>
  <si>
    <t xml:space="preserve">Schémas de la base de données finis à 100% (MCD, MLD, MPD). </t>
  </si>
  <si>
    <t>https://www.lucidchart.com/blog/fr/bases-de-donnees-mcd-mld-et-mpd  https://www.youtube.com/watch?v=XUOYmqdGOs4</t>
  </si>
  <si>
    <t>Doute sur le MPD -&gt; Recherche de la définition sur internet, afin de vérifier qu'il s'agit bien de la version physique de la base de données. Recherche d'une vidéo montrant comment accéder au MPD sur phpmyadmin. (Sélectionner la DB -&gt; Concepteur en haut à droite)</t>
  </si>
  <si>
    <t>Insertion des schémas dans le rapport et explication de la méthodologie de la création de ceux-ci (suivi de la méthode MERISE, des trois premières formes normales).</t>
  </si>
  <si>
    <t>Connexion à la base de donnée dans la méthode construct() de ma page database.php placé dans la partie "models" de ma structure de dossier web.</t>
  </si>
  <si>
    <t>Rattrapage du retard de la planification initiale grâce aux schémas de la base de données qui ont pris moins de temps que prévu (avancé déjà à 75% ~). Maximum une heure devrait suffire demain pour finir le travail. L'avancé a été bonne cette après-midi.</t>
  </si>
  <si>
    <t>Stratégies de tests établies -&gt; des tests unitaires, d'intégration ainsi que des tests de sécurité vont être manuellement effectuer pour tester les fonctionnalités futurs.</t>
  </si>
  <si>
    <t>Insertion des screens de la maquette du site webs, 2 screens par page pour que ce soit lisible, et rédaction des choix portés sur la maquette. Chaque page de la maquette est légendée. Rédaction de la méthodologie waterfall dans la partie analyse du rapport.</t>
  </si>
  <si>
    <t>Je rattrape lentement mon retard sur la planification initiale, même si les pages de ma maquette web me demandent de respecter des points UX importants qui ne doivent pas être négligés. Le rendu des maquettes me semblent crédibles et la direction graphique cohérente.</t>
  </si>
  <si>
    <t>Réalisation de l'interface graphique de base du site web fini à 100%. En basant sur les maquettes web créées et des éléments CSS déjà créés dans mon projet pré-TPI (P_Appro2), la partie HTML/CSS de mon index est terminé.</t>
  </si>
  <si>
    <t>La méthodologie waterfall me permet de bien séquencer mon travail en plusieurs parties et d'y voir clair : la partie conception/analyse est maintenant terminé et je vais pouvoir me concentrer sur la partie implémentation dès la semaine prochaine.</t>
  </si>
  <si>
    <t>Relecture et correction des fautes d'ortographes, mise en page des sauts de pages aux bonnes endroits</t>
  </si>
  <si>
    <t>Aucun problème rencontré. La base de donnée est fonctionnelle et importé sans erreur sur PhpMyAdmin, ce qui va me permettre de poursuivre vers la partie pratique de mon projet.</t>
  </si>
  <si>
    <t>Planification initiale -&gt; retard dans l'envoi du à un problème dans l'exportation du fichier qui est trop volumineux.</t>
  </si>
  <si>
    <t>Partie planification très compliqué du au modèle Excel de l'ETML qui crash si une exportation échoue, mais la planification a bien été fini.</t>
  </si>
  <si>
    <t>Une journée semble compliqué pour planifier tout un TPI, mais ma planification me permet de voir clair les tâches à réaliser.</t>
  </si>
  <si>
    <t>Début de la planification initiale -&gt; insertion des dates et création des tâches</t>
  </si>
  <si>
    <t>Planification initiale - Léger retard du à la quantité de tâches à planifier, planification réalisé à 90%.</t>
  </si>
  <si>
    <t xml:space="preserve">Début de la partie conception convaincante pour la suite. </t>
  </si>
  <si>
    <t>Fonctionnalité fini à 100%. Deuxième méthode registerUser terminé (il s'agit de l'inscription, malgré que optionnel).</t>
  </si>
  <si>
    <t xml:space="preserve">Implémentation du système d'authentification -&gt; Fini à 70%. Première méthode checkLogin créée. </t>
  </si>
  <si>
    <t>L'authentification prend plus de temps que prévu. La partie view et controller du formulaire est assez simple, mais la partie models m'a donné du fil à retodre à cause des deux tables (t_teacher et t_user) différentes, alors j'ai reanalyser mes schémas pour en faire que une table (t_user). Moyennement satisfait du travail de ce matin.</t>
  </si>
  <si>
    <t>Renalalyse du MCD, MLD et MPD -&gt; Supression des tables t_teacher et t_student pour créé une seule appeler t_user (optimisation), avec un nouveau champ non clé "useType" pour identifier s'il s'agit d'un enseignant ou d'un écolier.</t>
  </si>
  <si>
    <t>Rédaction dans le rapport du début de la partie réalisation du projet (screens pour la partie authentification) et insertion des nouveaux schémas créés le matin même avec t_user.</t>
  </si>
  <si>
    <t>Travail satisfaisant pour cette fin d'après-midi -&gt; La première fonctionnalité du site a été entièrement implémenté. En suivant ma méthodologie de projet waterfall, qui consiste à effectuer des tests continus tout le long du projet, j'appliquerai donc des tests d'intégration demain sur cette fonctionnalité.</t>
  </si>
  <si>
    <t>Test de la fonctionnalité de connexion, inscription -&gt; Quand un utilisateur oubli un champ pour l'inscription, celui-ci est obligé de revenir dessus pour le complété. Quand un utilisateur remplit faux un champ pour la connexion, un message d'erreur en rouge survient pour lui dire que c'est incorrect. Un QueryPrepare est utilisé pour segmenté les étapes (Prépare, exécute et gère les erreurs) pour chaque méthode (registerUser et checkLogin).</t>
  </si>
  <si>
    <t>Réalisation - Détails de l'utilisateur</t>
  </si>
  <si>
    <t>Légendes dans la partie réalisation des screens insérés la veille, et explication de chaque étape pour créer/se connecter à la db et de la partie authentification.</t>
  </si>
  <si>
    <t xml:space="preserve">Page détails des utilisateurs fini à 100% -&gt; L'utilisateur peut consulter son propre profil, et modifier s'il le souhaite ses informations de profil. </t>
  </si>
  <si>
    <t>L'avancé de mon projet est satisfaisante, mais s'éloigne de plus en plus de ma planification initiale, en raison notamment de détails sur des fonctionnalités que je n'avais pas spécifié au début. Ma méthode de gestion de projet me permet de garder une bonne ligne conductrice sur le travail a réaliser. J'ai néanmoins bien avancé mon rapport et suis content d'avoir implémenté une fonctionnalité aujourd'hui aussi vite. Des tests unitaires dessus seront réalisés la prochaine fois.</t>
  </si>
  <si>
    <t>Les fonctionnalités CRUD demandent plus de temps que je pensais à mettre en place en raison du nombre de fonctions qu'elles demandent pour être utilisables. N'ayant pas rencontré de problème majeur durant la matinée, je suis satisfait de l'avancé.</t>
  </si>
  <si>
    <t xml:space="preserve">Test unitaire de la fonctionnalité permettant de modifier son profil (updateUserInfo) -&gt; Si aucun champ n'est saisi, la fonction n'est pas appelé. Pareil si l'adresse mail n'est pas une adresse mail ( donc pas de "@"). Des regex vérifient que le nom et prénom contiennent uniquement des lettres. </t>
  </si>
  <si>
    <r>
      <t>Implémentation à 50% du CRUD. La fonctionnalité permettant de créé une activité est fonctionnelle</t>
    </r>
    <r>
      <rPr>
        <sz val="10"/>
        <rFont val="Century Gothic"/>
        <family val="2"/>
        <scheme val="minor"/>
      </rPr>
      <t xml:space="preserve"> et la fonctionnalité permettant de modifier une activité aussi (</t>
    </r>
    <r>
      <rPr>
        <b/>
        <u/>
        <sz val="10"/>
        <rFont val="Century Gothic"/>
        <family val="2"/>
        <scheme val="minor"/>
      </rPr>
      <t>C</t>
    </r>
    <r>
      <rPr>
        <b/>
        <sz val="10"/>
        <rFont val="Century Gothic"/>
        <family val="2"/>
        <scheme val="minor"/>
      </rPr>
      <t xml:space="preserve"> </t>
    </r>
    <r>
      <rPr>
        <sz val="10"/>
        <rFont val="Century Gothic"/>
        <family val="2"/>
        <scheme val="minor"/>
      </rPr>
      <t xml:space="preserve">R </t>
    </r>
    <r>
      <rPr>
        <b/>
        <u/>
        <sz val="10"/>
        <rFont val="Century Gothic"/>
        <family val="2"/>
        <scheme val="minor"/>
      </rPr>
      <t>U</t>
    </r>
    <r>
      <rPr>
        <b/>
        <sz val="10"/>
        <rFont val="Century Gothic"/>
        <family val="2"/>
        <scheme val="minor"/>
      </rPr>
      <t xml:space="preserve"> </t>
    </r>
    <r>
      <rPr>
        <sz val="10"/>
        <rFont val="Century Gothic"/>
        <family val="2"/>
        <scheme val="minor"/>
      </rPr>
      <t>D). Les méthodes créées sont :</t>
    </r>
    <r>
      <rPr>
        <b/>
        <sz val="10"/>
        <rFont val="Century Gothic"/>
        <family val="2"/>
        <scheme val="minor"/>
      </rPr>
      <t xml:space="preserve"> createActivity</t>
    </r>
    <r>
      <rPr>
        <sz val="10"/>
        <rFont val="Century Gothic"/>
        <family val="2"/>
        <scheme val="minor"/>
      </rPr>
      <t xml:space="preserve">, </t>
    </r>
    <r>
      <rPr>
        <b/>
        <sz val="10"/>
        <rFont val="Century Gothic"/>
        <family val="2"/>
        <scheme val="minor"/>
      </rPr>
      <t>getActivityById</t>
    </r>
    <r>
      <rPr>
        <sz val="10"/>
        <rFont val="Century Gothic"/>
        <family val="2"/>
        <scheme val="minor"/>
      </rPr>
      <t xml:space="preserve"> et </t>
    </r>
    <r>
      <rPr>
        <b/>
        <sz val="10"/>
        <rFont val="Century Gothic"/>
        <family val="2"/>
        <scheme val="minor"/>
      </rPr>
      <t>updateActivity</t>
    </r>
  </si>
  <si>
    <r>
      <t xml:space="preserve">Implémentation à 100% du CRUD. La fonctionnalité pour afficher les détails d'une activité ainsi que la fonctionnalité pour supprimer une activité a été réalisé. Les méthodes </t>
    </r>
    <r>
      <rPr>
        <b/>
        <sz val="10"/>
        <rFont val="Century Gothic"/>
        <family val="2"/>
        <scheme val="minor"/>
      </rPr>
      <t xml:space="preserve">getActivitiesForUser </t>
    </r>
    <r>
      <rPr>
        <sz val="10"/>
        <rFont val="Century Gothic"/>
        <family val="2"/>
        <scheme val="minor"/>
      </rPr>
      <t xml:space="preserve">et </t>
    </r>
    <r>
      <rPr>
        <b/>
        <sz val="10"/>
        <rFont val="Century Gothic"/>
        <family val="2"/>
        <scheme val="minor"/>
      </rPr>
      <t xml:space="preserve">deleteActivity </t>
    </r>
    <r>
      <rPr>
        <sz val="10"/>
        <rFont val="Century Gothic"/>
        <family val="2"/>
        <scheme val="minor"/>
      </rPr>
      <t xml:space="preserve">ont été ajoutés à database.php </t>
    </r>
  </si>
  <si>
    <t>L'avancé est conséquente aujourd'hui en terme de code, ce qui me motive encore plus car le site web prend bien forme. La prochaine fois, j'effectuerai des tests pour les opérations CRUD.</t>
  </si>
  <si>
    <r>
      <t xml:space="preserve">Tests des opérations CRUD. </t>
    </r>
    <r>
      <rPr>
        <b/>
        <sz val="10"/>
        <rFont val="Century Gothic"/>
        <family val="2"/>
        <scheme val="minor"/>
      </rPr>
      <t>Création</t>
    </r>
    <r>
      <rPr>
        <sz val="10"/>
        <rFont val="Century Gothic"/>
        <family val="2"/>
        <scheme val="minor"/>
      </rPr>
      <t xml:space="preserve"> -&gt; Test unitaire en tant qu'enseignant, la méthode pour la création d'activité est appelé uniquement si tous les champs sont rentrés dans la partie Views, Pareil pour la </t>
    </r>
    <r>
      <rPr>
        <b/>
        <sz val="10"/>
        <rFont val="Century Gothic"/>
        <family val="2"/>
        <scheme val="minor"/>
      </rPr>
      <t>modification</t>
    </r>
    <r>
      <rPr>
        <sz val="10"/>
        <rFont val="Century Gothic"/>
        <family val="2"/>
        <scheme val="minor"/>
      </rPr>
      <t xml:space="preserve"> de l'activité. Dans les conditions, les champs négatifs et le nombre de participant '0' n'est pas autorisé, au risque qu'aucun Eleve ne puisse participer. La page </t>
    </r>
    <r>
      <rPr>
        <b/>
        <sz val="10"/>
        <rFont val="Century Gothic"/>
        <family val="2"/>
        <scheme val="minor"/>
      </rPr>
      <t>détails</t>
    </r>
    <r>
      <rPr>
        <sz val="10"/>
        <rFont val="Century Gothic"/>
        <family val="2"/>
        <scheme val="minor"/>
      </rPr>
      <t xml:space="preserve"> de l'activité est visible, et la liste des participants en relation avec l'activité est visible pour tous, mais seul les enseignants peuvent ajouter ou supprimer des participants. Dans la page "Mes activités", s'il le souhaite, l'enseignant peut </t>
    </r>
    <r>
      <rPr>
        <b/>
        <sz val="10"/>
        <rFont val="Century Gothic"/>
        <family val="2"/>
        <scheme val="minor"/>
      </rPr>
      <t>supprimer</t>
    </r>
    <r>
      <rPr>
        <sz val="10"/>
        <rFont val="Century Gothic"/>
        <family val="2"/>
        <scheme val="minor"/>
      </rPr>
      <t xml:space="preserve"> une activité, ce qui entrainera la désinscription de tous les participants à cette activité pour éviter les potentielles erreurs.</t>
    </r>
  </si>
  <si>
    <t>Implémentation à 50% de la fonctionnalité permettant à un élève de s'inscrire ou se désinscrire à une activité (Uniquement désincription implémenté depuis la page "mes activités").</t>
  </si>
  <si>
    <t>La partie implémentation a bien avancé ce matin, je suis satisfait d'avoir clôturé la partie CRUD pour enfin toucher à d'autres fonctionnalités. La discussion avec mon export ce matin m'a permis de me refocaliser sur certaines choses, et je sais que cette après-midi va être dédié au rapport.</t>
  </si>
  <si>
    <t xml:space="preserve">https://www.w3schools.com/php/php_mysql_prepared_statements.asp </t>
  </si>
  <si>
    <t>https://developer.mozilla.org/fr/docs/Glossary/CRUD</t>
  </si>
  <si>
    <t xml:space="preserve">Recherches sur internet pour comprendre les initiales de CRUD </t>
  </si>
  <si>
    <t>Rédaction dans le rapport de la partie réalisation -&gt; Environnement de travail expliqué via un readme également présent à la racine du projet, et explication du patterne MVC et comment il est utilisé dans le mon arborescence web. Explication de la navigation dans les détails du compte d'un utilisateur, et de la méthode updateUserInfo qui y est associé. Début de la rédaction de la partie "opérations CRUD" en expliquant la méthode de création d'une activité (createActivity) et de la méthode qui recherche une activité associé à un utilisateur (getActivitiesForUser).</t>
  </si>
  <si>
    <t xml:space="preserve">Ayant énormément avancé ces deux derniers jours sur la partie implémentation de mon projet, je pense avoir pratiquement rattrapé tout mon retard sur ma planification initiale. Etant plongé dans la phase implémentation de mon projet, j'essaye de maintenir désormais un bon historique de version avec git comme je l'avais organisé avec ma méthodologie de projet. Je suis très content de l'avancé. </t>
  </si>
  <si>
    <t xml:space="preserve">Correction d'un bug qui répétait la même activité en boucle dans la liste des activités personnelles de l'utilisateur. Ajout d'une ligne "unset" dans "MyActivities.php" pour casser le dernier élément référé </t>
  </si>
  <si>
    <t>https://www.w3schools.com/PHP/func_var_unset.asp</t>
  </si>
  <si>
    <t>Recherches d'un fonction permettant de passé d'un argument à un autre à cause de l'apparition d'un bug dans un foreach sur ma page MyActivities.php -&gt; fonction trouvée : unset</t>
  </si>
  <si>
    <t>https://www.w3schools.com/sql//sql_count.asp</t>
  </si>
  <si>
    <t>Rappel de comment utiliser la fonction count en SQL</t>
  </si>
  <si>
    <t>J'effectuerai les tests des deux dernières méthodes implémentés demain, en espérant pouvoir clôturer la partie implémentation en fin de matinée et me concentrer sur la documentation l'après-midi. Je suis satisfait du travail en voyant mon JDT de plus en plus fidèle à la planification initiale.</t>
  </si>
  <si>
    <r>
      <t xml:space="preserve">Inscription à une activité fini à 100% -&gt; Ajout de la méthode </t>
    </r>
    <r>
      <rPr>
        <b/>
        <sz val="10"/>
        <rFont val="Century Gothic"/>
        <family val="2"/>
        <scheme val="minor"/>
      </rPr>
      <t>checkActivityCapacity</t>
    </r>
    <r>
      <rPr>
        <sz val="10"/>
        <rFont val="Century Gothic"/>
        <family val="2"/>
        <scheme val="minor"/>
      </rPr>
      <t xml:space="preserve"> pour ne pas dépasser le seuil maximal de participants. Utilisation d'un count dans la méthode, déduis par le nombre d'enseignant dans l'activité. Si </t>
    </r>
    <r>
      <rPr>
        <b/>
        <sz val="10"/>
        <rFont val="Century Gothic"/>
        <family val="2"/>
        <scheme val="minor"/>
      </rPr>
      <t>supérieur</t>
    </r>
    <r>
      <rPr>
        <sz val="10"/>
        <rFont val="Century Gothic"/>
        <family val="2"/>
        <scheme val="minor"/>
      </rPr>
      <t xml:space="preserve"> ou </t>
    </r>
    <r>
      <rPr>
        <b/>
        <sz val="10"/>
        <rFont val="Century Gothic"/>
        <family val="2"/>
        <scheme val="minor"/>
      </rPr>
      <t>égal</t>
    </r>
    <r>
      <rPr>
        <sz val="10"/>
        <rFont val="Century Gothic"/>
        <family val="2"/>
        <scheme val="minor"/>
      </rPr>
      <t xml:space="preserve"> -&gt; l'activité est </t>
    </r>
    <r>
      <rPr>
        <sz val="10"/>
        <color rgb="FFFF0000"/>
        <rFont val="Century Gothic"/>
        <family val="2"/>
        <scheme val="minor"/>
      </rPr>
      <t>INDISPONIBLE</t>
    </r>
    <r>
      <rPr>
        <sz val="10"/>
        <rFont val="Century Gothic"/>
        <family val="2"/>
        <scheme val="minor"/>
      </rPr>
      <t xml:space="preserve">, sinon l'activité est </t>
    </r>
    <r>
      <rPr>
        <sz val="10"/>
        <color theme="6" tint="-0.499984740745262"/>
        <rFont val="Century Gothic"/>
        <family val="2"/>
        <scheme val="minor"/>
      </rPr>
      <t>DISPONIBLE</t>
    </r>
    <r>
      <rPr>
        <sz val="10"/>
        <rFont val="Century Gothic"/>
        <family val="2"/>
        <scheme val="minor"/>
      </rPr>
      <t xml:space="preserve">. Ajout de la méthode </t>
    </r>
    <r>
      <rPr>
        <b/>
        <sz val="10"/>
        <rFont val="Century Gothic"/>
        <family val="2"/>
        <scheme val="minor"/>
      </rPr>
      <t>getParticipantCount</t>
    </r>
    <r>
      <rPr>
        <sz val="10"/>
        <rFont val="Century Gothic"/>
        <family val="2"/>
        <scheme val="minor"/>
      </rPr>
      <t xml:space="preserve"> pour obtenir précisement le nombre de participants de type élèves -&gt; Si l'enseignant modifie son activité et place la barre du nombre de participants en dessous du nombre inscris, un message d'erreur apparaît pour dire à l'enseignant que le nombre de participants est trop élevé.</t>
    </r>
  </si>
  <si>
    <t>https://www.w3schools.com/php/func_string_html_entity_decode.asp</t>
  </si>
  <si>
    <r>
      <t xml:space="preserve">Insertion d'un hyperlien sur chaque nom/prénom d'un utilisateur apparaissant sur les pages web afin de pouvoir consulter son profil utilisateur. Un tableau, semblable à celui visible sur la page "détails de l'utilisateur", montre les activités affiliés à l'utilisateur (origanisateur ou participant). Réutilisation de la méthode </t>
    </r>
    <r>
      <rPr>
        <b/>
        <sz val="10"/>
        <rFont val="Century Gothic"/>
        <family val="2"/>
        <scheme val="minor"/>
      </rPr>
      <t>getActivitesForUser</t>
    </r>
    <r>
      <rPr>
        <sz val="10"/>
        <rFont val="Century Gothic"/>
        <family val="2"/>
        <scheme val="minor"/>
      </rPr>
      <t xml:space="preserve">, et création de la méthode </t>
    </r>
    <r>
      <rPr>
        <b/>
        <sz val="10"/>
        <rFont val="Century Gothic"/>
        <family val="2"/>
        <scheme val="minor"/>
      </rPr>
      <t>getUserById</t>
    </r>
    <r>
      <rPr>
        <sz val="10"/>
        <rFont val="Century Gothic"/>
        <family val="2"/>
        <scheme val="minor"/>
      </rPr>
      <t xml:space="preserve"> qui récupèrent les informations selon l'id de l'utilisateur.</t>
    </r>
  </si>
  <si>
    <t xml:space="preserve">Plusieurs cas de tests envisagés sur la page userProfile : En cas de changement d'ID dans la barre de recherche afin de changer d'utilisateur -&gt; si l'ID ne correspond à aucun utilisateur, un message sur la page propose à l'utilisateur de retourner à l'accueil en disant que l'utilisateur est introuvable. Si l'utilisateur existe mais est affilié à aucune activité, un message disant qu'il ne participe à rien ou n'organise rien est affiché. </t>
  </si>
  <si>
    <t>Tests unitaires sur les fonctionnalités checkActivityCapacity et getParticipantCount en vérifiant les valeurs retournées sur la page concernée.</t>
  </si>
  <si>
    <t>La partie implémentation étant enfin terminé, je vais pouvoir me contrentrer sur la partie documentation pour finaliser ce TPI. Les tests en tant qu'utilisateur final continueront en parallèle des screens que je prendrai sur mon site afin de vérifier que tout marche. Je suis soulagé d'avoir fini ce matin, bénéfiant de toute l'après-midi pour avancer sur mon rapport avant le rendu habituel du mardi.</t>
  </si>
  <si>
    <r>
      <t>Création de la page activitiesList.php qui affiche la liste de toutes les activités du site -&gt; réutilisation du tableau répertoriant le nom de l'activité, la description, action etc. utilisées dans la page MyActivities.php pour aller plus vite. Utilisation d'une nouvelle méthode appelée "</t>
    </r>
    <r>
      <rPr>
        <b/>
        <sz val="10"/>
        <rFont val="Century Gothic"/>
        <family val="2"/>
        <scheme val="minor"/>
      </rPr>
      <t>getAllActivities</t>
    </r>
    <r>
      <rPr>
        <sz val="10"/>
        <rFont val="Century Gothic"/>
        <family val="2"/>
        <scheme val="minor"/>
      </rPr>
      <t>" permettant d'afficher toutes les activités existantes de la base de données.</t>
    </r>
  </si>
  <si>
    <r>
      <t xml:space="preserve">Implémentation à 75% de la fonctionnalité permettant à un élève de s'inscrire ou se désinscrire à une activité en réutilisant la méthode </t>
    </r>
    <r>
      <rPr>
        <b/>
        <sz val="10"/>
        <rFont val="Century Gothic"/>
        <family val="2"/>
        <scheme val="minor"/>
      </rPr>
      <t>addParticipantToActivity</t>
    </r>
    <r>
      <rPr>
        <sz val="10"/>
        <rFont val="Century Gothic"/>
        <family val="2"/>
        <scheme val="minor"/>
      </rPr>
      <t xml:space="preserve"> sur un bouton cette fois disponible par l'utilisateur (Inscription maintenant terminée).</t>
    </r>
  </si>
  <si>
    <r>
      <t xml:space="preserve">Tests unitaires des fonctionnalités : addParticipantToActivity et de getAllActivities.  L'inscription est redirigé vers le controllers subscribe.php avec des lignes de gestions d'erreurs </t>
    </r>
    <r>
      <rPr>
        <i/>
        <sz val="10"/>
        <rFont val="Century Gothic"/>
        <family val="2"/>
        <scheme val="minor"/>
      </rPr>
      <t>?subscribe=error</t>
    </r>
    <r>
      <rPr>
        <sz val="10"/>
        <rFont val="Century Gothic"/>
        <family val="2"/>
        <scheme val="minor"/>
      </rPr>
      <t xml:space="preserve"> ou encore </t>
    </r>
    <r>
      <rPr>
        <i/>
        <sz val="10"/>
        <rFont val="Century Gothic"/>
        <family val="2"/>
        <scheme val="minor"/>
      </rPr>
      <t>?subscribe=missing</t>
    </r>
    <r>
      <rPr>
        <sz val="10"/>
        <rFont val="Century Gothic"/>
        <family val="2"/>
        <scheme val="minor"/>
      </rPr>
      <t xml:space="preserve"> dans la barre de recherche afin qu'aucun bug ne surviennent. </t>
    </r>
  </si>
  <si>
    <t>Malgré le bug de ce matin qui m'a ralenti de une heure sur mon projet, je pense pouvoir dire que la partie implémentation de mon projet va se terminer maximum mercredi matin, et idéalement demain matin, car je consacrerai le mardi après-midi au rapport. Je suis content de l'avancé et espère pouvoir implémenter une nouvelle fonctionnalité au minimum cet après-midi.</t>
  </si>
  <si>
    <t>Recherches pour savoir comment insérer un lien dans une variable afin d'intérpréter une balise correctement et pas que celle-ci se transforme en texte.</t>
  </si>
  <si>
    <t xml:space="preserve">Ajouts des légendes sur les screens de la dernière fois, rédaction de la suite de la partie implémentation CRUD dans le rapport -&gt; fini à 70%. </t>
  </si>
  <si>
    <t>Je suis content du travail que j'ai fourni ce matin, d'autant je suis encore loin d'avoir fini en voyant toute la partie écrite qui me reste à fournir dans le rapport. Je suis quand même satisfait d'avoir terminé mon application ce matin et avoir prévu autant de temps dans ma planification initiale pour le rapport.</t>
  </si>
  <si>
    <t>Finalisation de la partie réalisation du rapport.</t>
  </si>
  <si>
    <t>La partie des tests prend également beaucoup de temps à cause des nombres de cas de tests que j'ai effectué, je vais devoir accélérer le rythme de travail demain. C'est assez stressant, mais je pense effectuer un bon travail.</t>
  </si>
  <si>
    <t>La partie implémentation m'a pris plus de temps que prévu, en voulant rajouter du texte pour le code au lieu des screens, cela m'a fait perdre un certain temps. Je pense que je devrais prendre du temps pour finir à la maison certaines choses (que je notifierai bien sûr) selon le travail effectué demain.</t>
  </si>
  <si>
    <t>https://youtu.be/srlNOQmQ4Ig?si=5k6dqs9MIRqnoTrE</t>
  </si>
  <si>
    <t xml:space="preserve">Recherches de comment insérer un glossaire sur word </t>
  </si>
  <si>
    <t>Partie tableau des tests effectué à 30%~.</t>
  </si>
  <si>
    <t>Tableau des tests réalisé à 70%.</t>
  </si>
  <si>
    <t>La partie tests de mon rapport étant presque enfin réalisé, je vais pouvoir me concentrer sur quelques points délaissés dans la partie CDC demain. Je suis toujours d'avis que du temps supplémentaire sera nécessaire pour moi (que je notifierai) pour finaliser le projet. Je suis content de la précision de mes cas de tests, par contre le temps fil plus vite que prévu et le tableau des tests est très long à réaliser.</t>
  </si>
  <si>
    <t>100% fini le tableau des tests.</t>
  </si>
  <si>
    <t>Ayant enfin terminé le tableau de tests, je vais me focaliser sur des points du CDC l'après-midi. Je suis content de la partie tests du projet, mais je me suis trouvé assez lent.</t>
  </si>
  <si>
    <t>Rédaction de quelques points dans la partie cahier des charges, relecture ce qui est clairement attendu pour le TPI dans document officiel VD TPI. Relecture des fautes de syntaxes et ortographes.</t>
  </si>
  <si>
    <t>Il ne me reste que deux séquences pour finaliser le projet, et je pense pouvoir y arriver mais cela va devoir s'étaler quelques heures sur le week end. Je suis tout de même content de mon rapport jusque là.</t>
  </si>
  <si>
    <t xml:space="preserve">Documentation concernant la structure d'un queryPrepare(); </t>
  </si>
  <si>
    <t>https://www.looping-mcd.fr/</t>
  </si>
  <si>
    <t>dimanche, 2 juin 2024</t>
  </si>
  <si>
    <t>Insertion du glossaire et du journal de travail</t>
  </si>
  <si>
    <t>Ayant pris 3 heures ce week-end, cela sera comptabiliser comme du temps supplémentaires mais notifié. Je pense que 4 sera assez demain matin, et je finirai la conclusion de mon TPI avec le résumé.</t>
  </si>
  <si>
    <t>Je suis très satisfait de mon TPI, je pense que le temps que j'ai pris hier était nécessaire pour que je sois pleinement content de ce travail.</t>
  </si>
  <si>
    <t>Relecture final avant l'envoi</t>
  </si>
  <si>
    <t>Tenu final du journal de travail  - TPI fini.</t>
  </si>
  <si>
    <t>Finalisation du rapport, partie conclusion et résumé. Correction des dernière fautes d'ortographes</t>
  </si>
  <si>
    <t>Séquence 28</t>
  </si>
  <si>
    <t>91h</t>
  </si>
  <si>
    <t>+ 3h</t>
  </si>
  <si>
    <t>Réalisation de l'interface graphique</t>
  </si>
  <si>
    <t>Implémentation pour un utilisateur de pouvoir modifier ses informations de profil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</si>
</sst>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9"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u/>
      <sz val="10"/>
      <name val="Century Gothic"/>
      <family val="2"/>
      <scheme val="minor"/>
    </font>
    <font>
      <sz val="10"/>
      <color rgb="FFFF0000"/>
      <name val="Century Gothic"/>
      <family val="2"/>
      <scheme val="minor"/>
    </font>
    <font>
      <sz val="10"/>
      <color theme="6" tint="-0.499984740745262"/>
      <name val="Century Gothic"/>
      <family val="2"/>
      <scheme val="minor"/>
    </font>
    <font>
      <i/>
      <sz val="10"/>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A6464"/>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7">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1"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75" xfId="0" applyFont="1" applyFill="1" applyBorder="1"/>
    <xf numFmtId="0" fontId="2" fillId="17" borderId="57" xfId="0" applyFont="1" applyFill="1" applyBorder="1"/>
    <xf numFmtId="0" fontId="2" fillId="17" borderId="24" xfId="0" applyFont="1" applyFill="1" applyBorder="1"/>
    <xf numFmtId="0" fontId="0" fillId="0" borderId="2" xfId="0" applyBorder="1" applyAlignment="1" applyProtection="1">
      <alignment horizontal="left" vertical="top" wrapText="1"/>
      <protection locked="0"/>
    </xf>
    <xf numFmtId="0" fontId="0" fillId="0" borderId="1" xfId="0" applyBorder="1" applyAlignment="1" applyProtection="1">
      <alignment horizontal="left" vertical="top" wrapText="1"/>
      <protection locked="0"/>
    </xf>
    <xf numFmtId="0" fontId="2" fillId="18" borderId="18" xfId="0" applyFont="1" applyFill="1" applyBorder="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7" xfId="0" applyFont="1" applyFill="1" applyBorder="1"/>
    <xf numFmtId="0" fontId="2" fillId="18" borderId="28" xfId="0" applyFont="1" applyFill="1" applyBorder="1"/>
    <xf numFmtId="0" fontId="2" fillId="18" borderId="74" xfId="0" applyFont="1" applyFill="1" applyBorder="1"/>
    <xf numFmtId="0" fontId="2" fillId="18" borderId="79" xfId="0" applyFont="1" applyFill="1" applyBorder="1"/>
    <xf numFmtId="0" fontId="2" fillId="18" borderId="56" xfId="0" applyFont="1" applyFill="1" applyBorder="1"/>
    <xf numFmtId="0" fontId="0" fillId="0" borderId="2" xfId="1" applyFont="1" applyFill="1" applyBorder="1" applyAlignment="1" applyProtection="1">
      <alignment horizontal="center" vertical="center" wrapText="1"/>
      <protection locked="0"/>
    </xf>
    <xf numFmtId="2" fontId="12" fillId="19" borderId="63" xfId="0" applyNumberFormat="1" applyFont="1" applyFill="1" applyBorder="1" applyAlignment="1">
      <alignment horizontal="center" vertical="center"/>
    </xf>
    <xf numFmtId="0" fontId="0" fillId="18" borderId="11" xfId="0" applyFill="1" applyBorder="1"/>
    <xf numFmtId="0" fontId="2" fillId="18" borderId="0" xfId="0" applyFont="1" applyFill="1"/>
    <xf numFmtId="0" fontId="0" fillId="0" borderId="11" xfId="0" applyBorder="1"/>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5" borderId="52" xfId="0" applyFill="1" applyBorder="1"/>
    <xf numFmtId="0" fontId="0" fillId="9" borderId="0" xfId="0" applyFill="1" applyAlignment="1">
      <alignment horizontal="center"/>
    </xf>
    <xf numFmtId="0" fontId="0" fillId="0" borderId="0" xfId="0" applyAlignment="1">
      <alignment horizontal="center"/>
    </xf>
    <xf numFmtId="14" fontId="14" fillId="0" borderId="0" xfId="0" applyNumberFormat="1" applyFont="1" applyAlignment="1">
      <alignment horizontal="center" vertical="center"/>
    </xf>
    <xf numFmtId="14" fontId="21" fillId="0" borderId="5" xfId="0" applyNumberFormat="1"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165" fontId="7" fillId="8" borderId="46" xfId="0" applyNumberFormat="1" applyFont="1" applyFill="1" applyBorder="1" applyAlignment="1">
      <alignment horizontal="lef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xf numFmtId="0" fontId="0" fillId="0" borderId="2" xfId="0" applyFont="1" applyBorder="1" applyAlignment="1" applyProtection="1">
      <alignment horizontal="left" vertical="top" wrapText="1"/>
      <protection locked="0"/>
    </xf>
    <xf numFmtId="0" fontId="2" fillId="0" borderId="7" xfId="0" applyFont="1" applyFill="1" applyBorder="1"/>
    <xf numFmtId="0" fontId="2" fillId="0" borderId="6" xfId="0" applyFont="1" applyFill="1" applyBorder="1"/>
    <xf numFmtId="0" fontId="2" fillId="0" borderId="71" xfId="0" applyFont="1" applyFill="1" applyBorder="1"/>
    <xf numFmtId="0" fontId="2" fillId="0" borderId="76" xfId="0" applyFont="1" applyFill="1" applyBorder="1"/>
    <xf numFmtId="0" fontId="2" fillId="0" borderId="53" xfId="0" applyFont="1" applyFill="1" applyBorder="1"/>
    <xf numFmtId="0" fontId="2" fillId="0" borderId="8" xfId="0" applyFont="1" applyFill="1" applyBorder="1"/>
    <xf numFmtId="0" fontId="0" fillId="0" borderId="11" xfId="0" applyFill="1" applyBorder="1"/>
    <xf numFmtId="0" fontId="2" fillId="0" borderId="0" xfId="0" applyFont="1" applyFill="1"/>
    <xf numFmtId="0" fontId="2" fillId="0" borderId="24" xfId="0" applyFont="1" applyFill="1" applyBorder="1"/>
    <xf numFmtId="0" fontId="2" fillId="0" borderId="25" xfId="0" applyFont="1" applyFill="1" applyBorder="1"/>
    <xf numFmtId="0" fontId="2" fillId="0" borderId="73" xfId="0" applyFont="1" applyFill="1" applyBorder="1"/>
    <xf numFmtId="0" fontId="2" fillId="0" borderId="78"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5" xfId="0" applyFont="1" applyFill="1" applyBorder="1"/>
    <xf numFmtId="0" fontId="2" fillId="0" borderId="80" xfId="0" applyFont="1" applyFill="1" applyBorder="1"/>
    <xf numFmtId="0" fontId="2" fillId="0" borderId="57" xfId="0" applyFont="1" applyFill="1" applyBorder="1"/>
    <xf numFmtId="0" fontId="2" fillId="0" borderId="23" xfId="0" applyFont="1" applyFill="1" applyBorder="1"/>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0"/>
              <c:pt idx="0">
                <c:v>Absences - imprévus </c:v>
              </c:pt>
              <c:pt idx="1">
                <c:v>CDC - Validation</c:v>
              </c:pt>
              <c:pt idx="2">
                <c:v>Doc - Journal de travail</c:v>
              </c:pt>
              <c:pt idx="3">
                <c:v>Doc - Rapport</c:v>
              </c:pt>
              <c:pt idx="4">
                <c:v>Analyse - Planification initiale</c:v>
              </c:pt>
              <c:pt idx="5">
                <c:v>Analyse - Maquette du site web</c:v>
              </c:pt>
              <c:pt idx="6">
                <c:v>Analyse - Schéma de la base de donnée</c:v>
              </c:pt>
              <c:pt idx="7">
                <c:v>Réalisation - Base de donnée</c:v>
              </c:pt>
              <c:pt idx="8">
                <c:v>Réalisation - Authentification</c:v>
              </c:pt>
              <c:pt idx="9">
                <c:v>Réalisation - Opérations CRUD</c:v>
              </c:pt>
              <c:pt idx="10">
                <c:v>Réalisation - Modifier la liste des participants de l'activité</c:v>
              </c:pt>
              <c:pt idx="11">
                <c:v>Réalisation - Consulter les activités</c:v>
              </c:pt>
              <c:pt idx="12">
                <c:v>Réalisation - S'inscrire à une activité</c:v>
              </c:pt>
              <c:pt idx="13">
                <c:v>Réalisation - Consulter un profil utilisateur</c:v>
              </c:pt>
              <c:pt idx="14">
                <c:v>Tests - Résultats et analyses</c:v>
              </c:pt>
              <c:pt idx="15">
                <c:v>Documentation en ligne</c:v>
              </c:pt>
              <c:pt idx="16">
                <c:v>Analyse - Stratégies des tests</c:v>
              </c:pt>
              <c:pt idx="17">
                <c:v>Réalisation - Interface graphique </c:v>
              </c:pt>
              <c:pt idx="18">
                <c:v>Réalisation - Détails de l'utilisateur</c:v>
              </c:pt>
            </c:strLit>
          </c:cat>
          <c:val>
            <c:numLit>
              <c:formatCode>General</c:formatCode>
              <c:ptCount val="20"/>
              <c:pt idx="0">
                <c:v>0</c:v>
              </c:pt>
              <c:pt idx="1">
                <c:v>1</c:v>
              </c:pt>
              <c:pt idx="2">
                <c:v>4.5</c:v>
              </c:pt>
              <c:pt idx="3">
                <c:v>28.329999923706055</c:v>
              </c:pt>
              <c:pt idx="4">
                <c:v>5</c:v>
              </c:pt>
              <c:pt idx="5">
                <c:v>5.5</c:v>
              </c:pt>
              <c:pt idx="6">
                <c:v>3.1700000762939453</c:v>
              </c:pt>
              <c:pt idx="7">
                <c:v>1.5</c:v>
              </c:pt>
              <c:pt idx="8">
                <c:v>2</c:v>
              </c:pt>
              <c:pt idx="9">
                <c:v>3.3299999237060547</c:v>
              </c:pt>
              <c:pt idx="10">
                <c:v>3.4200000762939453</c:v>
              </c:pt>
              <c:pt idx="11">
                <c:v>2.9200000762939453</c:v>
              </c:pt>
              <c:pt idx="12">
                <c:v>5.5</c:v>
              </c:pt>
              <c:pt idx="13">
                <c:v>8.1700000762939453</c:v>
              </c:pt>
              <c:pt idx="14">
                <c:v>10.170000076293945</c:v>
              </c:pt>
              <c:pt idx="15">
                <c:v>0.82999998331069946</c:v>
              </c:pt>
              <c:pt idx="16">
                <c:v>0.67000001668930054</c:v>
              </c:pt>
              <c:pt idx="17">
                <c:v>1</c:v>
              </c:pt>
              <c:pt idx="18">
                <c:v>1</c:v>
              </c:pt>
              <c:pt idx="19">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0"/>
              <c:pt idx="0">
                <c:v>0</c:v>
              </c:pt>
              <c:pt idx="1">
                <c:v>1</c:v>
              </c:pt>
              <c:pt idx="2">
                <c:v>5.3299999237060547</c:v>
              </c:pt>
              <c:pt idx="3">
                <c:v>35.080001831054688</c:v>
              </c:pt>
              <c:pt idx="4">
                <c:v>8.8299999237060547</c:v>
              </c:pt>
              <c:pt idx="5">
                <c:v>6.5799999237060547</c:v>
              </c:pt>
              <c:pt idx="6">
                <c:v>2.4200000762939453</c:v>
              </c:pt>
              <c:pt idx="7">
                <c:v>1</c:v>
              </c:pt>
              <c:pt idx="8">
                <c:v>4.75</c:v>
              </c:pt>
              <c:pt idx="9">
                <c:v>6.6700000762939453</c:v>
              </c:pt>
              <c:pt idx="10">
                <c:v>0</c:v>
              </c:pt>
              <c:pt idx="11">
                <c:v>2</c:v>
              </c:pt>
              <c:pt idx="12">
                <c:v>4.6700000762939453</c:v>
              </c:pt>
              <c:pt idx="13">
                <c:v>2.5</c:v>
              </c:pt>
              <c:pt idx="14">
                <c:v>4.1700000762939453</c:v>
              </c:pt>
              <c:pt idx="15">
                <c:v>1.9199999570846558</c:v>
              </c:pt>
              <c:pt idx="16">
                <c:v>0.75</c:v>
              </c:pt>
              <c:pt idx="17">
                <c:v>2</c:v>
              </c:pt>
              <c:pt idx="18">
                <c:v>1.3300000429153442</c:v>
              </c:pt>
              <c:pt idx="19">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606642"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8809" y="91109"/>
          <a:ext cx="2170043" cy="538369"/>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w3schools.com/sql/sql_count.asp" TargetMode="External"/><Relationship Id="rId13" Type="http://schemas.openxmlformats.org/officeDocument/2006/relationships/drawing" Target="../drawings/drawing4.xml"/><Relationship Id="rId18" Type="http://schemas.openxmlformats.org/officeDocument/2006/relationships/image" Target="../media/image6.emf"/><Relationship Id="rId3" Type="http://schemas.openxmlformats.org/officeDocument/2006/relationships/hyperlink" Target="https://www.freepik.com/free-vector/people-doing-summer-sports_9447449.htm" TargetMode="External"/><Relationship Id="rId7" Type="http://schemas.openxmlformats.org/officeDocument/2006/relationships/hyperlink" Target="https://www.w3schools.com/PHP/func_var_unset.asp" TargetMode="External"/><Relationship Id="rId12" Type="http://schemas.openxmlformats.org/officeDocument/2006/relationships/printerSettings" Target="../printerSettings/printerSettings4.bin"/><Relationship Id="rId17" Type="http://schemas.openxmlformats.org/officeDocument/2006/relationships/control" Target="../activeX/activeX5.xml"/><Relationship Id="rId2" Type="http://schemas.openxmlformats.org/officeDocument/2006/relationships/hyperlink" Target="https://www.figma.com/" TargetMode="External"/><Relationship Id="rId16" Type="http://schemas.openxmlformats.org/officeDocument/2006/relationships/image" Target="../media/image5.emf"/><Relationship Id="rId1" Type="http://schemas.openxmlformats.org/officeDocument/2006/relationships/hyperlink" Target="https://chat.openai.com/" TargetMode="External"/><Relationship Id="rId6" Type="http://schemas.openxmlformats.org/officeDocument/2006/relationships/hyperlink" Target="https://developer.mozilla.org/fr/docs/Glossary/CRUD" TargetMode="External"/><Relationship Id="rId11" Type="http://schemas.openxmlformats.org/officeDocument/2006/relationships/hyperlink" Target="https://www.looping-mcd.fr/" TargetMode="External"/><Relationship Id="rId5" Type="http://schemas.openxmlformats.org/officeDocument/2006/relationships/hyperlink" Target="https://www.w3schools.com/php/php_mysql_prepared_statements.asp" TargetMode="External"/><Relationship Id="rId15" Type="http://schemas.openxmlformats.org/officeDocument/2006/relationships/control" Target="../activeX/activeX4.xml"/><Relationship Id="rId10" Type="http://schemas.openxmlformats.org/officeDocument/2006/relationships/hyperlink" Target="https://youtu.be/srlNOQmQ4Ig?si=5k6dqs9MIRqnoTrE" TargetMode="External"/><Relationship Id="rId4" Type="http://schemas.openxmlformats.org/officeDocument/2006/relationships/hyperlink" Target="https://www.lucidchart.com/blog/fr/bases-de-donnees-mcd-mld-et-mpd" TargetMode="External"/><Relationship Id="rId9" Type="http://schemas.openxmlformats.org/officeDocument/2006/relationships/hyperlink" Target="https://www.w3schools.com/php/func_string_html_entity_decode.asp" TargetMode="External"/><Relationship Id="rId1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zoomScale="130" zoomScaleNormal="130" workbookViewId="0">
      <selection activeCell="I37" sqref="I37"/>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5" t="s">
        <v>32</v>
      </c>
      <c r="C35" s="175"/>
      <c r="D35" s="175"/>
      <c r="E35" s="91" t="s">
        <v>137</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6" t="s">
        <v>33</v>
      </c>
      <c r="C37" s="176"/>
      <c r="D37" s="176"/>
      <c r="E37" s="93" t="s">
        <v>240</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29</v>
      </c>
      <c r="E39" s="171" t="s">
        <v>241</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KO99"/>
  <sheetViews>
    <sheetView showGridLines="0" view="pageBreakPreview" topLeftCell="A61" zoomScale="70" zoomScaleNormal="40" zoomScaleSheetLayoutView="70" workbookViewId="0">
      <selection activeCell="F93" sqref="F93:BKN93"/>
    </sheetView>
  </sheetViews>
  <sheetFormatPr baseColWidth="10" defaultColWidth="11.42578125" defaultRowHeight="13.5" x14ac:dyDescent="0.25"/>
  <cols>
    <col min="1" max="1" width="1.85546875" style="2" customWidth="1"/>
    <col min="2" max="2" width="2.42578125" style="83" customWidth="1"/>
    <col min="3" max="3" width="52" style="2" customWidth="1"/>
    <col min="4" max="4" width="12.28515625" style="2" customWidth="1"/>
    <col min="5" max="5" width="14.42578125" style="2" customWidth="1"/>
    <col min="6" max="1625" width="1.140625" style="2" customWidth="1"/>
    <col min="1626" max="1626" width="2.7109375" style="2" customWidth="1"/>
    <col min="1627" max="16384" width="11.42578125" style="2"/>
  </cols>
  <sheetData>
    <row r="1" spans="1:1652" ht="35.1" customHeight="1" x14ac:dyDescent="0.25">
      <c r="B1" s="80"/>
      <c r="C1" s="207" t="s">
        <v>30</v>
      </c>
      <c r="D1" s="207"/>
      <c r="E1" s="207"/>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8">
        <v>1</v>
      </c>
    </row>
    <row r="2" spans="1:1652"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5"/>
    </row>
    <row r="3" spans="1:1652" ht="30" customHeight="1" x14ac:dyDescent="0.25">
      <c r="B3" s="53"/>
      <c r="C3" s="5" t="s">
        <v>0</v>
      </c>
      <c r="D3" s="123"/>
      <c r="E3" s="6" t="s">
        <v>43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5"/>
    </row>
    <row r="4" spans="1:1652" ht="30" customHeight="1" x14ac:dyDescent="0.25">
      <c r="B4" s="53"/>
      <c r="C4" s="9" t="s">
        <v>6</v>
      </c>
      <c r="D4" s="124"/>
      <c r="E4" s="10" t="s">
        <v>44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5"/>
    </row>
    <row r="5" spans="1:1652" ht="30" customHeight="1" x14ac:dyDescent="0.25">
      <c r="B5" s="53"/>
      <c r="C5" s="9" t="s">
        <v>1</v>
      </c>
      <c r="D5" s="124"/>
      <c r="E5" s="10" t="s">
        <v>45</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5"/>
    </row>
    <row r="6" spans="1:1652" ht="30" customHeight="1" thickBot="1" x14ac:dyDescent="0.3">
      <c r="B6" s="53"/>
      <c r="C6" s="13" t="s">
        <v>2</v>
      </c>
      <c r="D6" s="125"/>
      <c r="E6" s="14" t="s">
        <v>46</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5"/>
    </row>
    <row r="7" spans="1:1652" ht="20.100000000000001" customHeight="1" thickBot="1" x14ac:dyDescent="0.3">
      <c r="B7" s="53"/>
      <c r="C7" s="208"/>
      <c r="D7" s="208"/>
      <c r="E7" s="208"/>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5"/>
    </row>
    <row r="8" spans="1:1652" ht="30" customHeight="1" x14ac:dyDescent="0.25">
      <c r="B8" s="53"/>
      <c r="C8" s="5" t="s">
        <v>3</v>
      </c>
      <c r="D8" s="123"/>
      <c r="E8" s="6" t="s">
        <v>47</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5"/>
    </row>
    <row r="9" spans="1:1652" ht="30" customHeight="1" x14ac:dyDescent="0.25">
      <c r="B9" s="53"/>
      <c r="C9" s="9" t="s">
        <v>17</v>
      </c>
      <c r="D9" s="124"/>
      <c r="E9" s="10" t="s">
        <v>21</v>
      </c>
      <c r="F9" s="11"/>
      <c r="G9" s="199" t="str">
        <f>E96</f>
        <v>88h</v>
      </c>
      <c r="H9" s="199"/>
      <c r="I9" s="199"/>
      <c r="J9" s="199"/>
      <c r="K9" s="199"/>
      <c r="L9" s="199"/>
      <c r="M9" s="199"/>
      <c r="N9" s="199"/>
      <c r="O9" s="199"/>
      <c r="P9" s="199"/>
      <c r="Q9" s="199"/>
      <c r="R9" s="199"/>
      <c r="S9" s="199"/>
      <c r="T9" s="199"/>
      <c r="U9" s="199"/>
      <c r="V9" s="103"/>
      <c r="W9" s="206" t="s">
        <v>22</v>
      </c>
      <c r="X9" s="206"/>
      <c r="Y9" s="206"/>
      <c r="Z9" s="206"/>
      <c r="AA9" s="206"/>
      <c r="AB9" s="206"/>
      <c r="AC9" s="206"/>
      <c r="AD9" s="206"/>
      <c r="AE9" s="206"/>
      <c r="AF9" s="206"/>
      <c r="AG9" s="206"/>
      <c r="AH9" s="199" t="str">
        <f>E98</f>
        <v>91h</v>
      </c>
      <c r="AI9" s="199"/>
      <c r="AJ9" s="199"/>
      <c r="AK9" s="199"/>
      <c r="AL9" s="199"/>
      <c r="AM9" s="199"/>
      <c r="AN9" s="199"/>
      <c r="AO9" s="199"/>
      <c r="AP9" s="199"/>
      <c r="AQ9" s="199"/>
      <c r="AR9" s="199"/>
      <c r="AS9" s="199"/>
      <c r="AT9" s="199"/>
      <c r="AU9" s="199"/>
      <c r="AV9" s="199"/>
      <c r="AW9" s="199"/>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5"/>
    </row>
    <row r="10" spans="1:1652"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91"/>
      <c r="BO10" s="191"/>
      <c r="BP10" s="191"/>
      <c r="BQ10" s="191"/>
      <c r="BR10" s="191"/>
      <c r="BS10" s="191"/>
      <c r="BT10" s="191"/>
      <c r="BU10" s="191"/>
      <c r="BV10" s="191"/>
      <c r="BW10" s="191"/>
      <c r="BX10" s="191"/>
      <c r="BY10" s="191"/>
      <c r="BZ10" s="191"/>
      <c r="CA10" s="191"/>
      <c r="CB10" s="191"/>
      <c r="CC10" s="191"/>
      <c r="CD10" s="191"/>
      <c r="CE10" s="191"/>
      <c r="CF10" s="191"/>
      <c r="CG10" s="191"/>
      <c r="CH10" s="191"/>
      <c r="CI10" s="191"/>
      <c r="CJ10" s="191"/>
      <c r="CK10" s="191"/>
      <c r="CL10" s="191"/>
      <c r="CM10" s="191"/>
      <c r="CN10" s="191"/>
      <c r="CO10" s="191"/>
      <c r="CP10" s="191"/>
      <c r="CQ10" s="77"/>
      <c r="CR10" s="190"/>
      <c r="CS10" s="190"/>
      <c r="CT10" s="190"/>
      <c r="CU10" s="190"/>
      <c r="CV10" s="190"/>
      <c r="CW10" s="190"/>
      <c r="CX10" s="190"/>
      <c r="CY10" s="190"/>
      <c r="CZ10" s="190"/>
      <c r="DA10" s="190"/>
      <c r="DB10" s="190"/>
      <c r="DC10" s="190"/>
      <c r="DD10" s="190"/>
      <c r="DE10" s="190"/>
      <c r="DF10" s="190"/>
      <c r="DG10" s="190"/>
      <c r="DH10" s="190"/>
      <c r="DI10" s="190"/>
      <c r="DJ10" s="190"/>
      <c r="DK10" s="190"/>
      <c r="DL10" s="190"/>
      <c r="DM10" s="190"/>
      <c r="DN10" s="190"/>
      <c r="DO10" s="190"/>
      <c r="DP10" s="190"/>
      <c r="DQ10" s="190"/>
      <c r="DR10" s="190"/>
      <c r="DS10" s="190"/>
      <c r="DT10" s="190"/>
      <c r="DU10" s="190"/>
      <c r="DV10" s="190"/>
      <c r="DW10" s="190"/>
      <c r="DX10" s="190"/>
      <c r="DY10" s="190"/>
      <c r="DZ10" s="190"/>
      <c r="EA10" s="190"/>
      <c r="EB10" s="190"/>
      <c r="EC10" s="190"/>
      <c r="ED10" s="190"/>
      <c r="EE10" s="190"/>
      <c r="EF10" s="190"/>
      <c r="EG10" s="190"/>
      <c r="EH10" s="190"/>
      <c r="EI10" s="190"/>
      <c r="EJ10" s="190"/>
      <c r="EK10" s="190"/>
      <c r="EL10" s="190"/>
      <c r="EM10" s="190"/>
      <c r="EN10" s="190"/>
      <c r="EO10" s="190"/>
      <c r="EP10" s="190"/>
      <c r="EQ10" s="190"/>
      <c r="ER10" s="190"/>
      <c r="ES10" s="190"/>
      <c r="ET10" s="190"/>
      <c r="EU10" s="190"/>
      <c r="EV10" s="190"/>
      <c r="EW10" s="190"/>
      <c r="EX10" s="190"/>
      <c r="EY10" s="190"/>
      <c r="EZ10" s="190"/>
      <c r="FA10" s="190"/>
      <c r="FB10" s="190"/>
      <c r="FC10" s="190"/>
      <c r="FD10" s="190"/>
      <c r="FE10" s="190"/>
      <c r="FF10" s="190"/>
      <c r="FG10" s="190"/>
      <c r="FH10" s="190"/>
      <c r="FI10" s="190"/>
      <c r="FJ10" s="190"/>
      <c r="FK10" s="190"/>
      <c r="FL10" s="190"/>
      <c r="FM10" s="190"/>
      <c r="FN10" s="190"/>
      <c r="FO10" s="190"/>
      <c r="FP10" s="190"/>
      <c r="FQ10" s="190"/>
      <c r="FR10" s="190"/>
      <c r="FS10" s="190"/>
      <c r="FT10" s="190"/>
      <c r="FU10" s="190"/>
      <c r="FV10" s="190"/>
      <c r="FW10" s="190"/>
      <c r="FX10" s="190"/>
      <c r="FY10" s="190"/>
      <c r="FZ10" s="190"/>
      <c r="GA10" s="190"/>
      <c r="GB10" s="190"/>
      <c r="GC10" s="190"/>
      <c r="GD10" s="190"/>
      <c r="GE10" s="190"/>
      <c r="GF10" s="190"/>
      <c r="GG10" s="190"/>
      <c r="GH10" s="190"/>
      <c r="GI10" s="190"/>
      <c r="GJ10" s="190"/>
      <c r="GK10" s="190"/>
      <c r="GL10" s="190"/>
      <c r="GM10" s="190"/>
      <c r="GN10" s="190"/>
      <c r="GO10" s="190"/>
      <c r="GP10" s="190"/>
      <c r="GQ10" s="190"/>
      <c r="GR10" s="190"/>
      <c r="GS10" s="190"/>
      <c r="GT10" s="190"/>
      <c r="GU10" s="190"/>
      <c r="GV10" s="190"/>
      <c r="GW10" s="190"/>
      <c r="GX10" s="190"/>
      <c r="GY10" s="190"/>
      <c r="GZ10" s="190"/>
      <c r="HA10" s="190"/>
      <c r="HB10" s="190"/>
      <c r="HC10" s="190"/>
      <c r="HD10" s="190"/>
      <c r="HE10" s="190"/>
      <c r="HF10" s="190"/>
      <c r="HG10" s="190"/>
      <c r="HH10" s="190"/>
      <c r="HI10" s="190"/>
      <c r="HJ10" s="190"/>
      <c r="HK10" s="190"/>
      <c r="HL10" s="190"/>
      <c r="HM10" s="190"/>
      <c r="HN10" s="190"/>
      <c r="HO10" s="190"/>
      <c r="HP10" s="190"/>
      <c r="HQ10" s="190"/>
      <c r="HR10" s="190"/>
      <c r="HS10" s="190"/>
      <c r="HT10" s="190"/>
      <c r="HU10" s="190"/>
      <c r="HV10" s="190"/>
      <c r="HW10" s="190"/>
      <c r="HX10" s="190"/>
      <c r="HY10" s="190"/>
      <c r="HZ10" s="190"/>
      <c r="IA10" s="190"/>
      <c r="IB10" s="190"/>
      <c r="IC10" s="190"/>
      <c r="ID10" s="190"/>
      <c r="IE10" s="190"/>
      <c r="IF10" s="190"/>
      <c r="IG10" s="190"/>
      <c r="IH10" s="190"/>
      <c r="II10" s="190"/>
      <c r="IJ10" s="190"/>
      <c r="IK10" s="190"/>
      <c r="IL10" s="190"/>
      <c r="IM10" s="190"/>
      <c r="IN10" s="190"/>
      <c r="IO10" s="190"/>
      <c r="IP10" s="190"/>
      <c r="IQ10" s="190"/>
      <c r="IR10" s="190"/>
      <c r="IS10" s="190"/>
      <c r="IT10" s="190"/>
      <c r="IU10" s="190"/>
      <c r="IV10" s="190"/>
      <c r="IW10" s="190"/>
      <c r="IX10" s="190"/>
      <c r="IY10" s="190"/>
      <c r="IZ10" s="190"/>
      <c r="JA10" s="190"/>
      <c r="JB10" s="190"/>
      <c r="JC10" s="190"/>
      <c r="JD10" s="190"/>
      <c r="JE10" s="190"/>
      <c r="JF10" s="190"/>
      <c r="JG10" s="190"/>
      <c r="JH10" s="190"/>
      <c r="JI10" s="190"/>
      <c r="JJ10" s="190"/>
      <c r="JK10" s="190"/>
      <c r="JL10" s="190"/>
      <c r="JM10" s="190"/>
      <c r="JN10" s="190"/>
      <c r="JO10" s="190"/>
      <c r="JP10" s="190"/>
      <c r="JQ10" s="190"/>
      <c r="JR10" s="190"/>
      <c r="JS10" s="190"/>
      <c r="JT10" s="190"/>
      <c r="JU10" s="190"/>
      <c r="JV10" s="190"/>
      <c r="JW10" s="190"/>
      <c r="JX10" s="190"/>
      <c r="JY10" s="190"/>
      <c r="JZ10" s="190"/>
      <c r="KA10" s="190"/>
      <c r="KB10" s="190"/>
      <c r="KC10" s="190"/>
      <c r="KD10" s="190"/>
      <c r="KE10" s="190"/>
      <c r="KF10" s="190"/>
      <c r="KG10" s="190"/>
      <c r="KH10" s="190"/>
      <c r="KI10" s="190"/>
      <c r="KJ10" s="190"/>
      <c r="KK10" s="190"/>
      <c r="KL10" s="190"/>
      <c r="KM10" s="190"/>
      <c r="KN10" s="190"/>
      <c r="KO10" s="190"/>
      <c r="KP10" s="190"/>
      <c r="KQ10" s="190"/>
      <c r="KR10" s="190"/>
      <c r="KS10" s="190"/>
      <c r="KT10" s="190"/>
      <c r="KU10" s="190"/>
      <c r="KV10" s="190"/>
      <c r="KW10" s="190"/>
      <c r="KX10" s="190"/>
      <c r="KY10" s="190"/>
      <c r="KZ10" s="190"/>
      <c r="LA10" s="190"/>
      <c r="LB10" s="190"/>
      <c r="LC10" s="190"/>
      <c r="LD10" s="190"/>
      <c r="LE10" s="190"/>
      <c r="LF10" s="190"/>
      <c r="LG10" s="190"/>
      <c r="LH10" s="190"/>
      <c r="LI10" s="190"/>
      <c r="LJ10" s="190"/>
      <c r="LK10" s="190"/>
      <c r="LL10" s="190"/>
      <c r="LM10" s="190"/>
      <c r="LN10" s="190"/>
      <c r="LO10" s="190"/>
      <c r="LP10" s="190"/>
      <c r="LQ10" s="190"/>
      <c r="LR10" s="190"/>
      <c r="LS10" s="190"/>
      <c r="LT10" s="190"/>
      <c r="LU10" s="190"/>
      <c r="LV10" s="190"/>
      <c r="LW10" s="190"/>
      <c r="LX10" s="190"/>
      <c r="LY10" s="190"/>
      <c r="LZ10" s="190"/>
      <c r="MA10" s="190"/>
      <c r="MB10" s="190"/>
      <c r="MC10" s="190"/>
      <c r="MD10" s="190"/>
      <c r="ME10" s="190"/>
      <c r="MF10" s="190"/>
      <c r="MG10" s="190"/>
      <c r="MH10" s="190"/>
      <c r="MI10" s="190"/>
      <c r="MJ10" s="190"/>
      <c r="MK10" s="190"/>
      <c r="ML10" s="190"/>
      <c r="MM10" s="190"/>
      <c r="MN10" s="190"/>
      <c r="MO10" s="190"/>
      <c r="MP10" s="190"/>
      <c r="MQ10" s="190"/>
      <c r="MR10" s="190"/>
      <c r="MS10" s="190"/>
      <c r="MT10" s="190"/>
      <c r="MU10" s="190"/>
      <c r="MV10" s="190"/>
      <c r="MW10" s="190"/>
      <c r="MX10" s="190"/>
      <c r="MY10" s="190"/>
      <c r="MZ10" s="190"/>
      <c r="NA10" s="190"/>
      <c r="NB10" s="190"/>
      <c r="NC10" s="190"/>
      <c r="ND10" s="190"/>
      <c r="NE10" s="190"/>
      <c r="NF10" s="190"/>
      <c r="NG10" s="190"/>
      <c r="NH10" s="190"/>
      <c r="NI10" s="190"/>
      <c r="NJ10" s="190"/>
      <c r="NK10" s="190"/>
      <c r="NL10" s="190"/>
      <c r="NM10" s="190"/>
      <c r="NN10" s="190"/>
      <c r="NO10" s="190"/>
      <c r="NP10" s="190"/>
      <c r="NQ10" s="190"/>
      <c r="NR10" s="190"/>
      <c r="NS10" s="190"/>
      <c r="NT10" s="190"/>
      <c r="NU10" s="190"/>
      <c r="NV10" s="190"/>
      <c r="NW10" s="190"/>
      <c r="NX10" s="190"/>
      <c r="NY10" s="190"/>
      <c r="NZ10" s="190"/>
      <c r="OA10" s="190"/>
      <c r="OB10" s="190"/>
      <c r="OC10" s="190"/>
      <c r="OD10" s="190"/>
      <c r="OE10" s="190"/>
      <c r="OF10" s="190"/>
      <c r="OG10" s="190"/>
      <c r="OH10" s="190"/>
      <c r="OI10" s="190"/>
      <c r="OJ10" s="190"/>
      <c r="OK10" s="190"/>
      <c r="OL10" s="190"/>
      <c r="OM10" s="190"/>
      <c r="ON10" s="190"/>
      <c r="OO10" s="190"/>
      <c r="OP10" s="190"/>
      <c r="OQ10" s="190"/>
      <c r="OR10" s="190"/>
      <c r="OS10" s="190"/>
      <c r="OT10" s="190"/>
      <c r="OU10" s="190"/>
      <c r="OV10" s="190"/>
      <c r="OW10" s="190"/>
      <c r="OX10" s="190"/>
      <c r="OY10" s="190"/>
      <c r="OZ10" s="190"/>
      <c r="PA10" s="190"/>
      <c r="PB10" s="190"/>
      <c r="PC10" s="190"/>
      <c r="PD10" s="190"/>
      <c r="PE10" s="190"/>
      <c r="PF10" s="190"/>
      <c r="PG10" s="190"/>
      <c r="PH10" s="190"/>
      <c r="PI10" s="190"/>
      <c r="PJ10" s="190"/>
      <c r="PK10" s="190"/>
      <c r="PL10" s="190"/>
      <c r="PM10" s="190"/>
      <c r="PN10" s="190"/>
      <c r="PO10" s="190"/>
      <c r="PP10" s="190"/>
      <c r="PQ10" s="190"/>
      <c r="PR10" s="190"/>
      <c r="PS10" s="190"/>
      <c r="PT10" s="190"/>
      <c r="PU10" s="190"/>
      <c r="PV10" s="190"/>
      <c r="PW10" s="190"/>
      <c r="PX10" s="190"/>
      <c r="PY10" s="190"/>
      <c r="PZ10" s="190"/>
      <c r="QA10" s="190"/>
      <c r="QB10" s="190"/>
      <c r="QC10" s="190"/>
      <c r="QD10" s="190"/>
      <c r="QE10" s="190"/>
      <c r="QF10" s="190"/>
      <c r="QG10" s="190"/>
      <c r="QH10" s="190"/>
      <c r="QI10" s="190"/>
      <c r="QJ10" s="190"/>
      <c r="QK10" s="190"/>
      <c r="QL10" s="190"/>
      <c r="QM10" s="190"/>
      <c r="QN10" s="190"/>
      <c r="QO10" s="190"/>
      <c r="QP10" s="190"/>
      <c r="QQ10" s="190"/>
      <c r="QR10" s="190"/>
      <c r="QS10" s="190"/>
      <c r="QT10" s="190"/>
      <c r="QU10" s="190"/>
      <c r="QV10" s="190"/>
      <c r="QW10" s="190"/>
      <c r="QX10" s="190"/>
      <c r="QY10" s="190"/>
      <c r="QZ10" s="190"/>
      <c r="RA10" s="190"/>
      <c r="RB10" s="190"/>
      <c r="RC10" s="190"/>
      <c r="RD10" s="190"/>
      <c r="RE10" s="190"/>
      <c r="RF10" s="190"/>
      <c r="RG10" s="190"/>
      <c r="RH10" s="190"/>
      <c r="RI10" s="190"/>
      <c r="RJ10" s="190"/>
      <c r="RK10" s="190"/>
      <c r="RL10" s="190"/>
      <c r="RM10" s="190"/>
      <c r="RN10" s="190"/>
      <c r="RO10" s="190"/>
      <c r="RP10" s="190"/>
      <c r="RQ10" s="190"/>
      <c r="RR10" s="190"/>
      <c r="RS10" s="190"/>
      <c r="RT10" s="190"/>
      <c r="RU10" s="190"/>
      <c r="RV10" s="190"/>
      <c r="RW10" s="190"/>
      <c r="RX10" s="190"/>
      <c r="RY10" s="190"/>
      <c r="RZ10" s="190"/>
      <c r="SA10" s="190"/>
      <c r="SB10" s="190"/>
      <c r="SC10" s="190"/>
      <c r="SD10" s="190"/>
      <c r="SE10" s="190"/>
      <c r="SF10" s="190"/>
      <c r="SG10" s="190"/>
      <c r="SH10" s="190"/>
      <c r="SI10" s="190"/>
      <c r="SJ10" s="190"/>
      <c r="SK10" s="190"/>
      <c r="SL10" s="190"/>
      <c r="SM10" s="190"/>
      <c r="SN10" s="190"/>
      <c r="SO10" s="190"/>
      <c r="SP10" s="190"/>
      <c r="SQ10" s="190"/>
      <c r="SR10" s="190"/>
      <c r="SS10" s="190"/>
      <c r="ST10" s="190"/>
      <c r="SU10" s="190"/>
      <c r="SV10" s="190"/>
      <c r="SW10" s="190"/>
      <c r="SX10" s="190"/>
      <c r="SY10" s="190"/>
      <c r="SZ10" s="190"/>
      <c r="TA10" s="190"/>
      <c r="TB10" s="190"/>
      <c r="TC10" s="190"/>
      <c r="TD10" s="190"/>
      <c r="TE10" s="190"/>
      <c r="TF10" s="190"/>
      <c r="TG10" s="190"/>
      <c r="TH10" s="190"/>
      <c r="TI10" s="190"/>
      <c r="TJ10" s="190"/>
      <c r="TK10" s="190"/>
      <c r="TL10" s="190"/>
      <c r="TM10" s="190"/>
      <c r="TN10" s="190"/>
      <c r="TO10" s="190"/>
      <c r="TP10" s="190"/>
      <c r="TQ10" s="190"/>
      <c r="TR10" s="190"/>
      <c r="TS10" s="190"/>
      <c r="TT10" s="190"/>
      <c r="TU10" s="190"/>
      <c r="TV10" s="190"/>
      <c r="TW10" s="190"/>
      <c r="TX10" s="190"/>
      <c r="TY10" s="190"/>
      <c r="TZ10" s="190"/>
      <c r="UA10" s="190"/>
      <c r="UB10" s="190"/>
      <c r="UC10" s="190"/>
      <c r="UD10" s="190"/>
      <c r="UE10" s="190"/>
      <c r="UF10" s="190"/>
      <c r="UG10" s="190"/>
      <c r="UH10" s="190"/>
      <c r="UI10" s="190"/>
      <c r="UJ10" s="190"/>
      <c r="UK10" s="190"/>
      <c r="UL10" s="190"/>
      <c r="UM10" s="190"/>
      <c r="UN10" s="190"/>
      <c r="UO10" s="190"/>
      <c r="UP10" s="190"/>
      <c r="UQ10" s="190"/>
      <c r="UR10" s="190"/>
      <c r="US10" s="190"/>
      <c r="UT10" s="190"/>
      <c r="UU10" s="190"/>
      <c r="UV10" s="190"/>
      <c r="UW10" s="190"/>
      <c r="UX10" s="190"/>
      <c r="UY10" s="190"/>
      <c r="UZ10" s="190"/>
      <c r="VA10" s="190"/>
      <c r="VB10" s="190"/>
      <c r="VC10" s="190"/>
      <c r="VD10" s="190"/>
      <c r="VE10" s="190"/>
      <c r="VF10" s="190"/>
      <c r="VG10" s="190"/>
      <c r="VH10" s="190"/>
      <c r="VI10" s="190"/>
      <c r="VJ10" s="190"/>
      <c r="VK10" s="190"/>
      <c r="VL10" s="190"/>
      <c r="VM10" s="190"/>
      <c r="VN10" s="190"/>
      <c r="VO10" s="190"/>
      <c r="VP10" s="190"/>
      <c r="VQ10" s="190"/>
      <c r="VR10" s="190"/>
      <c r="VS10" s="190"/>
      <c r="VT10" s="190"/>
      <c r="VU10" s="190"/>
      <c r="VV10" s="190"/>
      <c r="VW10" s="190"/>
      <c r="VX10" s="190"/>
      <c r="VY10" s="190"/>
      <c r="VZ10" s="190"/>
      <c r="WA10" s="190"/>
      <c r="WB10" s="190"/>
      <c r="WC10" s="190"/>
      <c r="WD10" s="190"/>
      <c r="WE10" s="190"/>
      <c r="WF10" s="190"/>
      <c r="WG10" s="190"/>
      <c r="WH10" s="190"/>
      <c r="WI10" s="190"/>
      <c r="WJ10" s="190"/>
      <c r="WK10" s="190"/>
      <c r="WL10" s="190"/>
      <c r="WM10" s="190"/>
      <c r="WN10" s="190"/>
      <c r="WO10" s="190"/>
      <c r="WP10" s="190"/>
      <c r="WQ10" s="190"/>
      <c r="WR10" s="190"/>
      <c r="WS10" s="190"/>
      <c r="WT10" s="190"/>
      <c r="WU10" s="190"/>
      <c r="WV10" s="190"/>
      <c r="WW10" s="190"/>
      <c r="WX10" s="190"/>
      <c r="WY10" s="190"/>
      <c r="WZ10" s="190"/>
      <c r="XA10" s="190"/>
      <c r="XB10" s="190"/>
      <c r="XC10" s="190"/>
      <c r="XD10" s="190"/>
      <c r="XE10" s="190"/>
      <c r="XF10" s="190"/>
      <c r="XG10" s="190"/>
      <c r="XH10" s="190"/>
      <c r="XI10" s="190"/>
      <c r="XJ10" s="190"/>
      <c r="XK10" s="190"/>
      <c r="XL10" s="190"/>
      <c r="XM10" s="190"/>
      <c r="XN10" s="190"/>
      <c r="XO10" s="190"/>
      <c r="XP10" s="190"/>
      <c r="XQ10" s="190"/>
      <c r="XR10" s="190"/>
      <c r="XS10" s="190"/>
      <c r="XT10" s="190"/>
      <c r="XU10" s="190"/>
      <c r="XV10" s="190"/>
      <c r="XW10" s="190"/>
      <c r="XX10" s="190"/>
      <c r="XY10" s="190"/>
      <c r="XZ10" s="190"/>
      <c r="YA10" s="190"/>
      <c r="YB10" s="190"/>
      <c r="YC10" s="190"/>
      <c r="YD10" s="190"/>
      <c r="YE10" s="190"/>
      <c r="YF10" s="190"/>
      <c r="YG10" s="190"/>
      <c r="YH10" s="190"/>
      <c r="YI10" s="190"/>
      <c r="YJ10" s="190"/>
      <c r="YK10" s="190"/>
      <c r="YL10" s="190"/>
      <c r="YM10" s="190"/>
      <c r="YN10" s="190"/>
      <c r="YO10" s="190"/>
      <c r="YP10" s="190"/>
      <c r="YQ10" s="190"/>
      <c r="YR10" s="190"/>
      <c r="YS10" s="190"/>
      <c r="YT10" s="190"/>
      <c r="YU10" s="190"/>
      <c r="YV10" s="190"/>
      <c r="YW10" s="190"/>
      <c r="YX10" s="190"/>
      <c r="YY10" s="190"/>
      <c r="YZ10" s="190"/>
      <c r="ZA10" s="190"/>
      <c r="ZB10" s="190"/>
      <c r="ZC10" s="190"/>
      <c r="ZD10" s="190"/>
      <c r="ZE10" s="190"/>
      <c r="ZF10" s="190"/>
      <c r="ZG10" s="190"/>
      <c r="ZH10" s="190"/>
      <c r="ZI10" s="190"/>
      <c r="ZJ10" s="190"/>
      <c r="ZK10" s="190"/>
      <c r="ZL10" s="190"/>
      <c r="ZM10" s="190"/>
      <c r="ZN10" s="190"/>
      <c r="ZO10" s="190"/>
      <c r="ZP10" s="190"/>
      <c r="ZQ10" s="190"/>
      <c r="ZR10" s="190"/>
      <c r="ZS10" s="190"/>
      <c r="ZT10" s="190"/>
      <c r="ZU10" s="190"/>
      <c r="ZV10" s="190"/>
      <c r="ZW10" s="190"/>
      <c r="ZX10" s="190"/>
      <c r="ZY10" s="190"/>
      <c r="ZZ10" s="190"/>
      <c r="AAA10" s="190"/>
      <c r="AAB10" s="190"/>
      <c r="AAC10" s="190"/>
      <c r="AAD10" s="190"/>
      <c r="AAE10" s="190"/>
      <c r="AAF10" s="190"/>
      <c r="AAG10" s="190"/>
      <c r="AAH10" s="190"/>
      <c r="AAI10" s="190"/>
      <c r="AAJ10" s="190"/>
      <c r="AAK10" s="190"/>
      <c r="AAL10" s="190"/>
      <c r="AAM10" s="190"/>
      <c r="AAN10" s="190"/>
      <c r="AAO10" s="190"/>
      <c r="AAP10" s="190"/>
      <c r="AAQ10" s="190"/>
      <c r="AAR10" s="190"/>
      <c r="AAS10" s="190"/>
      <c r="AAT10" s="190"/>
      <c r="AAU10" s="190"/>
      <c r="AAV10" s="190"/>
      <c r="AAW10" s="190"/>
      <c r="AAX10" s="190"/>
      <c r="AAY10" s="190"/>
      <c r="AAZ10" s="190"/>
      <c r="ABA10" s="190"/>
      <c r="ABB10" s="190"/>
      <c r="ABC10" s="190"/>
      <c r="ABD10" s="190"/>
      <c r="ABE10" s="190"/>
      <c r="ABF10" s="190"/>
      <c r="ABG10" s="190"/>
      <c r="ABH10" s="190"/>
      <c r="ABI10" s="190"/>
      <c r="ABJ10" s="190"/>
      <c r="ABK10" s="190"/>
      <c r="ABL10" s="190"/>
      <c r="ABM10" s="190"/>
      <c r="ABN10" s="190"/>
      <c r="ABO10" s="190"/>
      <c r="ABP10" s="190"/>
      <c r="ABQ10" s="190"/>
      <c r="ABR10" s="190"/>
      <c r="ABS10" s="190"/>
      <c r="ABT10" s="190"/>
      <c r="ABU10" s="190"/>
      <c r="ABV10" s="190"/>
      <c r="ABW10" s="190"/>
      <c r="ABX10" s="190"/>
      <c r="ABY10" s="190"/>
      <c r="ABZ10" s="190"/>
      <c r="ACA10" s="190"/>
      <c r="ACB10" s="190"/>
      <c r="ACC10" s="190"/>
      <c r="ACD10" s="190"/>
      <c r="ACE10" s="190"/>
      <c r="ACF10" s="190"/>
      <c r="ACG10" s="190"/>
      <c r="ACH10" s="190"/>
      <c r="ACI10" s="190"/>
      <c r="ACJ10" s="190"/>
      <c r="ACK10" s="190"/>
      <c r="ACL10" s="190"/>
      <c r="ACM10" s="190"/>
      <c r="ACN10" s="190"/>
      <c r="ACO10" s="190"/>
      <c r="ACP10" s="190"/>
      <c r="ACQ10" s="190"/>
      <c r="ACR10" s="190"/>
      <c r="ACS10" s="190"/>
      <c r="ACT10" s="190"/>
      <c r="ACU10" s="190"/>
      <c r="ACV10" s="190"/>
      <c r="ACW10" s="190"/>
      <c r="ACX10" s="190"/>
      <c r="ACY10" s="190"/>
      <c r="ACZ10" s="190"/>
      <c r="ADA10" s="190"/>
      <c r="ADB10" s="190"/>
      <c r="ADC10" s="190"/>
      <c r="ADD10" s="190"/>
      <c r="ADE10" s="190"/>
      <c r="ADF10" s="190"/>
      <c r="ADG10" s="190"/>
      <c r="ADH10" s="190"/>
      <c r="ADI10" s="190"/>
      <c r="ADJ10" s="190"/>
      <c r="ADK10" s="190"/>
      <c r="ADL10" s="190"/>
      <c r="ADM10" s="190"/>
      <c r="ADN10" s="190"/>
      <c r="ADO10" s="190"/>
      <c r="ADP10" s="190"/>
      <c r="ADQ10" s="190"/>
      <c r="ADR10" s="190"/>
      <c r="ADS10" s="190"/>
      <c r="ADT10" s="190"/>
      <c r="ADU10" s="190"/>
      <c r="ADV10" s="190"/>
      <c r="ADW10" s="190"/>
      <c r="ADX10" s="190"/>
      <c r="ADY10" s="190"/>
      <c r="ADZ10" s="190"/>
      <c r="AEA10" s="190"/>
      <c r="AEB10" s="190"/>
      <c r="AEC10" s="190"/>
      <c r="AED10" s="190"/>
      <c r="AEE10" s="190"/>
      <c r="AEF10" s="190"/>
      <c r="AEG10" s="190"/>
      <c r="AEH10" s="190"/>
      <c r="AEI10" s="190"/>
      <c r="AEJ10" s="190"/>
      <c r="AEK10" s="190"/>
      <c r="AEL10" s="190"/>
      <c r="AEM10" s="190"/>
      <c r="AEN10" s="190"/>
      <c r="AEO10" s="190"/>
      <c r="AEP10" s="190"/>
      <c r="AEQ10" s="190"/>
      <c r="AER10" s="190"/>
      <c r="AES10" s="190"/>
      <c r="AET10" s="190"/>
      <c r="AEU10" s="190"/>
      <c r="AEV10" s="190"/>
      <c r="AEW10" s="190"/>
      <c r="AEX10" s="190"/>
      <c r="AEY10" s="190"/>
      <c r="AEZ10" s="190"/>
      <c r="AFA10" s="190"/>
      <c r="AFB10" s="190"/>
      <c r="AFC10" s="190"/>
      <c r="AFD10" s="190"/>
      <c r="AFE10" s="190"/>
      <c r="AFF10" s="190"/>
      <c r="AFG10" s="190"/>
      <c r="AFH10" s="190"/>
      <c r="AFI10" s="190"/>
      <c r="AFJ10" s="190"/>
      <c r="AFK10" s="190"/>
      <c r="AFL10" s="190"/>
      <c r="AFM10" s="190"/>
      <c r="AFN10" s="190"/>
      <c r="AFO10" s="190"/>
      <c r="AFP10" s="190"/>
      <c r="AFQ10" s="190"/>
      <c r="AFR10" s="190"/>
      <c r="AFS10" s="190"/>
      <c r="AFT10" s="190"/>
      <c r="AFU10" s="190"/>
      <c r="AFV10" s="190"/>
      <c r="AFW10" s="190"/>
      <c r="AFX10" s="190"/>
      <c r="AFY10" s="190"/>
      <c r="AFZ10" s="190"/>
      <c r="AGA10" s="190"/>
      <c r="AGB10" s="190"/>
      <c r="AGC10" s="190"/>
      <c r="AGD10" s="190"/>
      <c r="AGE10" s="190"/>
      <c r="AGF10" s="190"/>
      <c r="AGG10" s="190"/>
      <c r="AGH10" s="190"/>
      <c r="AGI10" s="190"/>
      <c r="AGJ10" s="190"/>
      <c r="AGK10" s="190"/>
      <c r="AGL10" s="190"/>
      <c r="AGM10" s="190"/>
      <c r="AGN10" s="190"/>
      <c r="AGO10" s="190"/>
      <c r="AGP10" s="190"/>
      <c r="AGQ10" s="190"/>
      <c r="AGR10" s="190"/>
      <c r="AGS10" s="190"/>
      <c r="AGT10" s="190"/>
      <c r="AGU10" s="190"/>
      <c r="AGV10" s="190"/>
      <c r="AGW10" s="190"/>
      <c r="AGX10" s="190"/>
      <c r="AGY10" s="190"/>
      <c r="AGZ10" s="190"/>
      <c r="AHA10" s="190"/>
      <c r="AHB10" s="190"/>
      <c r="AHC10" s="190"/>
      <c r="AHD10" s="190"/>
      <c r="AHE10" s="190"/>
      <c r="AHF10" s="190"/>
      <c r="AHG10" s="190"/>
      <c r="AHH10" s="190"/>
      <c r="AHI10" s="190"/>
      <c r="AHJ10" s="190"/>
      <c r="AHK10" s="190"/>
      <c r="AHL10" s="190"/>
      <c r="AHM10" s="190"/>
      <c r="AHN10" s="190"/>
      <c r="AHO10" s="190"/>
      <c r="AHP10" s="190"/>
      <c r="AHQ10" s="190"/>
      <c r="AHR10" s="190"/>
      <c r="AHS10" s="190"/>
      <c r="AHT10" s="190"/>
      <c r="AHU10" s="190"/>
      <c r="AHV10" s="190"/>
      <c r="AHW10" s="190"/>
      <c r="AHX10" s="190"/>
      <c r="AHY10" s="190"/>
      <c r="AHZ10" s="190"/>
      <c r="AIA10" s="190"/>
      <c r="AIB10" s="190"/>
      <c r="AIC10" s="190"/>
      <c r="AID10" s="190"/>
      <c r="AIE10" s="190"/>
      <c r="AIF10" s="190"/>
      <c r="AIG10" s="190"/>
      <c r="AIH10" s="190"/>
      <c r="AII10" s="190"/>
      <c r="AIJ10" s="190"/>
      <c r="AIK10" s="190"/>
      <c r="AIL10" s="190"/>
      <c r="AIM10" s="190"/>
      <c r="AIN10" s="190"/>
      <c r="AIO10" s="190"/>
      <c r="AIP10" s="190"/>
      <c r="AIQ10" s="190"/>
      <c r="AIR10" s="190"/>
      <c r="AIS10" s="190"/>
      <c r="AIT10" s="190"/>
      <c r="AIU10" s="190"/>
      <c r="AIV10" s="190"/>
      <c r="AIW10" s="190"/>
      <c r="AIX10" s="190"/>
      <c r="AIY10" s="190"/>
      <c r="AIZ10" s="190"/>
      <c r="AJA10" s="190"/>
      <c r="AJB10" s="190"/>
      <c r="AJC10" s="190"/>
      <c r="AJD10" s="190"/>
      <c r="AJE10" s="190"/>
      <c r="AJF10" s="190"/>
      <c r="AJG10" s="190"/>
      <c r="AJH10" s="190"/>
      <c r="AJI10" s="190"/>
      <c r="AJJ10" s="190"/>
      <c r="AJK10" s="190"/>
      <c r="AJL10" s="190"/>
      <c r="AJM10" s="190"/>
      <c r="AJN10" s="190"/>
      <c r="AJO10" s="190"/>
      <c r="AJP10" s="190"/>
      <c r="AJQ10" s="190"/>
      <c r="AJR10" s="190"/>
      <c r="AJS10" s="190"/>
      <c r="AJT10" s="190"/>
      <c r="AJU10" s="190"/>
      <c r="AJV10" s="190"/>
      <c r="AJW10" s="190"/>
      <c r="AJX10" s="190"/>
      <c r="AJY10" s="190"/>
      <c r="AJZ10" s="190"/>
      <c r="AKA10" s="190"/>
      <c r="AKB10" s="190"/>
      <c r="AKC10" s="190"/>
      <c r="AKD10" s="190"/>
      <c r="AKE10" s="190"/>
      <c r="AKF10" s="190"/>
      <c r="AKG10" s="190"/>
      <c r="AKH10" s="190"/>
      <c r="AKI10" s="190"/>
      <c r="AKJ10" s="190"/>
      <c r="AKK10" s="190"/>
      <c r="AKL10" s="190"/>
      <c r="AKM10" s="190"/>
      <c r="AKN10" s="190"/>
      <c r="AKO10" s="190"/>
      <c r="AKP10" s="190"/>
      <c r="AKQ10" s="190"/>
      <c r="AKR10" s="190"/>
      <c r="AKS10" s="190"/>
      <c r="AKT10" s="190"/>
      <c r="AKU10" s="190"/>
      <c r="AKV10" s="190"/>
      <c r="AKW10" s="190"/>
      <c r="AKX10" s="190"/>
      <c r="AKY10" s="190"/>
      <c r="AKZ10" s="190"/>
      <c r="ALA10" s="190"/>
      <c r="ALB10" s="190"/>
      <c r="ALC10" s="190"/>
      <c r="ALD10" s="190"/>
      <c r="ALE10" s="190"/>
      <c r="ALF10" s="190"/>
      <c r="ALG10" s="190"/>
      <c r="ALH10" s="190"/>
      <c r="ALI10" s="190"/>
      <c r="ALJ10" s="190"/>
      <c r="ALK10" s="190"/>
      <c r="ALL10" s="190"/>
      <c r="ALM10" s="190"/>
      <c r="ALN10" s="190"/>
      <c r="ALO10" s="190"/>
      <c r="ALP10" s="190"/>
      <c r="ALQ10" s="190"/>
      <c r="ALR10" s="190"/>
      <c r="ALS10" s="190"/>
      <c r="ALT10" s="190"/>
      <c r="ALU10" s="190"/>
      <c r="ALV10" s="190"/>
      <c r="ALW10" s="190"/>
      <c r="ALX10" s="190"/>
      <c r="ALY10" s="190"/>
      <c r="ALZ10" s="190"/>
      <c r="AMA10" s="190"/>
      <c r="AMB10" s="190"/>
      <c r="AMC10" s="190"/>
      <c r="AMD10" s="190"/>
      <c r="AME10" s="190"/>
      <c r="AMF10" s="190"/>
      <c r="AMG10" s="190"/>
      <c r="AMH10" s="190"/>
      <c r="AMI10" s="190"/>
      <c r="AMJ10" s="190"/>
      <c r="AMK10" s="190"/>
      <c r="AML10" s="190"/>
      <c r="AMM10" s="190"/>
      <c r="AMN10" s="190"/>
      <c r="AMO10" s="190"/>
      <c r="AMP10" s="190"/>
      <c r="AMQ10" s="190"/>
      <c r="AMR10" s="190"/>
      <c r="AMS10" s="190"/>
      <c r="AMT10" s="190"/>
      <c r="AMU10" s="190"/>
      <c r="AMV10" s="190"/>
      <c r="AMW10" s="190"/>
      <c r="AMX10" s="190"/>
      <c r="AMY10" s="190"/>
      <c r="AMZ10" s="190"/>
      <c r="ANA10" s="190"/>
      <c r="ANB10" s="190"/>
      <c r="ANC10" s="190"/>
      <c r="AND10" s="190"/>
      <c r="ANE10" s="190"/>
      <c r="ANF10" s="190"/>
      <c r="ANG10" s="190"/>
      <c r="ANH10" s="190"/>
      <c r="ANI10" s="190"/>
      <c r="ANJ10" s="190"/>
      <c r="ANK10" s="190"/>
      <c r="ANL10" s="190"/>
      <c r="ANM10" s="190"/>
      <c r="ANN10" s="190"/>
      <c r="ANO10" s="190"/>
      <c r="ANP10" s="190"/>
      <c r="ANQ10" s="190"/>
      <c r="ANR10" s="190"/>
      <c r="ANS10" s="190"/>
      <c r="ANT10" s="190"/>
      <c r="ANU10" s="190"/>
      <c r="ANV10" s="190"/>
      <c r="ANW10" s="190"/>
      <c r="ANX10" s="190"/>
      <c r="ANY10" s="190"/>
      <c r="ANZ10" s="190"/>
      <c r="AOA10" s="190"/>
      <c r="AOB10" s="190"/>
      <c r="AOC10" s="190"/>
      <c r="AOD10" s="190"/>
      <c r="AOE10" s="190"/>
      <c r="AOF10" s="190"/>
      <c r="AOG10" s="190"/>
      <c r="AOH10" s="190"/>
      <c r="AOI10" s="190"/>
      <c r="AOJ10" s="190"/>
      <c r="AOK10" s="190"/>
      <c r="AOL10" s="190"/>
      <c r="AOM10" s="190"/>
      <c r="AON10" s="190"/>
      <c r="AOO10" s="190"/>
      <c r="AOP10" s="190"/>
      <c r="AOQ10" s="190"/>
      <c r="AOR10" s="190"/>
      <c r="AOS10" s="190"/>
      <c r="AOT10" s="190"/>
      <c r="AOU10" s="190"/>
      <c r="AOV10" s="190"/>
      <c r="AOW10" s="190"/>
      <c r="AOX10" s="190"/>
      <c r="AOY10" s="190"/>
      <c r="AOZ10" s="190"/>
      <c r="APA10" s="190"/>
      <c r="APB10" s="190"/>
      <c r="APC10" s="190"/>
      <c r="APD10" s="190"/>
      <c r="APE10" s="190"/>
      <c r="APF10" s="190"/>
      <c r="APG10" s="190"/>
      <c r="APH10" s="190"/>
      <c r="API10" s="190"/>
      <c r="APJ10" s="190"/>
      <c r="APK10" s="190"/>
      <c r="APL10" s="190"/>
      <c r="APM10" s="190"/>
      <c r="APN10" s="190"/>
      <c r="APO10" s="190"/>
      <c r="APP10" s="190"/>
      <c r="APQ10" s="190"/>
      <c r="APR10" s="190"/>
      <c r="APS10" s="190"/>
      <c r="APT10" s="190"/>
      <c r="APU10" s="190"/>
      <c r="APV10" s="190"/>
      <c r="APW10" s="190"/>
      <c r="APX10" s="190"/>
      <c r="APY10" s="190"/>
      <c r="APZ10" s="190"/>
      <c r="AQA10" s="190"/>
      <c r="AQB10" s="190"/>
      <c r="AQC10" s="190"/>
      <c r="AQD10" s="190"/>
      <c r="AQE10" s="190"/>
      <c r="AQF10" s="190"/>
      <c r="AQG10" s="190"/>
      <c r="AQH10" s="190"/>
      <c r="AQI10" s="190"/>
      <c r="AQJ10" s="190"/>
      <c r="AQK10" s="190"/>
      <c r="AQL10" s="190"/>
      <c r="AQM10" s="190"/>
      <c r="AQN10" s="190"/>
      <c r="AQO10" s="190"/>
      <c r="AQP10" s="190"/>
      <c r="AQQ10" s="190"/>
      <c r="AQR10" s="190"/>
      <c r="AQS10" s="190"/>
      <c r="AQT10" s="190"/>
      <c r="AQU10" s="190"/>
      <c r="AQV10" s="190"/>
      <c r="AQW10" s="190"/>
      <c r="AQX10" s="190"/>
      <c r="AQY10" s="190"/>
      <c r="AQZ10" s="190"/>
      <c r="ARA10" s="190"/>
      <c r="ARB10" s="190"/>
      <c r="ARC10" s="190"/>
      <c r="ARD10" s="190"/>
      <c r="ARE10" s="190"/>
      <c r="ARF10" s="190"/>
      <c r="ARG10" s="190"/>
      <c r="ARH10" s="190"/>
      <c r="ARI10" s="190"/>
      <c r="ARJ10" s="190"/>
      <c r="ARK10" s="190"/>
      <c r="ARL10" s="190"/>
      <c r="ARM10" s="190"/>
      <c r="ARN10" s="190"/>
      <c r="ARO10" s="190"/>
      <c r="ARP10" s="190"/>
      <c r="ARQ10" s="190"/>
      <c r="ARR10" s="190"/>
      <c r="ARS10" s="190"/>
      <c r="ART10" s="190"/>
      <c r="ARU10" s="190"/>
      <c r="ARV10" s="190"/>
      <c r="ARW10" s="190"/>
      <c r="ARX10" s="190"/>
      <c r="ARY10" s="190"/>
      <c r="ARZ10" s="190"/>
      <c r="ASA10" s="190"/>
      <c r="ASB10" s="190"/>
      <c r="ASC10" s="190"/>
      <c r="ASD10" s="190"/>
      <c r="ASE10" s="190"/>
      <c r="ASF10" s="190"/>
      <c r="ASG10" s="190"/>
      <c r="ASH10" s="190"/>
      <c r="ASI10" s="190"/>
      <c r="ASJ10" s="190"/>
      <c r="ASK10" s="190"/>
      <c r="ASL10" s="190"/>
      <c r="ASM10" s="190"/>
      <c r="ASN10" s="190"/>
      <c r="ASO10" s="190"/>
      <c r="ASP10" s="190"/>
      <c r="ASQ10" s="190"/>
      <c r="ASR10" s="190"/>
      <c r="ASS10" s="190"/>
      <c r="AST10" s="190"/>
      <c r="ASU10" s="190"/>
      <c r="ASV10" s="190"/>
      <c r="ASW10" s="190"/>
      <c r="ASX10" s="190"/>
      <c r="ASY10" s="190"/>
      <c r="ASZ10" s="190"/>
      <c r="ATA10" s="190"/>
      <c r="ATB10" s="190"/>
      <c r="ATC10" s="190"/>
      <c r="ATD10" s="190"/>
      <c r="ATE10" s="190"/>
      <c r="ATF10" s="190"/>
      <c r="ATG10" s="190"/>
      <c r="ATH10" s="190"/>
      <c r="ATI10" s="190"/>
      <c r="ATJ10" s="190"/>
      <c r="ATK10" s="190"/>
      <c r="ATL10" s="190"/>
      <c r="ATM10" s="190"/>
      <c r="ATN10" s="190"/>
      <c r="ATO10" s="190"/>
      <c r="ATP10" s="190"/>
      <c r="ATQ10" s="190"/>
      <c r="ATR10" s="190"/>
      <c r="ATS10" s="190"/>
      <c r="ATT10" s="190"/>
      <c r="ATU10" s="190"/>
      <c r="ATV10" s="190"/>
      <c r="ATW10" s="190"/>
      <c r="ATX10" s="190"/>
      <c r="ATY10" s="190"/>
      <c r="ATZ10" s="190"/>
      <c r="AUA10" s="190"/>
      <c r="AUB10" s="190"/>
      <c r="AUC10" s="190"/>
      <c r="AUD10" s="190"/>
      <c r="AUE10" s="190"/>
      <c r="AUF10" s="190"/>
      <c r="AUG10" s="190"/>
      <c r="AUH10" s="190"/>
      <c r="AUI10" s="190"/>
      <c r="AUJ10" s="190"/>
      <c r="AUK10" s="190"/>
      <c r="AUL10" s="190"/>
      <c r="AUM10" s="190"/>
      <c r="AUN10" s="190"/>
      <c r="AUO10" s="190"/>
      <c r="AUP10" s="190"/>
      <c r="AUQ10" s="190"/>
      <c r="AUR10" s="190"/>
      <c r="AUS10" s="190"/>
      <c r="AUT10" s="190"/>
      <c r="AUU10" s="190"/>
      <c r="AUV10" s="190"/>
      <c r="AUW10" s="190"/>
      <c r="AUX10" s="190"/>
      <c r="AUY10" s="190"/>
      <c r="AUZ10" s="190"/>
      <c r="AVA10" s="190"/>
      <c r="AVB10" s="190"/>
      <c r="AVC10" s="190"/>
      <c r="AVD10" s="190"/>
      <c r="AVE10" s="190"/>
      <c r="AVF10" s="190"/>
      <c r="AVG10" s="190"/>
      <c r="AVH10" s="190"/>
      <c r="AVI10" s="190"/>
      <c r="AVJ10" s="190"/>
      <c r="AVK10" s="190"/>
      <c r="AVL10" s="190"/>
      <c r="AVM10" s="190"/>
      <c r="AVN10" s="190"/>
      <c r="AVO10" s="190"/>
      <c r="AVP10" s="190"/>
      <c r="AVQ10" s="190"/>
      <c r="AVR10" s="190"/>
      <c r="AVS10" s="190"/>
      <c r="AVT10" s="190"/>
      <c r="AVU10" s="190"/>
      <c r="AVV10" s="190"/>
      <c r="AVW10" s="190"/>
      <c r="AVX10" s="190"/>
      <c r="AVY10" s="190"/>
      <c r="AVZ10" s="190"/>
      <c r="AWA10" s="190"/>
      <c r="AWB10" s="190"/>
      <c r="AWC10" s="190"/>
      <c r="AWD10" s="190"/>
      <c r="AWE10" s="190"/>
      <c r="AWF10" s="190"/>
      <c r="AWG10" s="190"/>
      <c r="AWH10" s="190"/>
      <c r="AWI10" s="190"/>
      <c r="AWJ10" s="190"/>
      <c r="AWK10" s="190"/>
      <c r="AWL10" s="190"/>
      <c r="AWM10" s="190"/>
      <c r="AWN10" s="190"/>
      <c r="AWO10" s="190"/>
      <c r="AWP10" s="190"/>
      <c r="AWQ10" s="190"/>
      <c r="AWR10" s="190"/>
      <c r="AWS10" s="190"/>
      <c r="AWT10" s="190"/>
      <c r="AWU10" s="190"/>
      <c r="AWV10" s="190"/>
      <c r="AWW10" s="190"/>
      <c r="AWX10" s="190"/>
      <c r="AWY10" s="190"/>
      <c r="AWZ10" s="190"/>
      <c r="AXA10" s="190"/>
      <c r="AXB10" s="190"/>
      <c r="AXC10" s="190"/>
      <c r="AXD10" s="190"/>
      <c r="AXE10" s="190"/>
      <c r="AXF10" s="190"/>
      <c r="AXG10" s="190"/>
      <c r="AXH10" s="190"/>
      <c r="AXI10" s="190"/>
      <c r="AXJ10" s="190"/>
      <c r="AXK10" s="190"/>
      <c r="AXL10" s="190"/>
      <c r="AXM10" s="190"/>
      <c r="AXN10" s="190"/>
      <c r="AXO10" s="190"/>
      <c r="AXP10" s="190"/>
      <c r="AXQ10" s="190"/>
      <c r="AXR10" s="190"/>
      <c r="AXS10" s="190"/>
      <c r="AXT10" s="190"/>
      <c r="AXU10" s="190"/>
      <c r="AXV10" s="190"/>
      <c r="AXW10" s="190"/>
      <c r="AXX10" s="190"/>
      <c r="AXY10" s="190"/>
      <c r="AXZ10" s="190"/>
      <c r="AYA10" s="190"/>
      <c r="AYB10" s="190"/>
      <c r="AYC10" s="190"/>
      <c r="AYD10" s="190"/>
      <c r="AYE10" s="190"/>
      <c r="AYF10" s="190"/>
      <c r="AYG10" s="190"/>
      <c r="AYH10" s="190"/>
      <c r="AYI10" s="190"/>
      <c r="AYJ10" s="190"/>
      <c r="AYK10" s="190"/>
      <c r="AYL10" s="190"/>
      <c r="AYM10" s="190"/>
      <c r="AYN10" s="190"/>
      <c r="AYO10" s="190"/>
      <c r="AYP10" s="190"/>
      <c r="AYQ10" s="190"/>
      <c r="AYR10" s="190"/>
      <c r="AYS10" s="190"/>
      <c r="AYT10" s="190"/>
      <c r="AYU10" s="190"/>
      <c r="AYV10" s="190"/>
      <c r="AYW10" s="190"/>
      <c r="AYX10" s="190"/>
      <c r="AYY10" s="190"/>
      <c r="AYZ10" s="190"/>
      <c r="AZA10" s="190"/>
      <c r="AZB10" s="190"/>
      <c r="AZC10" s="190"/>
      <c r="AZD10" s="190"/>
      <c r="AZE10" s="190"/>
      <c r="AZF10" s="190"/>
      <c r="AZG10" s="190"/>
      <c r="AZH10" s="190"/>
      <c r="AZI10" s="190"/>
      <c r="AZJ10" s="190"/>
      <c r="AZK10" s="190"/>
      <c r="AZL10" s="190"/>
      <c r="AZM10" s="190"/>
      <c r="AZN10" s="190"/>
      <c r="AZO10" s="190"/>
      <c r="AZP10" s="190"/>
      <c r="AZQ10" s="190"/>
      <c r="AZR10" s="190"/>
      <c r="AZS10" s="190"/>
      <c r="AZT10" s="190"/>
      <c r="AZU10" s="190"/>
      <c r="AZV10" s="190"/>
      <c r="AZW10" s="190"/>
      <c r="AZX10" s="190"/>
      <c r="AZY10" s="190"/>
      <c r="AZZ10" s="190"/>
      <c r="BAA10" s="190"/>
      <c r="BAB10" s="190"/>
      <c r="BAC10" s="190"/>
      <c r="BAD10" s="190"/>
      <c r="BAE10" s="190"/>
      <c r="BAF10" s="190"/>
      <c r="BAG10" s="190"/>
      <c r="BAH10" s="190"/>
      <c r="BAI10" s="190"/>
      <c r="BAJ10" s="190"/>
      <c r="BAK10" s="190"/>
      <c r="BAL10" s="190"/>
      <c r="BAM10" s="190"/>
      <c r="BAN10" s="190"/>
      <c r="BAO10" s="190"/>
      <c r="BAP10" s="190"/>
      <c r="BAQ10" s="190"/>
      <c r="BAR10" s="190"/>
      <c r="BAS10" s="190"/>
      <c r="BAT10" s="190"/>
      <c r="BAU10" s="190"/>
      <c r="BAV10" s="190"/>
      <c r="BAW10" s="190"/>
      <c r="BAX10" s="190"/>
      <c r="BAY10" s="190"/>
      <c r="BAZ10" s="190"/>
      <c r="BBA10" s="190"/>
      <c r="BBB10" s="190"/>
      <c r="BBC10" s="190"/>
      <c r="BBD10" s="190"/>
      <c r="BBE10" s="190"/>
      <c r="BBF10" s="190"/>
      <c r="BBG10" s="190"/>
      <c r="BBH10" s="190"/>
      <c r="BBI10" s="190"/>
      <c r="BBJ10" s="190"/>
      <c r="BBK10" s="190"/>
      <c r="BBL10" s="190"/>
      <c r="BBM10" s="190"/>
      <c r="BBN10" s="190"/>
      <c r="BBO10" s="190"/>
      <c r="BBP10" s="190"/>
      <c r="BBQ10" s="190"/>
      <c r="BBR10" s="190"/>
      <c r="BBS10" s="190"/>
      <c r="BBT10" s="190"/>
      <c r="BBU10" s="190"/>
      <c r="BBV10" s="190"/>
      <c r="BBW10" s="190"/>
      <c r="BBX10" s="190"/>
      <c r="BBY10" s="190"/>
      <c r="BBZ10" s="190"/>
      <c r="BCA10" s="190"/>
      <c r="BCB10" s="190"/>
      <c r="BCC10" s="190"/>
      <c r="BCD10" s="190"/>
      <c r="BCE10" s="190"/>
      <c r="BCF10" s="190"/>
      <c r="BCG10" s="190"/>
      <c r="BCH10" s="190"/>
      <c r="BCI10" s="190"/>
      <c r="BCJ10" s="190"/>
      <c r="BCK10" s="190"/>
      <c r="BCL10" s="190"/>
      <c r="BCM10" s="190"/>
      <c r="BCN10" s="190"/>
      <c r="BCO10" s="190"/>
      <c r="BCP10" s="190"/>
      <c r="BCQ10" s="190"/>
      <c r="BCR10" s="190"/>
      <c r="BCS10" s="190"/>
      <c r="BCT10" s="190"/>
      <c r="BCU10" s="190"/>
      <c r="BCV10" s="190"/>
      <c r="BCW10" s="190"/>
      <c r="BCX10" s="190"/>
      <c r="BCY10" s="190"/>
      <c r="BCZ10" s="190"/>
      <c r="BDA10" s="190"/>
      <c r="BDB10" s="190"/>
      <c r="BDC10" s="190"/>
      <c r="BDD10" s="190"/>
      <c r="BDE10" s="190"/>
      <c r="BDF10" s="190"/>
      <c r="BDG10" s="190"/>
      <c r="BDH10" s="190"/>
      <c r="BDI10" s="190"/>
      <c r="BDJ10" s="190"/>
      <c r="BDK10" s="190"/>
      <c r="BDL10" s="190"/>
      <c r="BDM10" s="190"/>
      <c r="BDN10" s="190"/>
      <c r="BDO10" s="190"/>
      <c r="BDP10" s="190"/>
      <c r="BDQ10" s="190"/>
      <c r="BDR10" s="190"/>
      <c r="BDS10" s="190"/>
      <c r="BDT10" s="190"/>
      <c r="BDU10" s="190"/>
      <c r="BDV10" s="190"/>
      <c r="BDW10" s="190"/>
      <c r="BDX10" s="190"/>
      <c r="BDY10" s="190"/>
      <c r="BDZ10" s="190"/>
      <c r="BEA10" s="190"/>
      <c r="BEB10" s="190"/>
      <c r="BEC10" s="190"/>
      <c r="BED10" s="190"/>
      <c r="BEE10" s="190"/>
      <c r="BEF10" s="190"/>
      <c r="BEG10" s="190"/>
      <c r="BEH10" s="190"/>
      <c r="BEI10" s="190"/>
      <c r="BEJ10" s="190"/>
      <c r="BEK10" s="190"/>
      <c r="BEL10" s="190"/>
      <c r="BEM10" s="190"/>
      <c r="BEN10" s="190"/>
      <c r="BEO10" s="190"/>
      <c r="BEP10" s="190"/>
      <c r="BEQ10" s="190"/>
      <c r="BER10" s="190"/>
      <c r="BES10" s="190"/>
      <c r="BET10" s="190"/>
      <c r="BEU10" s="190"/>
      <c r="BEV10" s="190"/>
      <c r="BEW10" s="190"/>
      <c r="BEX10" s="190"/>
      <c r="BEY10" s="190"/>
      <c r="BEZ10" s="190"/>
      <c r="BFA10" s="190"/>
      <c r="BFB10" s="190"/>
      <c r="BFC10" s="190"/>
      <c r="BFD10" s="190"/>
      <c r="BFE10" s="190"/>
      <c r="BFF10" s="190"/>
      <c r="BFG10" s="190"/>
      <c r="BFH10" s="190"/>
      <c r="BFI10" s="190"/>
      <c r="BFJ10" s="190"/>
      <c r="BFK10" s="190"/>
      <c r="BFL10" s="190"/>
      <c r="BFM10" s="190"/>
      <c r="BFN10" s="190"/>
      <c r="BFO10" s="190"/>
      <c r="BFP10" s="190"/>
      <c r="BFQ10" s="190"/>
      <c r="BFR10" s="190"/>
      <c r="BFS10" s="190"/>
      <c r="BFT10" s="190"/>
      <c r="BFU10" s="190"/>
      <c r="BFV10" s="190"/>
      <c r="BFW10" s="190"/>
      <c r="BFX10" s="190"/>
      <c r="BFY10" s="190"/>
      <c r="BFZ10" s="190"/>
      <c r="BGA10" s="190"/>
      <c r="BGB10" s="190"/>
      <c r="BGC10" s="190"/>
      <c r="BGD10" s="190"/>
      <c r="BGE10" s="190"/>
      <c r="BGF10" s="190"/>
      <c r="BGG10" s="190"/>
      <c r="BGH10" s="190"/>
      <c r="BGI10" s="190"/>
      <c r="BGJ10" s="190"/>
      <c r="BGK10" s="190"/>
      <c r="BGL10" s="190"/>
      <c r="BGM10" s="190"/>
      <c r="BGN10" s="190"/>
      <c r="BGO10" s="190"/>
      <c r="BGP10" s="190"/>
      <c r="BGQ10" s="190"/>
      <c r="BGR10" s="190"/>
      <c r="BGS10" s="190"/>
      <c r="BGT10" s="190"/>
      <c r="BGU10" s="190"/>
      <c r="BGV10" s="190"/>
      <c r="BGW10" s="190"/>
      <c r="BGX10" s="190"/>
      <c r="BGY10" s="190"/>
      <c r="BGZ10" s="190"/>
      <c r="BHA10" s="190"/>
      <c r="BHB10" s="190"/>
      <c r="BHC10" s="190"/>
      <c r="BHD10" s="190"/>
      <c r="BHE10" s="190"/>
      <c r="BHF10" s="190"/>
      <c r="BHG10" s="190"/>
      <c r="BHH10" s="190"/>
      <c r="BHI10" s="190"/>
      <c r="BHJ10" s="190"/>
      <c r="BHK10" s="190"/>
      <c r="BHL10" s="190"/>
      <c r="BHM10" s="190"/>
      <c r="BHN10" s="190"/>
      <c r="BHO10" s="190"/>
      <c r="BHP10" s="190"/>
      <c r="BHQ10" s="190"/>
      <c r="BHR10" s="190"/>
      <c r="BHS10" s="190"/>
      <c r="BHT10" s="190"/>
      <c r="BHU10" s="190"/>
      <c r="BHV10" s="190"/>
      <c r="BHW10" s="190"/>
      <c r="BHX10" s="190"/>
      <c r="BHY10" s="190"/>
      <c r="BHZ10" s="190"/>
      <c r="BIA10" s="190"/>
      <c r="BIB10" s="190"/>
      <c r="BIC10" s="190"/>
      <c r="BID10" s="190"/>
      <c r="BIE10" s="190"/>
      <c r="BIF10" s="190"/>
      <c r="BIG10" s="190"/>
      <c r="BIH10" s="190"/>
      <c r="BII10" s="190"/>
      <c r="BIJ10" s="190"/>
      <c r="BIK10" s="190"/>
      <c r="BIL10" s="190"/>
      <c r="BIM10" s="190"/>
      <c r="BIN10" s="190"/>
      <c r="BIO10" s="190"/>
      <c r="BIP10" s="190"/>
      <c r="BIQ10" s="190"/>
      <c r="BIR10" s="190"/>
      <c r="BIS10" s="190"/>
      <c r="BIT10" s="190"/>
      <c r="BIU10" s="190"/>
      <c r="BIV10" s="190"/>
      <c r="BIW10" s="190"/>
      <c r="BIX10" s="190"/>
      <c r="BIY10" s="190"/>
      <c r="BIZ10" s="190"/>
      <c r="BJA10" s="190"/>
      <c r="BJB10" s="190"/>
      <c r="BJC10" s="190"/>
      <c r="BJD10" s="190"/>
      <c r="BJE10" s="190"/>
      <c r="BJF10" s="190"/>
      <c r="BJG10" s="190"/>
      <c r="BJH10" s="190"/>
      <c r="BJI10" s="190"/>
      <c r="BJJ10" s="190"/>
      <c r="BJK10" s="190"/>
      <c r="BJL10" s="190"/>
      <c r="BJM10" s="190"/>
      <c r="BJN10" s="75"/>
    </row>
    <row r="11" spans="1:1652" ht="20.100000000000001" customHeight="1" x14ac:dyDescent="0.25">
      <c r="B11" s="53"/>
      <c r="C11" s="204"/>
      <c r="D11" s="204"/>
      <c r="E11" s="204"/>
      <c r="F11" s="192" t="s">
        <v>98</v>
      </c>
      <c r="G11" s="192"/>
      <c r="H11" s="192"/>
      <c r="I11" s="192"/>
      <c r="J11" s="192"/>
      <c r="K11" s="192"/>
      <c r="L11" s="192"/>
      <c r="M11" s="192"/>
      <c r="N11" s="192"/>
      <c r="O11" s="192"/>
      <c r="P11" s="192"/>
      <c r="Q11" s="192"/>
      <c r="R11" s="192"/>
      <c r="S11" s="192"/>
      <c r="T11" s="192"/>
      <c r="U11" s="192"/>
      <c r="V11" s="192"/>
      <c r="W11" s="192"/>
      <c r="X11" s="192"/>
      <c r="Y11" s="192"/>
      <c r="Z11" s="192"/>
      <c r="AA11" s="192"/>
      <c r="AB11" s="192"/>
      <c r="AC11" s="192"/>
      <c r="AD11" s="192"/>
      <c r="AE11" s="192"/>
      <c r="AF11" s="192"/>
      <c r="AG11" s="192"/>
      <c r="AH11" s="192"/>
      <c r="AI11" s="192"/>
      <c r="AJ11" s="192"/>
      <c r="AK11" s="192"/>
      <c r="AL11" s="192"/>
      <c r="AM11" s="192"/>
      <c r="AN11" s="192"/>
      <c r="AO11" s="192"/>
      <c r="AP11" s="192"/>
      <c r="AQ11" s="192"/>
      <c r="AR11" s="192"/>
      <c r="AS11" s="192"/>
      <c r="AT11" s="192"/>
      <c r="AU11" s="192"/>
      <c r="AV11" s="192"/>
      <c r="AW11" s="192"/>
      <c r="AX11" s="192"/>
      <c r="AY11" s="192"/>
      <c r="AZ11" s="192"/>
      <c r="BA11" s="192"/>
      <c r="BB11" s="192"/>
      <c r="BC11" s="192"/>
      <c r="BD11" s="192"/>
      <c r="BE11" s="192"/>
      <c r="BF11" s="192"/>
      <c r="BG11" s="192"/>
      <c r="BH11" s="192"/>
      <c r="BI11" s="192"/>
      <c r="BJ11" s="192"/>
      <c r="BK11" s="192"/>
      <c r="BL11" s="192"/>
      <c r="BM11" s="192"/>
      <c r="BN11" s="192" t="s">
        <v>98</v>
      </c>
      <c r="BO11" s="192"/>
      <c r="BP11" s="192"/>
      <c r="BQ11" s="192"/>
      <c r="BR11" s="192"/>
      <c r="BS11" s="192"/>
      <c r="BT11" s="192"/>
      <c r="BU11" s="192"/>
      <c r="BV11" s="192"/>
      <c r="BW11" s="192"/>
      <c r="BX11" s="192"/>
      <c r="BY11" s="192"/>
      <c r="BZ11" s="192"/>
      <c r="CA11" s="192"/>
      <c r="CB11" s="192"/>
      <c r="CC11" s="192"/>
      <c r="CD11" s="192"/>
      <c r="CE11" s="192"/>
      <c r="CF11" s="192"/>
      <c r="CG11" s="192"/>
      <c r="CH11" s="192"/>
      <c r="CI11" s="192"/>
      <c r="CJ11" s="192"/>
      <c r="CK11" s="192"/>
      <c r="CL11" s="192"/>
      <c r="CM11" s="192"/>
      <c r="CN11" s="192"/>
      <c r="CO11" s="192"/>
      <c r="CP11" s="192"/>
      <c r="CQ11" s="192"/>
      <c r="CR11" s="192"/>
      <c r="CS11" s="192"/>
      <c r="CT11" s="192"/>
      <c r="CU11" s="192"/>
      <c r="CV11" s="192"/>
      <c r="CW11" s="192"/>
      <c r="CX11" s="192"/>
      <c r="CY11" s="192"/>
      <c r="CZ11" s="192"/>
      <c r="DA11" s="192"/>
      <c r="DB11" s="192"/>
      <c r="DC11" s="192"/>
      <c r="DD11" s="192"/>
      <c r="DE11" s="192"/>
      <c r="DF11" s="192"/>
      <c r="DG11" s="192"/>
      <c r="DH11" s="192"/>
      <c r="DI11" s="192"/>
      <c r="DJ11" s="192"/>
      <c r="DK11" s="192"/>
      <c r="DL11" s="192"/>
      <c r="DM11" s="192"/>
      <c r="DN11" s="192"/>
      <c r="DO11" s="192"/>
      <c r="DP11" s="192"/>
      <c r="DQ11" s="192"/>
      <c r="DR11" s="192"/>
      <c r="DS11" s="192"/>
      <c r="DT11" s="192"/>
      <c r="DU11" s="192"/>
      <c r="DV11" s="194" t="s">
        <v>99</v>
      </c>
      <c r="DW11" s="194"/>
      <c r="DX11" s="194"/>
      <c r="DY11" s="194"/>
      <c r="DZ11" s="194"/>
      <c r="EA11" s="194"/>
      <c r="EB11" s="194"/>
      <c r="EC11" s="194"/>
      <c r="ED11" s="194"/>
      <c r="EE11" s="194"/>
      <c r="EF11" s="194"/>
      <c r="EG11" s="194"/>
      <c r="EH11" s="194"/>
      <c r="EI11" s="194"/>
      <c r="EJ11" s="194"/>
      <c r="EK11" s="194"/>
      <c r="EL11" s="194"/>
      <c r="EM11" s="194"/>
      <c r="EN11" s="194"/>
      <c r="EO11" s="194"/>
      <c r="EP11" s="194"/>
      <c r="EQ11" s="194"/>
      <c r="ER11" s="194"/>
      <c r="ES11" s="194"/>
      <c r="ET11" s="194"/>
      <c r="EU11" s="194"/>
      <c r="EV11" s="194"/>
      <c r="EW11" s="194"/>
      <c r="EX11" s="194"/>
      <c r="EY11" s="194"/>
      <c r="EZ11" s="194"/>
      <c r="FA11" s="194"/>
      <c r="FB11" s="194"/>
      <c r="FC11" s="194"/>
      <c r="FD11" s="194"/>
      <c r="FE11" s="194"/>
      <c r="FF11" s="194"/>
      <c r="FG11" s="194"/>
      <c r="FH11" s="194"/>
      <c r="FI11" s="194"/>
      <c r="FJ11" s="194"/>
      <c r="FK11" s="194"/>
      <c r="FL11" s="194"/>
      <c r="FM11" s="194"/>
      <c r="FN11" s="194"/>
      <c r="FO11" s="194"/>
      <c r="FP11" s="194"/>
      <c r="FQ11" s="194"/>
      <c r="FR11" s="194"/>
      <c r="FS11" s="194"/>
      <c r="FT11" s="194"/>
      <c r="FU11" s="194"/>
      <c r="FV11" s="194"/>
      <c r="FW11" s="194"/>
      <c r="FX11" s="194"/>
      <c r="FY11" s="194"/>
      <c r="FZ11" s="194"/>
      <c r="GA11" s="194"/>
      <c r="GB11" s="194"/>
      <c r="GC11" s="194"/>
      <c r="GD11" s="194" t="s">
        <v>99</v>
      </c>
      <c r="GE11" s="194"/>
      <c r="GF11" s="194"/>
      <c r="GG11" s="194"/>
      <c r="GH11" s="194"/>
      <c r="GI11" s="194"/>
      <c r="GJ11" s="194"/>
      <c r="GK11" s="194"/>
      <c r="GL11" s="194"/>
      <c r="GM11" s="194"/>
      <c r="GN11" s="194"/>
      <c r="GO11" s="194"/>
      <c r="GP11" s="194"/>
      <c r="GQ11" s="194"/>
      <c r="GR11" s="194"/>
      <c r="GS11" s="194"/>
      <c r="GT11" s="194"/>
      <c r="GU11" s="194"/>
      <c r="GV11" s="194"/>
      <c r="GW11" s="194"/>
      <c r="GX11" s="194"/>
      <c r="GY11" s="194"/>
      <c r="GZ11" s="194"/>
      <c r="HA11" s="194"/>
      <c r="HB11" s="194"/>
      <c r="HC11" s="194"/>
      <c r="HD11" s="194"/>
      <c r="HE11" s="194"/>
      <c r="HF11" s="194"/>
      <c r="HG11" s="194"/>
      <c r="HH11" s="194"/>
      <c r="HI11" s="194"/>
      <c r="HJ11" s="194"/>
      <c r="HK11" s="194"/>
      <c r="HL11" s="194"/>
      <c r="HM11" s="194"/>
      <c r="HN11" s="194"/>
      <c r="HO11" s="194"/>
      <c r="HP11" s="194"/>
      <c r="HQ11" s="194"/>
      <c r="HR11" s="194"/>
      <c r="HS11" s="194"/>
      <c r="HT11" s="194"/>
      <c r="HU11" s="194"/>
      <c r="HV11" s="194"/>
      <c r="HW11" s="194"/>
      <c r="HX11" s="194"/>
      <c r="HY11" s="194"/>
      <c r="HZ11" s="194"/>
      <c r="IA11" s="194"/>
      <c r="IB11" s="194"/>
      <c r="IC11" s="194"/>
      <c r="ID11" s="194"/>
      <c r="IE11" s="194"/>
      <c r="IF11" s="194"/>
      <c r="IG11" s="194"/>
      <c r="IH11" s="194"/>
      <c r="II11" s="194"/>
      <c r="IJ11" s="194"/>
      <c r="IK11" s="194"/>
      <c r="IL11" s="194" t="s">
        <v>100</v>
      </c>
      <c r="IM11" s="194"/>
      <c r="IN11" s="194"/>
      <c r="IO11" s="194"/>
      <c r="IP11" s="194"/>
      <c r="IQ11" s="194"/>
      <c r="IR11" s="194"/>
      <c r="IS11" s="194"/>
      <c r="IT11" s="194"/>
      <c r="IU11" s="194"/>
      <c r="IV11" s="194"/>
      <c r="IW11" s="194"/>
      <c r="IX11" s="194"/>
      <c r="IY11" s="194"/>
      <c r="IZ11" s="194"/>
      <c r="JA11" s="194"/>
      <c r="JB11" s="194"/>
      <c r="JC11" s="194"/>
      <c r="JD11" s="194"/>
      <c r="JE11" s="194"/>
      <c r="JF11" s="194"/>
      <c r="JG11" s="194"/>
      <c r="JH11" s="194"/>
      <c r="JI11" s="194"/>
      <c r="JJ11" s="194"/>
      <c r="JK11" s="194"/>
      <c r="JL11" s="194"/>
      <c r="JM11" s="194"/>
      <c r="JN11" s="194"/>
      <c r="JO11" s="194"/>
      <c r="JP11" s="194"/>
      <c r="JQ11" s="194"/>
      <c r="JR11" s="194"/>
      <c r="JS11" s="194"/>
      <c r="JT11" s="194"/>
      <c r="JU11" s="194"/>
      <c r="JV11" s="194"/>
      <c r="JW11" s="194"/>
      <c r="JX11" s="194"/>
      <c r="JY11" s="194"/>
      <c r="JZ11" s="194"/>
      <c r="KA11" s="194"/>
      <c r="KB11" s="194"/>
      <c r="KC11" s="194"/>
      <c r="KD11" s="194"/>
      <c r="KE11" s="194"/>
      <c r="KF11" s="194"/>
      <c r="KG11" s="194"/>
      <c r="KH11" s="194"/>
      <c r="KI11" s="194"/>
      <c r="KJ11" s="194"/>
      <c r="KK11" s="194"/>
      <c r="KL11" s="194"/>
      <c r="KM11" s="194"/>
      <c r="KN11" s="194"/>
      <c r="KO11" s="194"/>
      <c r="KP11" s="194"/>
      <c r="KQ11" s="194"/>
      <c r="KR11" s="194"/>
      <c r="KS11" s="194"/>
      <c r="KT11" s="194" t="s">
        <v>101</v>
      </c>
      <c r="KU11" s="194"/>
      <c r="KV11" s="194"/>
      <c r="KW11" s="194"/>
      <c r="KX11" s="194"/>
      <c r="KY11" s="194"/>
      <c r="KZ11" s="194"/>
      <c r="LA11" s="194"/>
      <c r="LB11" s="194"/>
      <c r="LC11" s="194"/>
      <c r="LD11" s="194"/>
      <c r="LE11" s="194"/>
      <c r="LF11" s="194"/>
      <c r="LG11" s="194"/>
      <c r="LH11" s="194"/>
      <c r="LI11" s="194"/>
      <c r="LJ11" s="194"/>
      <c r="LK11" s="194"/>
      <c r="LL11" s="194"/>
      <c r="LM11" s="194"/>
      <c r="LN11" s="194"/>
      <c r="LO11" s="194"/>
      <c r="LP11" s="194"/>
      <c r="LQ11" s="194"/>
      <c r="LR11" s="194"/>
      <c r="LS11" s="194"/>
      <c r="LT11" s="194"/>
      <c r="LU11" s="194"/>
      <c r="LV11" s="194"/>
      <c r="LW11" s="194"/>
      <c r="LX11" s="194"/>
      <c r="LY11" s="194"/>
      <c r="LZ11" s="194"/>
      <c r="MA11" s="194"/>
      <c r="MB11" s="194"/>
      <c r="MC11" s="194"/>
      <c r="MD11" s="194"/>
      <c r="ME11" s="194"/>
      <c r="MF11" s="194"/>
      <c r="MG11" s="194"/>
      <c r="MH11" s="194"/>
      <c r="MI11" s="194"/>
      <c r="MJ11" s="194"/>
      <c r="MK11" s="194"/>
      <c r="ML11" s="194"/>
      <c r="MM11" s="194"/>
      <c r="MN11" s="194"/>
      <c r="MO11" s="194"/>
      <c r="MP11" s="194"/>
      <c r="MQ11" s="194"/>
      <c r="MR11" s="194"/>
      <c r="MS11" s="194"/>
      <c r="MT11" s="194"/>
      <c r="MU11" s="194"/>
      <c r="MV11" s="194"/>
      <c r="MW11" s="194"/>
      <c r="MX11" s="194"/>
      <c r="MY11" s="194"/>
      <c r="MZ11" s="194"/>
      <c r="NA11" s="194"/>
      <c r="NB11" s="194" t="s">
        <v>101</v>
      </c>
      <c r="NC11" s="194"/>
      <c r="ND11" s="194"/>
      <c r="NE11" s="194"/>
      <c r="NF11" s="194"/>
      <c r="NG11" s="194"/>
      <c r="NH11" s="194"/>
      <c r="NI11" s="194"/>
      <c r="NJ11" s="194"/>
      <c r="NK11" s="194"/>
      <c r="NL11" s="194"/>
      <c r="NM11" s="194"/>
      <c r="NN11" s="194"/>
      <c r="NO11" s="194"/>
      <c r="NP11" s="194"/>
      <c r="NQ11" s="194"/>
      <c r="NR11" s="194"/>
      <c r="NS11" s="194"/>
      <c r="NT11" s="194"/>
      <c r="NU11" s="194"/>
      <c r="NV11" s="194"/>
      <c r="NW11" s="194"/>
      <c r="NX11" s="194"/>
      <c r="NY11" s="194"/>
      <c r="NZ11" s="194"/>
      <c r="OA11" s="194"/>
      <c r="OB11" s="194"/>
      <c r="OC11" s="194"/>
      <c r="OD11" s="194"/>
      <c r="OE11" s="194"/>
      <c r="OF11" s="194"/>
      <c r="OG11" s="194"/>
      <c r="OH11" s="194"/>
      <c r="OI11" s="194"/>
      <c r="OJ11" s="194"/>
      <c r="OK11" s="194"/>
      <c r="OL11" s="194"/>
      <c r="OM11" s="194"/>
      <c r="ON11" s="194"/>
      <c r="OO11" s="194"/>
      <c r="OP11" s="194"/>
      <c r="OQ11" s="194"/>
      <c r="OR11" s="194"/>
      <c r="OS11" s="194"/>
      <c r="OT11" s="194"/>
      <c r="OU11" s="194"/>
      <c r="OV11" s="194"/>
      <c r="OW11" s="194"/>
      <c r="OX11" s="194"/>
      <c r="OY11" s="194"/>
      <c r="OZ11" s="194"/>
      <c r="PA11" s="194"/>
      <c r="PB11" s="194"/>
      <c r="PC11" s="194"/>
      <c r="PD11" s="194"/>
      <c r="PE11" s="194"/>
      <c r="PF11" s="194"/>
      <c r="PG11" s="194"/>
      <c r="PH11" s="194"/>
      <c r="PI11" s="194"/>
      <c r="PJ11" s="194" t="s">
        <v>102</v>
      </c>
      <c r="PK11" s="194"/>
      <c r="PL11" s="194"/>
      <c r="PM11" s="194"/>
      <c r="PN11" s="194"/>
      <c r="PO11" s="194"/>
      <c r="PP11" s="194"/>
      <c r="PQ11" s="194"/>
      <c r="PR11" s="194"/>
      <c r="PS11" s="194"/>
      <c r="PT11" s="194"/>
      <c r="PU11" s="194"/>
      <c r="PV11" s="194"/>
      <c r="PW11" s="194"/>
      <c r="PX11" s="194"/>
      <c r="PY11" s="194"/>
      <c r="PZ11" s="194"/>
      <c r="QA11" s="194"/>
      <c r="QB11" s="194"/>
      <c r="QC11" s="194"/>
      <c r="QD11" s="194"/>
      <c r="QE11" s="194"/>
      <c r="QF11" s="194"/>
      <c r="QG11" s="194"/>
      <c r="QH11" s="194"/>
      <c r="QI11" s="194"/>
      <c r="QJ11" s="194"/>
      <c r="QK11" s="194"/>
      <c r="QL11" s="194"/>
      <c r="QM11" s="194"/>
      <c r="QN11" s="194"/>
      <c r="QO11" s="194"/>
      <c r="QP11" s="194"/>
      <c r="QQ11" s="194"/>
      <c r="QR11" s="194"/>
      <c r="QS11" s="194"/>
      <c r="QT11" s="194"/>
      <c r="QU11" s="194"/>
      <c r="QV11" s="194"/>
      <c r="QW11" s="194"/>
      <c r="QX11" s="194"/>
      <c r="QY11" s="194"/>
      <c r="QZ11" s="194"/>
      <c r="RA11" s="194"/>
      <c r="RB11" s="194"/>
      <c r="RC11" s="194"/>
      <c r="RD11" s="194"/>
      <c r="RE11" s="194"/>
      <c r="RF11" s="194"/>
      <c r="RG11" s="194"/>
      <c r="RH11" s="194"/>
      <c r="RI11" s="194"/>
      <c r="RJ11" s="194"/>
      <c r="RK11" s="194"/>
      <c r="RL11" s="194"/>
      <c r="RM11" s="194"/>
      <c r="RN11" s="194"/>
      <c r="RO11" s="194"/>
      <c r="RP11" s="194"/>
      <c r="RQ11" s="194"/>
      <c r="RR11" s="194" t="s">
        <v>102</v>
      </c>
      <c r="RS11" s="194"/>
      <c r="RT11" s="194"/>
      <c r="RU11" s="194"/>
      <c r="RV11" s="194"/>
      <c r="RW11" s="194"/>
      <c r="RX11" s="194"/>
      <c r="RY11" s="194"/>
      <c r="RZ11" s="194"/>
      <c r="SA11" s="194"/>
      <c r="SB11" s="194"/>
      <c r="SC11" s="194"/>
      <c r="SD11" s="194"/>
      <c r="SE11" s="194"/>
      <c r="SF11" s="194"/>
      <c r="SG11" s="194"/>
      <c r="SH11" s="194"/>
      <c r="SI11" s="194"/>
      <c r="SJ11" s="194"/>
      <c r="SK11" s="194"/>
      <c r="SL11" s="194"/>
      <c r="SM11" s="194"/>
      <c r="SN11" s="194"/>
      <c r="SO11" s="194"/>
      <c r="SP11" s="194"/>
      <c r="SQ11" s="194"/>
      <c r="SR11" s="194"/>
      <c r="SS11" s="194"/>
      <c r="ST11" s="194"/>
      <c r="SU11" s="194"/>
      <c r="SV11" s="194"/>
      <c r="SW11" s="194"/>
      <c r="SX11" s="194"/>
      <c r="SY11" s="194"/>
      <c r="SZ11" s="194"/>
      <c r="TA11" s="194"/>
      <c r="TB11" s="194"/>
      <c r="TC11" s="194"/>
      <c r="TD11" s="194"/>
      <c r="TE11" s="194"/>
      <c r="TF11" s="194"/>
      <c r="TG11" s="194"/>
      <c r="TH11" s="194"/>
      <c r="TI11" s="194"/>
      <c r="TJ11" s="194"/>
      <c r="TK11" s="194"/>
      <c r="TL11" s="194"/>
      <c r="TM11" s="194"/>
      <c r="TN11" s="194"/>
      <c r="TO11" s="194"/>
      <c r="TP11" s="194"/>
      <c r="TQ11" s="194"/>
      <c r="TR11" s="194"/>
      <c r="TS11" s="194"/>
      <c r="TT11" s="194"/>
      <c r="TU11" s="194"/>
      <c r="TV11" s="194"/>
      <c r="TW11" s="194"/>
      <c r="TX11" s="194"/>
      <c r="TY11" s="194"/>
      <c r="TZ11" s="194" t="s">
        <v>103</v>
      </c>
      <c r="UA11" s="194"/>
      <c r="UB11" s="194"/>
      <c r="UC11" s="194"/>
      <c r="UD11" s="194"/>
      <c r="UE11" s="194"/>
      <c r="UF11" s="194"/>
      <c r="UG11" s="194"/>
      <c r="UH11" s="194"/>
      <c r="UI11" s="194"/>
      <c r="UJ11" s="194"/>
      <c r="UK11" s="194"/>
      <c r="UL11" s="194"/>
      <c r="UM11" s="194"/>
      <c r="UN11" s="194"/>
      <c r="UO11" s="194"/>
      <c r="UP11" s="194"/>
      <c r="UQ11" s="194"/>
      <c r="UR11" s="194"/>
      <c r="US11" s="194"/>
      <c r="UT11" s="194"/>
      <c r="UU11" s="194"/>
      <c r="UV11" s="194"/>
      <c r="UW11" s="194"/>
      <c r="UX11" s="194"/>
      <c r="UY11" s="194"/>
      <c r="UZ11" s="194"/>
      <c r="VA11" s="194"/>
      <c r="VB11" s="194"/>
      <c r="VC11" s="194"/>
      <c r="VD11" s="194"/>
      <c r="VE11" s="194"/>
      <c r="VF11" s="194"/>
      <c r="VG11" s="194"/>
      <c r="VH11" s="194"/>
      <c r="VI11" s="194"/>
      <c r="VJ11" s="194"/>
      <c r="VK11" s="194"/>
      <c r="VL11" s="194"/>
      <c r="VM11" s="194"/>
      <c r="VN11" s="194"/>
      <c r="VO11" s="194"/>
      <c r="VP11" s="194"/>
      <c r="VQ11" s="194"/>
      <c r="VR11" s="194"/>
      <c r="VS11" s="194"/>
      <c r="VT11" s="194"/>
      <c r="VU11" s="194"/>
      <c r="VV11" s="194"/>
      <c r="VW11" s="194"/>
      <c r="VX11" s="194"/>
      <c r="VY11" s="194"/>
      <c r="VZ11" s="194"/>
      <c r="WA11" s="194"/>
      <c r="WB11" s="194"/>
      <c r="WC11" s="194"/>
      <c r="WD11" s="194"/>
      <c r="WE11" s="194"/>
      <c r="WF11" s="194"/>
      <c r="WG11" s="194"/>
      <c r="WH11" s="194" t="s">
        <v>103</v>
      </c>
      <c r="WI11" s="194"/>
      <c r="WJ11" s="194"/>
      <c r="WK11" s="194"/>
      <c r="WL11" s="194"/>
      <c r="WM11" s="194"/>
      <c r="WN11" s="194"/>
      <c r="WO11" s="194"/>
      <c r="WP11" s="194"/>
      <c r="WQ11" s="194"/>
      <c r="WR11" s="194"/>
      <c r="WS11" s="194"/>
      <c r="WT11" s="194"/>
      <c r="WU11" s="194"/>
      <c r="WV11" s="194"/>
      <c r="WW11" s="194"/>
      <c r="WX11" s="194"/>
      <c r="WY11" s="194"/>
      <c r="WZ11" s="194"/>
      <c r="XA11" s="194"/>
      <c r="XB11" s="194"/>
      <c r="XC11" s="194"/>
      <c r="XD11" s="194"/>
      <c r="XE11" s="194"/>
      <c r="XF11" s="194"/>
      <c r="XG11" s="194"/>
      <c r="XH11" s="194"/>
      <c r="XI11" s="194"/>
      <c r="XJ11" s="194"/>
      <c r="XK11" s="194"/>
      <c r="XL11" s="194"/>
      <c r="XM11" s="194"/>
      <c r="XN11" s="194"/>
      <c r="XO11" s="194"/>
      <c r="XP11" s="194"/>
      <c r="XQ11" s="194"/>
      <c r="XR11" s="194"/>
      <c r="XS11" s="194"/>
      <c r="XT11" s="194"/>
      <c r="XU11" s="194"/>
      <c r="XV11" s="194"/>
      <c r="XW11" s="194"/>
      <c r="XX11" s="194"/>
      <c r="XY11" s="194"/>
      <c r="XZ11" s="194"/>
      <c r="YA11" s="194"/>
      <c r="YB11" s="194"/>
      <c r="YC11" s="194"/>
      <c r="YD11" s="194"/>
      <c r="YE11" s="194"/>
      <c r="YF11" s="194"/>
      <c r="YG11" s="194"/>
      <c r="YH11" s="194"/>
      <c r="YI11" s="194"/>
      <c r="YJ11" s="194"/>
      <c r="YK11" s="194"/>
      <c r="YL11" s="194"/>
      <c r="YM11" s="194"/>
      <c r="YN11" s="194"/>
      <c r="YO11" s="194"/>
      <c r="YP11" s="194" t="s">
        <v>104</v>
      </c>
      <c r="YQ11" s="194"/>
      <c r="YR11" s="194"/>
      <c r="YS11" s="194"/>
      <c r="YT11" s="194"/>
      <c r="YU11" s="194"/>
      <c r="YV11" s="194"/>
      <c r="YW11" s="194"/>
      <c r="YX11" s="194"/>
      <c r="YY11" s="194"/>
      <c r="YZ11" s="194"/>
      <c r="ZA11" s="194"/>
      <c r="ZB11" s="194"/>
      <c r="ZC11" s="194"/>
      <c r="ZD11" s="194"/>
      <c r="ZE11" s="194"/>
      <c r="ZF11" s="194"/>
      <c r="ZG11" s="194"/>
      <c r="ZH11" s="194"/>
      <c r="ZI11" s="194"/>
      <c r="ZJ11" s="194"/>
      <c r="ZK11" s="194"/>
      <c r="ZL11" s="194"/>
      <c r="ZM11" s="194"/>
      <c r="ZN11" s="194"/>
      <c r="ZO11" s="194"/>
      <c r="ZP11" s="194"/>
      <c r="ZQ11" s="194"/>
      <c r="ZR11" s="194"/>
      <c r="ZS11" s="194"/>
      <c r="ZT11" s="194"/>
      <c r="ZU11" s="194"/>
      <c r="ZV11" s="194"/>
      <c r="ZW11" s="194"/>
      <c r="ZX11" s="194"/>
      <c r="ZY11" s="194"/>
      <c r="ZZ11" s="194"/>
      <c r="AAA11" s="194"/>
      <c r="AAB11" s="194"/>
      <c r="AAC11" s="194"/>
      <c r="AAD11" s="194"/>
      <c r="AAE11" s="194"/>
      <c r="AAF11" s="194"/>
      <c r="AAG11" s="194"/>
      <c r="AAH11" s="194"/>
      <c r="AAI11" s="194"/>
      <c r="AAJ11" s="194"/>
      <c r="AAK11" s="194"/>
      <c r="AAL11" s="194"/>
      <c r="AAM11" s="194"/>
      <c r="AAN11" s="194"/>
      <c r="AAO11" s="194"/>
      <c r="AAP11" s="194"/>
      <c r="AAQ11" s="194"/>
      <c r="AAR11" s="194"/>
      <c r="AAS11" s="194"/>
      <c r="AAT11" s="194"/>
      <c r="AAU11" s="194"/>
      <c r="AAV11" s="194"/>
      <c r="AAW11" s="194"/>
      <c r="AAX11" s="194" t="s">
        <v>105</v>
      </c>
      <c r="AAY11" s="194"/>
      <c r="AAZ11" s="194"/>
      <c r="ABA11" s="194"/>
      <c r="ABB11" s="194"/>
      <c r="ABC11" s="194"/>
      <c r="ABD11" s="194"/>
      <c r="ABE11" s="194"/>
      <c r="ABF11" s="194"/>
      <c r="ABG11" s="194"/>
      <c r="ABH11" s="194"/>
      <c r="ABI11" s="194"/>
      <c r="ABJ11" s="194"/>
      <c r="ABK11" s="194"/>
      <c r="ABL11" s="194"/>
      <c r="ABM11" s="194"/>
      <c r="ABN11" s="194"/>
      <c r="ABO11" s="194"/>
      <c r="ABP11" s="194"/>
      <c r="ABQ11" s="194"/>
      <c r="ABR11" s="194"/>
      <c r="ABS11" s="194"/>
      <c r="ABT11" s="194"/>
      <c r="ABU11" s="194"/>
      <c r="ABV11" s="194"/>
      <c r="ABW11" s="194"/>
      <c r="ABX11" s="194"/>
      <c r="ABY11" s="194"/>
      <c r="ABZ11" s="194"/>
      <c r="ACA11" s="194"/>
      <c r="ACB11" s="194"/>
      <c r="ACC11" s="194"/>
      <c r="ACD11" s="194"/>
      <c r="ACE11" s="194"/>
      <c r="ACF11" s="194"/>
      <c r="ACG11" s="194"/>
      <c r="ACH11" s="194"/>
      <c r="ACI11" s="194"/>
      <c r="ACJ11" s="194"/>
      <c r="ACK11" s="194"/>
      <c r="ACL11" s="194"/>
      <c r="ACM11" s="194"/>
      <c r="ACN11" s="194"/>
      <c r="ACO11" s="194"/>
      <c r="ACP11" s="194"/>
      <c r="ACQ11" s="194"/>
      <c r="ACR11" s="194"/>
      <c r="ACS11" s="194"/>
      <c r="ACT11" s="194"/>
      <c r="ACU11" s="194"/>
      <c r="ACV11" s="194"/>
      <c r="ACW11" s="194"/>
      <c r="ACX11" s="194"/>
      <c r="ACY11" s="194"/>
      <c r="ACZ11" s="194"/>
      <c r="ADA11" s="194"/>
      <c r="ADB11" s="194"/>
      <c r="ADC11" s="194"/>
      <c r="ADD11" s="194"/>
      <c r="ADE11" s="194"/>
      <c r="ADF11" s="194" t="s">
        <v>105</v>
      </c>
      <c r="ADG11" s="194"/>
      <c r="ADH11" s="194"/>
      <c r="ADI11" s="194"/>
      <c r="ADJ11" s="194"/>
      <c r="ADK11" s="194"/>
      <c r="ADL11" s="194"/>
      <c r="ADM11" s="194"/>
      <c r="ADN11" s="194"/>
      <c r="ADO11" s="194"/>
      <c r="ADP11" s="194"/>
      <c r="ADQ11" s="194"/>
      <c r="ADR11" s="194"/>
      <c r="ADS11" s="194"/>
      <c r="ADT11" s="194"/>
      <c r="ADU11" s="194"/>
      <c r="ADV11" s="194"/>
      <c r="ADW11" s="194"/>
      <c r="ADX11" s="194"/>
      <c r="ADY11" s="194"/>
      <c r="ADZ11" s="194"/>
      <c r="AEA11" s="194"/>
      <c r="AEB11" s="194"/>
      <c r="AEC11" s="194"/>
      <c r="AED11" s="194"/>
      <c r="AEE11" s="194"/>
      <c r="AEF11" s="194"/>
      <c r="AEG11" s="194"/>
      <c r="AEH11" s="194"/>
      <c r="AEI11" s="194"/>
      <c r="AEJ11" s="194"/>
      <c r="AEK11" s="194"/>
      <c r="AEL11" s="194"/>
      <c r="AEM11" s="194"/>
      <c r="AEN11" s="194"/>
      <c r="AEO11" s="194"/>
      <c r="AEP11" s="194"/>
      <c r="AEQ11" s="194"/>
      <c r="AER11" s="194"/>
      <c r="AES11" s="194"/>
      <c r="AET11" s="194"/>
      <c r="AEU11" s="194"/>
      <c r="AEV11" s="194"/>
      <c r="AEW11" s="194"/>
      <c r="AEX11" s="194"/>
      <c r="AEY11" s="194"/>
      <c r="AEZ11" s="194"/>
      <c r="AFA11" s="194"/>
      <c r="AFB11" s="194"/>
      <c r="AFC11" s="194"/>
      <c r="AFD11" s="194"/>
      <c r="AFE11" s="194"/>
      <c r="AFF11" s="194"/>
      <c r="AFG11" s="194"/>
      <c r="AFH11" s="194"/>
      <c r="AFI11" s="194"/>
      <c r="AFJ11" s="194"/>
      <c r="AFK11" s="194"/>
      <c r="AFL11" s="194"/>
      <c r="AFM11" s="194"/>
      <c r="AFN11" s="194" t="s">
        <v>106</v>
      </c>
      <c r="AFO11" s="194"/>
      <c r="AFP11" s="194"/>
      <c r="AFQ11" s="194"/>
      <c r="AFR11" s="194"/>
      <c r="AFS11" s="194"/>
      <c r="AFT11" s="194"/>
      <c r="AFU11" s="194"/>
      <c r="AFV11" s="194"/>
      <c r="AFW11" s="194"/>
      <c r="AFX11" s="194"/>
      <c r="AFY11" s="194"/>
      <c r="AFZ11" s="194"/>
      <c r="AGA11" s="194"/>
      <c r="AGB11" s="194"/>
      <c r="AGC11" s="194"/>
      <c r="AGD11" s="194"/>
      <c r="AGE11" s="194"/>
      <c r="AGF11" s="194"/>
      <c r="AGG11" s="194"/>
      <c r="AGH11" s="194"/>
      <c r="AGI11" s="194"/>
      <c r="AGJ11" s="194"/>
      <c r="AGK11" s="194"/>
      <c r="AGL11" s="194"/>
      <c r="AGM11" s="194"/>
      <c r="AGN11" s="194"/>
      <c r="AGO11" s="194"/>
      <c r="AGP11" s="194"/>
      <c r="AGQ11" s="194"/>
      <c r="AGR11" s="194"/>
      <c r="AGS11" s="194"/>
      <c r="AGT11" s="194"/>
      <c r="AGU11" s="194"/>
      <c r="AGV11" s="194"/>
      <c r="AGW11" s="194"/>
      <c r="AGX11" s="194"/>
      <c r="AGY11" s="194"/>
      <c r="AGZ11" s="194"/>
      <c r="AHA11" s="194"/>
      <c r="AHB11" s="194"/>
      <c r="AHC11" s="194"/>
      <c r="AHD11" s="194"/>
      <c r="AHE11" s="194"/>
      <c r="AHF11" s="194"/>
      <c r="AHG11" s="194"/>
      <c r="AHH11" s="194"/>
      <c r="AHI11" s="194"/>
      <c r="AHJ11" s="194"/>
      <c r="AHK11" s="194"/>
      <c r="AHL11" s="194"/>
      <c r="AHM11" s="194"/>
      <c r="AHN11" s="194"/>
      <c r="AHO11" s="194"/>
      <c r="AHP11" s="194"/>
      <c r="AHQ11" s="194"/>
      <c r="AHR11" s="194"/>
      <c r="AHS11" s="194"/>
      <c r="AHT11" s="194"/>
      <c r="AHU11" s="194"/>
      <c r="AHV11" s="194" t="s">
        <v>106</v>
      </c>
      <c r="AHW11" s="194"/>
      <c r="AHX11" s="194"/>
      <c r="AHY11" s="194"/>
      <c r="AHZ11" s="194"/>
      <c r="AIA11" s="194"/>
      <c r="AIB11" s="194"/>
      <c r="AIC11" s="194"/>
      <c r="AID11" s="194"/>
      <c r="AIE11" s="194"/>
      <c r="AIF11" s="194"/>
      <c r="AIG11" s="194"/>
      <c r="AIH11" s="194"/>
      <c r="AII11" s="194"/>
      <c r="AIJ11" s="194"/>
      <c r="AIK11" s="194"/>
      <c r="AIL11" s="194"/>
      <c r="AIM11" s="194"/>
      <c r="AIN11" s="194"/>
      <c r="AIO11" s="194"/>
      <c r="AIP11" s="194"/>
      <c r="AIQ11" s="194"/>
      <c r="AIR11" s="194"/>
      <c r="AIS11" s="194"/>
      <c r="AIT11" s="194"/>
      <c r="AIU11" s="194"/>
      <c r="AIV11" s="194"/>
      <c r="AIW11" s="194"/>
      <c r="AIX11" s="194"/>
      <c r="AIY11" s="194"/>
      <c r="AIZ11" s="194"/>
      <c r="AJA11" s="194"/>
      <c r="AJB11" s="194"/>
      <c r="AJC11" s="194"/>
      <c r="AJD11" s="194"/>
      <c r="AJE11" s="194"/>
      <c r="AJF11" s="194"/>
      <c r="AJG11" s="194"/>
      <c r="AJH11" s="194"/>
      <c r="AJI11" s="194"/>
      <c r="AJJ11" s="194"/>
      <c r="AJK11" s="194"/>
      <c r="AJL11" s="194"/>
      <c r="AJM11" s="194"/>
      <c r="AJN11" s="194"/>
      <c r="AJO11" s="194"/>
      <c r="AJP11" s="194"/>
      <c r="AJQ11" s="194"/>
      <c r="AJR11" s="194"/>
      <c r="AJS11" s="194"/>
      <c r="AJT11" s="194"/>
      <c r="AJU11" s="194"/>
      <c r="AJV11" s="194"/>
      <c r="AJW11" s="194"/>
      <c r="AJX11" s="194"/>
      <c r="AJY11" s="194"/>
      <c r="AJZ11" s="194"/>
      <c r="AKA11" s="194"/>
      <c r="AKB11" s="194"/>
      <c r="AKC11" s="194"/>
      <c r="AKD11" s="194" t="s">
        <v>107</v>
      </c>
      <c r="AKE11" s="194"/>
      <c r="AKF11" s="194"/>
      <c r="AKG11" s="194"/>
      <c r="AKH11" s="194"/>
      <c r="AKI11" s="194"/>
      <c r="AKJ11" s="194"/>
      <c r="AKK11" s="194"/>
      <c r="AKL11" s="194"/>
      <c r="AKM11" s="194"/>
      <c r="AKN11" s="194"/>
      <c r="AKO11" s="194"/>
      <c r="AKP11" s="194"/>
      <c r="AKQ11" s="194"/>
      <c r="AKR11" s="194"/>
      <c r="AKS11" s="194"/>
      <c r="AKT11" s="194"/>
      <c r="AKU11" s="194"/>
      <c r="AKV11" s="194"/>
      <c r="AKW11" s="194"/>
      <c r="AKX11" s="194"/>
      <c r="AKY11" s="194"/>
      <c r="AKZ11" s="194"/>
      <c r="ALA11" s="194"/>
      <c r="ALB11" s="194"/>
      <c r="ALC11" s="194"/>
      <c r="ALD11" s="194"/>
      <c r="ALE11" s="194"/>
      <c r="ALF11" s="194"/>
      <c r="ALG11" s="194"/>
      <c r="ALH11" s="194"/>
      <c r="ALI11" s="194"/>
      <c r="ALJ11" s="194"/>
      <c r="ALK11" s="194"/>
      <c r="ALL11" s="194"/>
      <c r="ALM11" s="194"/>
      <c r="ALN11" s="194"/>
      <c r="ALO11" s="194"/>
      <c r="ALP11" s="194"/>
      <c r="ALQ11" s="194"/>
      <c r="ALR11" s="194"/>
      <c r="ALS11" s="194"/>
      <c r="ALT11" s="194"/>
      <c r="ALU11" s="194"/>
      <c r="ALV11" s="194"/>
      <c r="ALW11" s="194"/>
      <c r="ALX11" s="194"/>
      <c r="ALY11" s="194"/>
      <c r="ALZ11" s="194"/>
      <c r="AMA11" s="194"/>
      <c r="AMB11" s="194"/>
      <c r="AMC11" s="194"/>
      <c r="AMD11" s="194"/>
      <c r="AME11" s="194"/>
      <c r="AMF11" s="194"/>
      <c r="AMG11" s="194"/>
      <c r="AMH11" s="194"/>
      <c r="AMI11" s="194"/>
      <c r="AMJ11" s="194"/>
      <c r="AMK11" s="194"/>
      <c r="AML11" s="194" t="s">
        <v>107</v>
      </c>
      <c r="AMM11" s="194"/>
      <c r="AMN11" s="194"/>
      <c r="AMO11" s="194"/>
      <c r="AMP11" s="194"/>
      <c r="AMQ11" s="194"/>
      <c r="AMR11" s="194"/>
      <c r="AMS11" s="194"/>
      <c r="AMT11" s="194"/>
      <c r="AMU11" s="194"/>
      <c r="AMV11" s="194"/>
      <c r="AMW11" s="194"/>
      <c r="AMX11" s="194"/>
      <c r="AMY11" s="194"/>
      <c r="AMZ11" s="194"/>
      <c r="ANA11" s="194"/>
      <c r="ANB11" s="194"/>
      <c r="ANC11" s="194"/>
      <c r="AND11" s="194"/>
      <c r="ANE11" s="194"/>
      <c r="ANF11" s="194"/>
      <c r="ANG11" s="194"/>
      <c r="ANH11" s="194"/>
      <c r="ANI11" s="194"/>
      <c r="ANJ11" s="194"/>
      <c r="ANK11" s="194"/>
      <c r="ANL11" s="194"/>
      <c r="ANM11" s="194"/>
      <c r="ANN11" s="194"/>
      <c r="ANO11" s="194"/>
      <c r="ANP11" s="194"/>
      <c r="ANQ11" s="194"/>
      <c r="ANR11" s="194"/>
      <c r="ANS11" s="194"/>
      <c r="ANT11" s="194"/>
      <c r="ANU11" s="194"/>
      <c r="ANV11" s="194"/>
      <c r="ANW11" s="194"/>
      <c r="ANX11" s="194"/>
      <c r="ANY11" s="194"/>
      <c r="ANZ11" s="194"/>
      <c r="AOA11" s="194"/>
      <c r="AOB11" s="194"/>
      <c r="AOC11" s="194"/>
      <c r="AOD11" s="194"/>
      <c r="AOE11" s="194"/>
      <c r="AOF11" s="194"/>
      <c r="AOG11" s="194"/>
      <c r="AOH11" s="194"/>
      <c r="AOI11" s="194"/>
      <c r="AOJ11" s="194"/>
      <c r="AOK11" s="194"/>
      <c r="AOL11" s="194"/>
      <c r="AOM11" s="194"/>
      <c r="AON11" s="194"/>
      <c r="AOO11" s="194"/>
      <c r="AOP11" s="194"/>
      <c r="AOQ11" s="194"/>
      <c r="AOR11" s="194"/>
      <c r="AOS11" s="194"/>
      <c r="AOT11" s="194" t="s">
        <v>108</v>
      </c>
      <c r="AOU11" s="194"/>
      <c r="AOV11" s="194"/>
      <c r="AOW11" s="194"/>
      <c r="AOX11" s="194"/>
      <c r="AOY11" s="194"/>
      <c r="AOZ11" s="194"/>
      <c r="APA11" s="194"/>
      <c r="APB11" s="194"/>
      <c r="APC11" s="194"/>
      <c r="APD11" s="194"/>
      <c r="APE11" s="194"/>
      <c r="APF11" s="194"/>
      <c r="APG11" s="194"/>
      <c r="APH11" s="194"/>
      <c r="API11" s="194"/>
      <c r="APJ11" s="194"/>
      <c r="APK11" s="194"/>
      <c r="APL11" s="194"/>
      <c r="APM11" s="194"/>
      <c r="APN11" s="194"/>
      <c r="APO11" s="194"/>
      <c r="APP11" s="194"/>
      <c r="APQ11" s="194"/>
      <c r="APR11" s="194"/>
      <c r="APS11" s="194"/>
      <c r="APT11" s="194"/>
      <c r="APU11" s="194"/>
      <c r="APV11" s="194"/>
      <c r="APW11" s="194"/>
      <c r="APX11" s="194"/>
      <c r="APY11" s="194"/>
      <c r="APZ11" s="194"/>
      <c r="AQA11" s="194"/>
      <c r="AQB11" s="194"/>
      <c r="AQC11" s="194"/>
      <c r="AQD11" s="194"/>
      <c r="AQE11" s="194"/>
      <c r="AQF11" s="194"/>
      <c r="AQG11" s="194"/>
      <c r="AQH11" s="194"/>
      <c r="AQI11" s="194"/>
      <c r="AQJ11" s="194"/>
      <c r="AQK11" s="194"/>
      <c r="AQL11" s="194"/>
      <c r="AQM11" s="194"/>
      <c r="AQN11" s="194"/>
      <c r="AQO11" s="194"/>
      <c r="AQP11" s="194"/>
      <c r="AQQ11" s="194"/>
      <c r="AQR11" s="194"/>
      <c r="AQS11" s="194"/>
      <c r="AQT11" s="194"/>
      <c r="AQU11" s="194"/>
      <c r="AQV11" s="194"/>
      <c r="AQW11" s="194"/>
      <c r="AQX11" s="194"/>
      <c r="AQY11" s="194"/>
      <c r="AQZ11" s="194"/>
      <c r="ARA11" s="194"/>
      <c r="ARB11" s="194" t="s">
        <v>108</v>
      </c>
      <c r="ARC11" s="194"/>
      <c r="ARD11" s="194"/>
      <c r="ARE11" s="194"/>
      <c r="ARF11" s="194"/>
      <c r="ARG11" s="194"/>
      <c r="ARH11" s="194"/>
      <c r="ARI11" s="194"/>
      <c r="ARJ11" s="194"/>
      <c r="ARK11" s="194"/>
      <c r="ARL11" s="194"/>
      <c r="ARM11" s="194"/>
      <c r="ARN11" s="194"/>
      <c r="ARO11" s="194"/>
      <c r="ARP11" s="194"/>
      <c r="ARQ11" s="194"/>
      <c r="ARR11" s="194"/>
      <c r="ARS11" s="194"/>
      <c r="ART11" s="194"/>
      <c r="ARU11" s="194"/>
      <c r="ARV11" s="194"/>
      <c r="ARW11" s="194"/>
      <c r="ARX11" s="194"/>
      <c r="ARY11" s="194"/>
      <c r="ARZ11" s="194"/>
      <c r="ASA11" s="194"/>
      <c r="ASB11" s="194"/>
      <c r="ASC11" s="194"/>
      <c r="ASD11" s="194"/>
      <c r="ASE11" s="194"/>
      <c r="ASF11" s="194"/>
      <c r="ASG11" s="194"/>
      <c r="ASH11" s="194"/>
      <c r="ASI11" s="194"/>
      <c r="ASJ11" s="194"/>
      <c r="ASK11" s="194"/>
      <c r="ASL11" s="194"/>
      <c r="ASM11" s="194"/>
      <c r="ASN11" s="194"/>
      <c r="ASO11" s="194"/>
      <c r="ASP11" s="194"/>
      <c r="ASQ11" s="194"/>
      <c r="ASR11" s="194"/>
      <c r="ASS11" s="194"/>
      <c r="AST11" s="194"/>
      <c r="ASU11" s="194"/>
      <c r="ASV11" s="194"/>
      <c r="ASW11" s="194"/>
      <c r="ASX11" s="194"/>
      <c r="ASY11" s="194"/>
      <c r="ASZ11" s="194"/>
      <c r="ATA11" s="194"/>
      <c r="ATB11" s="194"/>
      <c r="ATC11" s="194"/>
      <c r="ATD11" s="194"/>
      <c r="ATE11" s="194"/>
      <c r="ATF11" s="194"/>
      <c r="ATG11" s="194"/>
      <c r="ATH11" s="194"/>
      <c r="ATI11" s="194"/>
      <c r="ATJ11" s="194" t="s">
        <v>109</v>
      </c>
      <c r="ATK11" s="194"/>
      <c r="ATL11" s="194"/>
      <c r="ATM11" s="194"/>
      <c r="ATN11" s="194"/>
      <c r="ATO11" s="194"/>
      <c r="ATP11" s="194"/>
      <c r="ATQ11" s="194"/>
      <c r="ATR11" s="194"/>
      <c r="ATS11" s="194"/>
      <c r="ATT11" s="194"/>
      <c r="ATU11" s="194"/>
      <c r="ATV11" s="194"/>
      <c r="ATW11" s="194"/>
      <c r="ATX11" s="194"/>
      <c r="ATY11" s="194"/>
      <c r="ATZ11" s="194"/>
      <c r="AUA11" s="194"/>
      <c r="AUB11" s="194"/>
      <c r="AUC11" s="194"/>
      <c r="AUD11" s="194"/>
      <c r="AUE11" s="194"/>
      <c r="AUF11" s="194"/>
      <c r="AUG11" s="194"/>
      <c r="AUH11" s="194"/>
      <c r="AUI11" s="194"/>
      <c r="AUJ11" s="194"/>
      <c r="AUK11" s="194"/>
      <c r="AUL11" s="194"/>
      <c r="AUM11" s="194"/>
      <c r="AUN11" s="194"/>
      <c r="AUO11" s="194"/>
      <c r="AUP11" s="194"/>
      <c r="AUQ11" s="194"/>
      <c r="AUR11" s="194"/>
      <c r="AUS11" s="194"/>
      <c r="AUT11" s="194"/>
      <c r="AUU11" s="194"/>
      <c r="AUV11" s="194"/>
      <c r="AUW11" s="194"/>
      <c r="AUX11" s="194"/>
      <c r="AUY11" s="194"/>
      <c r="AUZ11" s="194"/>
      <c r="AVA11" s="194"/>
      <c r="AVB11" s="194"/>
      <c r="AVC11" s="194"/>
      <c r="AVD11" s="194"/>
      <c r="AVE11" s="194"/>
      <c r="AVF11" s="194"/>
      <c r="AVG11" s="194"/>
      <c r="AVH11" s="194"/>
      <c r="AVI11" s="194"/>
      <c r="AVJ11" s="194"/>
      <c r="AVK11" s="194"/>
      <c r="AVL11" s="194"/>
      <c r="AVM11" s="194"/>
      <c r="AVN11" s="194"/>
      <c r="AVO11" s="194"/>
      <c r="AVP11" s="194"/>
      <c r="AVQ11" s="194"/>
      <c r="AVR11" s="194" t="s">
        <v>110</v>
      </c>
      <c r="AVS11" s="194"/>
      <c r="AVT11" s="194"/>
      <c r="AVU11" s="194"/>
      <c r="AVV11" s="194"/>
      <c r="AVW11" s="194"/>
      <c r="AVX11" s="194"/>
      <c r="AVY11" s="194"/>
      <c r="AVZ11" s="194"/>
      <c r="AWA11" s="194"/>
      <c r="AWB11" s="194"/>
      <c r="AWC11" s="194"/>
      <c r="AWD11" s="194"/>
      <c r="AWE11" s="194"/>
      <c r="AWF11" s="194"/>
      <c r="AWG11" s="194"/>
      <c r="AWH11" s="194"/>
      <c r="AWI11" s="194"/>
      <c r="AWJ11" s="194"/>
      <c r="AWK11" s="194"/>
      <c r="AWL11" s="194"/>
      <c r="AWM11" s="194"/>
      <c r="AWN11" s="194"/>
      <c r="AWO11" s="194"/>
      <c r="AWP11" s="194"/>
      <c r="AWQ11" s="194"/>
      <c r="AWR11" s="194"/>
      <c r="AWS11" s="194"/>
      <c r="AWT11" s="194"/>
      <c r="AWU11" s="194"/>
      <c r="AWV11" s="194"/>
      <c r="AWW11" s="194"/>
      <c r="AWX11" s="194"/>
      <c r="AWY11" s="194"/>
      <c r="AWZ11" s="194"/>
      <c r="AXA11" s="194"/>
      <c r="AXB11" s="194"/>
      <c r="AXC11" s="194"/>
      <c r="AXD11" s="194"/>
      <c r="AXE11" s="194"/>
      <c r="AXF11" s="194"/>
      <c r="AXG11" s="194"/>
      <c r="AXH11" s="194"/>
      <c r="AXI11" s="194"/>
      <c r="AXJ11" s="194"/>
      <c r="AXK11" s="194"/>
      <c r="AXL11" s="194"/>
      <c r="AXM11" s="194"/>
      <c r="AXN11" s="194"/>
      <c r="AXO11" s="194"/>
      <c r="AXP11" s="194"/>
      <c r="AXQ11" s="194"/>
      <c r="AXR11" s="194"/>
      <c r="AXS11" s="194"/>
      <c r="AXT11" s="194"/>
      <c r="AXU11" s="194"/>
      <c r="AXV11" s="194"/>
      <c r="AXW11" s="194"/>
      <c r="AXX11" s="194"/>
      <c r="AXY11" s="194"/>
      <c r="AXZ11" s="194" t="s">
        <v>110</v>
      </c>
      <c r="AYA11" s="194"/>
      <c r="AYB11" s="194"/>
      <c r="AYC11" s="194"/>
      <c r="AYD11" s="194"/>
      <c r="AYE11" s="194"/>
      <c r="AYF11" s="194"/>
      <c r="AYG11" s="194"/>
      <c r="AYH11" s="194"/>
      <c r="AYI11" s="194"/>
      <c r="AYJ11" s="194"/>
      <c r="AYK11" s="194"/>
      <c r="AYL11" s="194"/>
      <c r="AYM11" s="194"/>
      <c r="AYN11" s="194"/>
      <c r="AYO11" s="194"/>
      <c r="AYP11" s="194"/>
      <c r="AYQ11" s="194"/>
      <c r="AYR11" s="194"/>
      <c r="AYS11" s="194"/>
      <c r="AYT11" s="194"/>
      <c r="AYU11" s="194"/>
      <c r="AYV11" s="194"/>
      <c r="AYW11" s="194"/>
      <c r="AYX11" s="194"/>
      <c r="AYY11" s="194"/>
      <c r="AYZ11" s="194"/>
      <c r="AZA11" s="194"/>
      <c r="AZB11" s="194"/>
      <c r="AZC11" s="194"/>
      <c r="AZD11" s="194"/>
      <c r="AZE11" s="194"/>
      <c r="AZF11" s="194"/>
      <c r="AZG11" s="194"/>
      <c r="AZH11" s="194"/>
      <c r="AZI11" s="194"/>
      <c r="AZJ11" s="194"/>
      <c r="AZK11" s="194"/>
      <c r="AZL11" s="194"/>
      <c r="AZM11" s="194"/>
      <c r="AZN11" s="194"/>
      <c r="AZO11" s="194"/>
      <c r="AZP11" s="194"/>
      <c r="AZQ11" s="194"/>
      <c r="AZR11" s="194"/>
      <c r="AZS11" s="194"/>
      <c r="AZT11" s="194"/>
      <c r="AZU11" s="194"/>
      <c r="AZV11" s="194"/>
      <c r="AZW11" s="194"/>
      <c r="AZX11" s="194"/>
      <c r="AZY11" s="194"/>
      <c r="AZZ11" s="194"/>
      <c r="BAA11" s="194"/>
      <c r="BAB11" s="194"/>
      <c r="BAC11" s="194"/>
      <c r="BAD11" s="194"/>
      <c r="BAE11" s="194"/>
      <c r="BAF11" s="194"/>
      <c r="BAG11" s="194"/>
      <c r="BAH11" s="194" t="s">
        <v>111</v>
      </c>
      <c r="BAI11" s="194"/>
      <c r="BAJ11" s="194"/>
      <c r="BAK11" s="194"/>
      <c r="BAL11" s="194"/>
      <c r="BAM11" s="194"/>
      <c r="BAN11" s="194"/>
      <c r="BAO11" s="194"/>
      <c r="BAP11" s="194"/>
      <c r="BAQ11" s="194"/>
      <c r="BAR11" s="194"/>
      <c r="BAS11" s="194"/>
      <c r="BAT11" s="194"/>
      <c r="BAU11" s="194"/>
      <c r="BAV11" s="194"/>
      <c r="BAW11" s="194"/>
      <c r="BAX11" s="194"/>
      <c r="BAY11" s="194"/>
      <c r="BAZ11" s="194"/>
      <c r="BBA11" s="194"/>
      <c r="BBB11" s="194"/>
      <c r="BBC11" s="194"/>
      <c r="BBD11" s="194"/>
      <c r="BBE11" s="194"/>
      <c r="BBF11" s="194"/>
      <c r="BBG11" s="194"/>
      <c r="BBH11" s="194"/>
      <c r="BBI11" s="194"/>
      <c r="BBJ11" s="194"/>
      <c r="BBK11" s="194"/>
      <c r="BBL11" s="194"/>
      <c r="BBM11" s="194"/>
      <c r="BBN11" s="194"/>
      <c r="BBO11" s="194"/>
      <c r="BBP11" s="194"/>
      <c r="BBQ11" s="194"/>
      <c r="BBR11" s="194"/>
      <c r="BBS11" s="194"/>
      <c r="BBT11" s="194"/>
      <c r="BBU11" s="194"/>
      <c r="BBV11" s="194"/>
      <c r="BBW11" s="194"/>
      <c r="BBX11" s="194"/>
      <c r="BBY11" s="194"/>
      <c r="BBZ11" s="194"/>
      <c r="BCA11" s="194"/>
      <c r="BCB11" s="194"/>
      <c r="BCC11" s="194"/>
      <c r="BCD11" s="194"/>
      <c r="BCE11" s="194"/>
      <c r="BCF11" s="194"/>
      <c r="BCG11" s="194"/>
      <c r="BCH11" s="194"/>
      <c r="BCI11" s="194"/>
      <c r="BCJ11" s="194"/>
      <c r="BCK11" s="194"/>
      <c r="BCL11" s="194"/>
      <c r="BCM11" s="194"/>
      <c r="BCN11" s="194"/>
      <c r="BCO11" s="194"/>
      <c r="BCP11" s="194" t="s">
        <v>111</v>
      </c>
      <c r="BCQ11" s="194"/>
      <c r="BCR11" s="194"/>
      <c r="BCS11" s="194"/>
      <c r="BCT11" s="194"/>
      <c r="BCU11" s="194"/>
      <c r="BCV11" s="194"/>
      <c r="BCW11" s="194"/>
      <c r="BCX11" s="194"/>
      <c r="BCY11" s="194"/>
      <c r="BCZ11" s="194"/>
      <c r="BDA11" s="194"/>
      <c r="BDB11" s="194"/>
      <c r="BDC11" s="194"/>
      <c r="BDD11" s="194"/>
      <c r="BDE11" s="194"/>
      <c r="BDF11" s="194"/>
      <c r="BDG11" s="194"/>
      <c r="BDH11" s="194"/>
      <c r="BDI11" s="194"/>
      <c r="BDJ11" s="194"/>
      <c r="BDK11" s="194"/>
      <c r="BDL11" s="194"/>
      <c r="BDM11" s="194"/>
      <c r="BDN11" s="194"/>
      <c r="BDO11" s="194"/>
      <c r="BDP11" s="194"/>
      <c r="BDQ11" s="194"/>
      <c r="BDR11" s="194"/>
      <c r="BDS11" s="194"/>
      <c r="BDT11" s="194"/>
      <c r="BDU11" s="194"/>
      <c r="BDV11" s="194"/>
      <c r="BDW11" s="194"/>
      <c r="BDX11" s="194"/>
      <c r="BDY11" s="194"/>
      <c r="BDZ11" s="194"/>
      <c r="BEA11" s="194"/>
      <c r="BEB11" s="194"/>
      <c r="BEC11" s="194"/>
      <c r="BED11" s="194"/>
      <c r="BEE11" s="194"/>
      <c r="BEF11" s="194"/>
      <c r="BEG11" s="194"/>
      <c r="BEH11" s="194"/>
      <c r="BEI11" s="194"/>
      <c r="BEJ11" s="194"/>
      <c r="BEK11" s="194"/>
      <c r="BEL11" s="194"/>
      <c r="BEM11" s="194"/>
      <c r="BEN11" s="194"/>
      <c r="BEO11" s="194"/>
      <c r="BEP11" s="194"/>
      <c r="BEQ11" s="194"/>
      <c r="BER11" s="194"/>
      <c r="BES11" s="194"/>
      <c r="BET11" s="194"/>
      <c r="BEU11" s="194"/>
      <c r="BEV11" s="194"/>
      <c r="BEW11" s="194"/>
      <c r="BEX11" s="194" t="s">
        <v>112</v>
      </c>
      <c r="BEY11" s="194"/>
      <c r="BEZ11" s="194"/>
      <c r="BFA11" s="194"/>
      <c r="BFB11" s="194"/>
      <c r="BFC11" s="194"/>
      <c r="BFD11" s="194"/>
      <c r="BFE11" s="194"/>
      <c r="BFF11" s="194"/>
      <c r="BFG11" s="194"/>
      <c r="BFH11" s="194"/>
      <c r="BFI11" s="194"/>
      <c r="BFJ11" s="194"/>
      <c r="BFK11" s="194"/>
      <c r="BFL11" s="194"/>
      <c r="BFM11" s="194"/>
      <c r="BFN11" s="194"/>
      <c r="BFO11" s="194"/>
      <c r="BFP11" s="194"/>
      <c r="BFQ11" s="194"/>
      <c r="BFR11" s="194"/>
      <c r="BFS11" s="194"/>
      <c r="BFT11" s="194"/>
      <c r="BFU11" s="194"/>
      <c r="BFV11" s="194"/>
      <c r="BFW11" s="194"/>
      <c r="BFX11" s="194"/>
      <c r="BFY11" s="194"/>
      <c r="BFZ11" s="194"/>
      <c r="BGA11" s="194"/>
      <c r="BGB11" s="194"/>
      <c r="BGC11" s="194"/>
      <c r="BGD11" s="194"/>
      <c r="BGE11" s="194"/>
      <c r="BGF11" s="194"/>
      <c r="BGG11" s="194"/>
      <c r="BGH11" s="194"/>
      <c r="BGI11" s="194"/>
      <c r="BGJ11" s="194"/>
      <c r="BGK11" s="194"/>
      <c r="BGL11" s="194"/>
      <c r="BGM11" s="194"/>
      <c r="BGN11" s="194"/>
      <c r="BGO11" s="194"/>
      <c r="BGP11" s="194"/>
      <c r="BGQ11" s="194"/>
      <c r="BGR11" s="194"/>
      <c r="BGS11" s="194"/>
      <c r="BGT11" s="194"/>
      <c r="BGU11" s="194"/>
      <c r="BGV11" s="194"/>
      <c r="BGW11" s="194"/>
      <c r="BGX11" s="194"/>
      <c r="BGY11" s="194"/>
      <c r="BGZ11" s="194"/>
      <c r="BHA11" s="194"/>
      <c r="BHB11" s="194"/>
      <c r="BHC11" s="194"/>
      <c r="BHD11" s="194"/>
      <c r="BHE11" s="194"/>
      <c r="BHF11" s="194" t="s">
        <v>112</v>
      </c>
      <c r="BHG11" s="194"/>
      <c r="BHH11" s="194"/>
      <c r="BHI11" s="194"/>
      <c r="BHJ11" s="194"/>
      <c r="BHK11" s="194"/>
      <c r="BHL11" s="194"/>
      <c r="BHM11" s="194"/>
      <c r="BHN11" s="194"/>
      <c r="BHO11" s="194"/>
      <c r="BHP11" s="194"/>
      <c r="BHQ11" s="194"/>
      <c r="BHR11" s="194"/>
      <c r="BHS11" s="194"/>
      <c r="BHT11" s="194"/>
      <c r="BHU11" s="194"/>
      <c r="BHV11" s="194"/>
      <c r="BHW11" s="194"/>
      <c r="BHX11" s="194"/>
      <c r="BHY11" s="194"/>
      <c r="BHZ11" s="194"/>
      <c r="BIA11" s="194"/>
      <c r="BIB11" s="194"/>
      <c r="BIC11" s="194"/>
      <c r="BID11" s="194"/>
      <c r="BIE11" s="194"/>
      <c r="BIF11" s="194"/>
      <c r="BIG11" s="194"/>
      <c r="BIH11" s="194"/>
      <c r="BII11" s="194"/>
      <c r="BIJ11" s="194"/>
      <c r="BIK11" s="194"/>
      <c r="BIL11" s="194"/>
      <c r="BIM11" s="194"/>
      <c r="BIN11" s="194"/>
      <c r="BIO11" s="194"/>
      <c r="BIP11" s="194"/>
      <c r="BIQ11" s="194"/>
      <c r="BIR11" s="194"/>
      <c r="BIS11" s="194"/>
      <c r="BIT11" s="194"/>
      <c r="BIU11" s="194"/>
      <c r="BIV11" s="194"/>
      <c r="BIW11" s="194"/>
      <c r="BIX11" s="194"/>
      <c r="BIY11" s="194"/>
      <c r="BIZ11" s="194"/>
      <c r="BJA11" s="194"/>
      <c r="BJB11" s="194"/>
      <c r="BJC11" s="194"/>
      <c r="BJD11" s="194"/>
      <c r="BJE11" s="194"/>
      <c r="BJF11" s="194"/>
      <c r="BJG11" s="194"/>
      <c r="BJH11" s="194"/>
      <c r="BJI11" s="194"/>
      <c r="BJJ11" s="194"/>
      <c r="BJK11" s="194"/>
      <c r="BJL11" s="194"/>
      <c r="BJM11" s="194"/>
      <c r="BJN11" s="75" t="s">
        <v>232</v>
      </c>
    </row>
    <row r="12" spans="1:1652" ht="15.75" customHeight="1" thickBot="1" x14ac:dyDescent="0.3">
      <c r="B12" s="81"/>
      <c r="C12" s="205"/>
      <c r="D12" s="205"/>
      <c r="E12" s="205"/>
      <c r="F12" s="193" t="s">
        <v>41</v>
      </c>
      <c r="G12" s="193"/>
      <c r="H12" s="193"/>
      <c r="I12" s="193"/>
      <c r="J12" s="193"/>
      <c r="K12" s="193"/>
      <c r="L12" s="193"/>
      <c r="M12" s="193"/>
      <c r="N12" s="193"/>
      <c r="O12" s="193"/>
      <c r="P12" s="193"/>
      <c r="Q12" s="193"/>
      <c r="R12" s="193"/>
      <c r="S12" s="193"/>
      <c r="T12" s="193"/>
      <c r="U12" s="193"/>
      <c r="V12" s="193"/>
      <c r="W12" s="193"/>
      <c r="X12" s="193"/>
      <c r="Y12" s="193"/>
      <c r="Z12" s="193"/>
      <c r="AA12" s="193"/>
      <c r="AB12" s="193"/>
      <c r="AC12" s="193"/>
      <c r="AD12" s="193"/>
      <c r="AE12" s="193"/>
      <c r="AF12" s="193"/>
      <c r="AG12" s="193"/>
      <c r="AH12" s="193"/>
      <c r="AI12" s="193"/>
      <c r="AJ12" s="193"/>
      <c r="AK12" s="193"/>
      <c r="AL12" s="193"/>
      <c r="AM12" s="193"/>
      <c r="AN12" s="193"/>
      <c r="AO12" s="193"/>
      <c r="AP12" s="193"/>
      <c r="AQ12" s="193"/>
      <c r="AR12" s="193"/>
      <c r="AS12" s="193"/>
      <c r="AT12" s="193"/>
      <c r="AU12" s="193"/>
      <c r="AV12" s="193"/>
      <c r="AW12" s="193"/>
      <c r="AX12" s="193"/>
      <c r="AY12" s="193"/>
      <c r="AZ12" s="193"/>
      <c r="BA12" s="193"/>
      <c r="BB12" s="193"/>
      <c r="BC12" s="193"/>
      <c r="BD12" s="193"/>
      <c r="BE12" s="193"/>
      <c r="BF12" s="193"/>
      <c r="BG12" s="193"/>
      <c r="BH12" s="193"/>
      <c r="BI12" s="193"/>
      <c r="BJ12" s="193"/>
      <c r="BK12" s="193"/>
      <c r="BL12" s="193"/>
      <c r="BM12" s="193"/>
      <c r="BN12" s="193" t="s">
        <v>42</v>
      </c>
      <c r="BO12" s="193"/>
      <c r="BP12" s="193"/>
      <c r="BQ12" s="193"/>
      <c r="BR12" s="193"/>
      <c r="BS12" s="193"/>
      <c r="BT12" s="193"/>
      <c r="BU12" s="193"/>
      <c r="BV12" s="193"/>
      <c r="BW12" s="193"/>
      <c r="BX12" s="193"/>
      <c r="BY12" s="193"/>
      <c r="BZ12" s="193"/>
      <c r="CA12" s="193"/>
      <c r="CB12" s="193"/>
      <c r="CC12" s="193"/>
      <c r="CD12" s="193"/>
      <c r="CE12" s="193"/>
      <c r="CF12" s="193"/>
      <c r="CG12" s="193"/>
      <c r="CH12" s="193"/>
      <c r="CI12" s="193"/>
      <c r="CJ12" s="193"/>
      <c r="CK12" s="193"/>
      <c r="CL12" s="193"/>
      <c r="CM12" s="193"/>
      <c r="CN12" s="193"/>
      <c r="CO12" s="193"/>
      <c r="CP12" s="193"/>
      <c r="CQ12" s="193"/>
      <c r="CR12" s="193"/>
      <c r="CS12" s="193"/>
      <c r="CT12" s="193"/>
      <c r="CU12" s="193"/>
      <c r="CV12" s="193"/>
      <c r="CW12" s="193"/>
      <c r="CX12" s="193"/>
      <c r="CY12" s="193"/>
      <c r="CZ12" s="193"/>
      <c r="DA12" s="193"/>
      <c r="DB12" s="193"/>
      <c r="DC12" s="193"/>
      <c r="DD12" s="193"/>
      <c r="DE12" s="193"/>
      <c r="DF12" s="193"/>
      <c r="DG12" s="193"/>
      <c r="DH12" s="193"/>
      <c r="DI12" s="193"/>
      <c r="DJ12" s="193"/>
      <c r="DK12" s="193"/>
      <c r="DL12" s="193"/>
      <c r="DM12" s="193"/>
      <c r="DN12" s="193"/>
      <c r="DO12" s="193"/>
      <c r="DP12" s="193"/>
      <c r="DQ12" s="193"/>
      <c r="DR12" s="193"/>
      <c r="DS12" s="193"/>
      <c r="DT12" s="193"/>
      <c r="DU12" s="193"/>
      <c r="DV12" s="195" t="s">
        <v>41</v>
      </c>
      <c r="DW12" s="195"/>
      <c r="DX12" s="195"/>
      <c r="DY12" s="195"/>
      <c r="DZ12" s="195"/>
      <c r="EA12" s="195"/>
      <c r="EB12" s="195"/>
      <c r="EC12" s="195"/>
      <c r="ED12" s="195"/>
      <c r="EE12" s="195"/>
      <c r="EF12" s="195"/>
      <c r="EG12" s="195"/>
      <c r="EH12" s="195"/>
      <c r="EI12" s="195"/>
      <c r="EJ12" s="195"/>
      <c r="EK12" s="195"/>
      <c r="EL12" s="195"/>
      <c r="EM12" s="195"/>
      <c r="EN12" s="195"/>
      <c r="EO12" s="195"/>
      <c r="EP12" s="195"/>
      <c r="EQ12" s="195"/>
      <c r="ER12" s="195"/>
      <c r="ES12" s="195"/>
      <c r="ET12" s="195"/>
      <c r="EU12" s="195"/>
      <c r="EV12" s="195"/>
      <c r="EW12" s="195"/>
      <c r="EX12" s="195"/>
      <c r="EY12" s="195"/>
      <c r="EZ12" s="195"/>
      <c r="FA12" s="195"/>
      <c r="FB12" s="195"/>
      <c r="FC12" s="195"/>
      <c r="FD12" s="195"/>
      <c r="FE12" s="195"/>
      <c r="FF12" s="195"/>
      <c r="FG12" s="195"/>
      <c r="FH12" s="195"/>
      <c r="FI12" s="195"/>
      <c r="FJ12" s="195"/>
      <c r="FK12" s="195"/>
      <c r="FL12" s="195"/>
      <c r="FM12" s="195"/>
      <c r="FN12" s="195"/>
      <c r="FO12" s="195"/>
      <c r="FP12" s="195"/>
      <c r="FQ12" s="195"/>
      <c r="FR12" s="195"/>
      <c r="FS12" s="195"/>
      <c r="FT12" s="195"/>
      <c r="FU12" s="195"/>
      <c r="FV12" s="195"/>
      <c r="FW12" s="195"/>
      <c r="FX12" s="195"/>
      <c r="FY12" s="195"/>
      <c r="FZ12" s="195"/>
      <c r="GA12" s="195"/>
      <c r="GB12" s="195"/>
      <c r="GC12" s="195"/>
      <c r="GD12" s="195" t="s">
        <v>42</v>
      </c>
      <c r="GE12" s="195"/>
      <c r="GF12" s="195"/>
      <c r="GG12" s="195"/>
      <c r="GH12" s="195"/>
      <c r="GI12" s="195"/>
      <c r="GJ12" s="195"/>
      <c r="GK12" s="195"/>
      <c r="GL12" s="195"/>
      <c r="GM12" s="195"/>
      <c r="GN12" s="195"/>
      <c r="GO12" s="195"/>
      <c r="GP12" s="195"/>
      <c r="GQ12" s="195"/>
      <c r="GR12" s="195"/>
      <c r="GS12" s="195"/>
      <c r="GT12" s="195"/>
      <c r="GU12" s="195"/>
      <c r="GV12" s="195"/>
      <c r="GW12" s="195"/>
      <c r="GX12" s="195"/>
      <c r="GY12" s="195"/>
      <c r="GZ12" s="195"/>
      <c r="HA12" s="195"/>
      <c r="HB12" s="195"/>
      <c r="HC12" s="195"/>
      <c r="HD12" s="195"/>
      <c r="HE12" s="195"/>
      <c r="HF12" s="195"/>
      <c r="HG12" s="195"/>
      <c r="HH12" s="195"/>
      <c r="HI12" s="195"/>
      <c r="HJ12" s="195"/>
      <c r="HK12" s="195"/>
      <c r="HL12" s="195"/>
      <c r="HM12" s="195"/>
      <c r="HN12" s="195"/>
      <c r="HO12" s="195"/>
      <c r="HP12" s="195"/>
      <c r="HQ12" s="195"/>
      <c r="HR12" s="195"/>
      <c r="HS12" s="195"/>
      <c r="HT12" s="195"/>
      <c r="HU12" s="195"/>
      <c r="HV12" s="195"/>
      <c r="HW12" s="195"/>
      <c r="HX12" s="195"/>
      <c r="HY12" s="195"/>
      <c r="HZ12" s="195"/>
      <c r="IA12" s="195"/>
      <c r="IB12" s="195"/>
      <c r="IC12" s="195"/>
      <c r="ID12" s="195"/>
      <c r="IE12" s="195"/>
      <c r="IF12" s="195"/>
      <c r="IG12" s="195"/>
      <c r="IH12" s="195"/>
      <c r="II12" s="195"/>
      <c r="IJ12" s="195"/>
      <c r="IK12" s="195"/>
      <c r="IL12" s="195" t="s">
        <v>41</v>
      </c>
      <c r="IM12" s="195"/>
      <c r="IN12" s="195"/>
      <c r="IO12" s="195"/>
      <c r="IP12" s="195"/>
      <c r="IQ12" s="195"/>
      <c r="IR12" s="195"/>
      <c r="IS12" s="195"/>
      <c r="IT12" s="195"/>
      <c r="IU12" s="195"/>
      <c r="IV12" s="195"/>
      <c r="IW12" s="195"/>
      <c r="IX12" s="195"/>
      <c r="IY12" s="195"/>
      <c r="IZ12" s="195"/>
      <c r="JA12" s="195"/>
      <c r="JB12" s="195"/>
      <c r="JC12" s="195"/>
      <c r="JD12" s="195"/>
      <c r="JE12" s="195"/>
      <c r="JF12" s="195"/>
      <c r="JG12" s="195"/>
      <c r="JH12" s="195"/>
      <c r="JI12" s="195"/>
      <c r="JJ12" s="195"/>
      <c r="JK12" s="195"/>
      <c r="JL12" s="195"/>
      <c r="JM12" s="195"/>
      <c r="JN12" s="195"/>
      <c r="JO12" s="195"/>
      <c r="JP12" s="195"/>
      <c r="JQ12" s="195"/>
      <c r="JR12" s="195"/>
      <c r="JS12" s="195"/>
      <c r="JT12" s="195"/>
      <c r="JU12" s="195"/>
      <c r="JV12" s="195"/>
      <c r="JW12" s="195"/>
      <c r="JX12" s="195"/>
      <c r="JY12" s="195"/>
      <c r="JZ12" s="195"/>
      <c r="KA12" s="195"/>
      <c r="KB12" s="195"/>
      <c r="KC12" s="195"/>
      <c r="KD12" s="195"/>
      <c r="KE12" s="195"/>
      <c r="KF12" s="195"/>
      <c r="KG12" s="195"/>
      <c r="KH12" s="195"/>
      <c r="KI12" s="195"/>
      <c r="KJ12" s="195"/>
      <c r="KK12" s="195"/>
      <c r="KL12" s="195"/>
      <c r="KM12" s="195"/>
      <c r="KN12" s="195"/>
      <c r="KO12" s="195"/>
      <c r="KP12" s="195"/>
      <c r="KQ12" s="195"/>
      <c r="KR12" s="195"/>
      <c r="KS12" s="195"/>
      <c r="KT12" s="195" t="s">
        <v>41</v>
      </c>
      <c r="KU12" s="195"/>
      <c r="KV12" s="195"/>
      <c r="KW12" s="195"/>
      <c r="KX12" s="195"/>
      <c r="KY12" s="195"/>
      <c r="KZ12" s="195"/>
      <c r="LA12" s="195"/>
      <c r="LB12" s="195"/>
      <c r="LC12" s="195"/>
      <c r="LD12" s="195"/>
      <c r="LE12" s="195"/>
      <c r="LF12" s="195"/>
      <c r="LG12" s="195"/>
      <c r="LH12" s="195"/>
      <c r="LI12" s="195"/>
      <c r="LJ12" s="195"/>
      <c r="LK12" s="195"/>
      <c r="LL12" s="195"/>
      <c r="LM12" s="195"/>
      <c r="LN12" s="195"/>
      <c r="LO12" s="195"/>
      <c r="LP12" s="195"/>
      <c r="LQ12" s="195"/>
      <c r="LR12" s="195"/>
      <c r="LS12" s="195"/>
      <c r="LT12" s="195"/>
      <c r="LU12" s="195"/>
      <c r="LV12" s="195"/>
      <c r="LW12" s="195"/>
      <c r="LX12" s="195"/>
      <c r="LY12" s="195"/>
      <c r="LZ12" s="195"/>
      <c r="MA12" s="195"/>
      <c r="MB12" s="195"/>
      <c r="MC12" s="195"/>
      <c r="MD12" s="195"/>
      <c r="ME12" s="195"/>
      <c r="MF12" s="195"/>
      <c r="MG12" s="195"/>
      <c r="MH12" s="195"/>
      <c r="MI12" s="195"/>
      <c r="MJ12" s="195"/>
      <c r="MK12" s="195"/>
      <c r="ML12" s="195"/>
      <c r="MM12" s="195"/>
      <c r="MN12" s="195"/>
      <c r="MO12" s="195"/>
      <c r="MP12" s="195"/>
      <c r="MQ12" s="195"/>
      <c r="MR12" s="195"/>
      <c r="MS12" s="195"/>
      <c r="MT12" s="195"/>
      <c r="MU12" s="195"/>
      <c r="MV12" s="195"/>
      <c r="MW12" s="195"/>
      <c r="MX12" s="195"/>
      <c r="MY12" s="195"/>
      <c r="MZ12" s="195"/>
      <c r="NA12" s="195"/>
      <c r="NB12" s="195" t="s">
        <v>42</v>
      </c>
      <c r="NC12" s="195"/>
      <c r="ND12" s="195"/>
      <c r="NE12" s="195"/>
      <c r="NF12" s="195"/>
      <c r="NG12" s="195"/>
      <c r="NH12" s="195"/>
      <c r="NI12" s="195"/>
      <c r="NJ12" s="195"/>
      <c r="NK12" s="195"/>
      <c r="NL12" s="195"/>
      <c r="NM12" s="195"/>
      <c r="NN12" s="195"/>
      <c r="NO12" s="195"/>
      <c r="NP12" s="195"/>
      <c r="NQ12" s="195"/>
      <c r="NR12" s="195"/>
      <c r="NS12" s="195"/>
      <c r="NT12" s="195"/>
      <c r="NU12" s="195"/>
      <c r="NV12" s="195"/>
      <c r="NW12" s="195"/>
      <c r="NX12" s="195"/>
      <c r="NY12" s="195"/>
      <c r="NZ12" s="195"/>
      <c r="OA12" s="195"/>
      <c r="OB12" s="195"/>
      <c r="OC12" s="195"/>
      <c r="OD12" s="195"/>
      <c r="OE12" s="195"/>
      <c r="OF12" s="195"/>
      <c r="OG12" s="195"/>
      <c r="OH12" s="195"/>
      <c r="OI12" s="195"/>
      <c r="OJ12" s="195"/>
      <c r="OK12" s="195"/>
      <c r="OL12" s="195"/>
      <c r="OM12" s="195"/>
      <c r="ON12" s="195"/>
      <c r="OO12" s="195"/>
      <c r="OP12" s="195"/>
      <c r="OQ12" s="195"/>
      <c r="OR12" s="195"/>
      <c r="OS12" s="195"/>
      <c r="OT12" s="195"/>
      <c r="OU12" s="195"/>
      <c r="OV12" s="195"/>
      <c r="OW12" s="195"/>
      <c r="OX12" s="195"/>
      <c r="OY12" s="195"/>
      <c r="OZ12" s="195"/>
      <c r="PA12" s="195"/>
      <c r="PB12" s="195"/>
      <c r="PC12" s="195"/>
      <c r="PD12" s="195"/>
      <c r="PE12" s="195"/>
      <c r="PF12" s="195"/>
      <c r="PG12" s="195"/>
      <c r="PH12" s="195"/>
      <c r="PI12" s="195"/>
      <c r="PJ12" s="195" t="s">
        <v>41</v>
      </c>
      <c r="PK12" s="195"/>
      <c r="PL12" s="195"/>
      <c r="PM12" s="195"/>
      <c r="PN12" s="195"/>
      <c r="PO12" s="195"/>
      <c r="PP12" s="195"/>
      <c r="PQ12" s="195"/>
      <c r="PR12" s="195"/>
      <c r="PS12" s="195"/>
      <c r="PT12" s="195"/>
      <c r="PU12" s="195"/>
      <c r="PV12" s="195"/>
      <c r="PW12" s="195"/>
      <c r="PX12" s="195"/>
      <c r="PY12" s="195"/>
      <c r="PZ12" s="195"/>
      <c r="QA12" s="195"/>
      <c r="QB12" s="195"/>
      <c r="QC12" s="195"/>
      <c r="QD12" s="195"/>
      <c r="QE12" s="195"/>
      <c r="QF12" s="195"/>
      <c r="QG12" s="195"/>
      <c r="QH12" s="195"/>
      <c r="QI12" s="195"/>
      <c r="QJ12" s="195"/>
      <c r="QK12" s="195"/>
      <c r="QL12" s="195"/>
      <c r="QM12" s="195"/>
      <c r="QN12" s="195"/>
      <c r="QO12" s="195"/>
      <c r="QP12" s="195"/>
      <c r="QQ12" s="195"/>
      <c r="QR12" s="195"/>
      <c r="QS12" s="195"/>
      <c r="QT12" s="195"/>
      <c r="QU12" s="195"/>
      <c r="QV12" s="195"/>
      <c r="QW12" s="195"/>
      <c r="QX12" s="195"/>
      <c r="QY12" s="195"/>
      <c r="QZ12" s="195"/>
      <c r="RA12" s="195"/>
      <c r="RB12" s="195"/>
      <c r="RC12" s="195"/>
      <c r="RD12" s="195"/>
      <c r="RE12" s="195"/>
      <c r="RF12" s="195"/>
      <c r="RG12" s="195"/>
      <c r="RH12" s="195"/>
      <c r="RI12" s="195"/>
      <c r="RJ12" s="195"/>
      <c r="RK12" s="195"/>
      <c r="RL12" s="195"/>
      <c r="RM12" s="195"/>
      <c r="RN12" s="195"/>
      <c r="RO12" s="195"/>
      <c r="RP12" s="195"/>
      <c r="RQ12" s="195"/>
      <c r="RR12" s="195" t="s">
        <v>42</v>
      </c>
      <c r="RS12" s="195"/>
      <c r="RT12" s="195"/>
      <c r="RU12" s="195"/>
      <c r="RV12" s="195"/>
      <c r="RW12" s="195"/>
      <c r="RX12" s="195"/>
      <c r="RY12" s="195"/>
      <c r="RZ12" s="195"/>
      <c r="SA12" s="195"/>
      <c r="SB12" s="195"/>
      <c r="SC12" s="195"/>
      <c r="SD12" s="195"/>
      <c r="SE12" s="195"/>
      <c r="SF12" s="195"/>
      <c r="SG12" s="195"/>
      <c r="SH12" s="195"/>
      <c r="SI12" s="195"/>
      <c r="SJ12" s="195"/>
      <c r="SK12" s="195"/>
      <c r="SL12" s="195"/>
      <c r="SM12" s="195"/>
      <c r="SN12" s="195"/>
      <c r="SO12" s="195"/>
      <c r="SP12" s="195"/>
      <c r="SQ12" s="195"/>
      <c r="SR12" s="195"/>
      <c r="SS12" s="195"/>
      <c r="ST12" s="195"/>
      <c r="SU12" s="195"/>
      <c r="SV12" s="195"/>
      <c r="SW12" s="195"/>
      <c r="SX12" s="195"/>
      <c r="SY12" s="195"/>
      <c r="SZ12" s="195"/>
      <c r="TA12" s="195"/>
      <c r="TB12" s="195"/>
      <c r="TC12" s="195"/>
      <c r="TD12" s="195"/>
      <c r="TE12" s="195"/>
      <c r="TF12" s="195"/>
      <c r="TG12" s="195"/>
      <c r="TH12" s="195"/>
      <c r="TI12" s="195"/>
      <c r="TJ12" s="195"/>
      <c r="TK12" s="195"/>
      <c r="TL12" s="195"/>
      <c r="TM12" s="195"/>
      <c r="TN12" s="195"/>
      <c r="TO12" s="195"/>
      <c r="TP12" s="195"/>
      <c r="TQ12" s="195"/>
      <c r="TR12" s="195"/>
      <c r="TS12" s="195"/>
      <c r="TT12" s="195"/>
      <c r="TU12" s="195"/>
      <c r="TV12" s="195"/>
      <c r="TW12" s="195"/>
      <c r="TX12" s="195"/>
      <c r="TY12" s="195"/>
      <c r="TZ12" s="195" t="s">
        <v>41</v>
      </c>
      <c r="UA12" s="195"/>
      <c r="UB12" s="195"/>
      <c r="UC12" s="195"/>
      <c r="UD12" s="195"/>
      <c r="UE12" s="195"/>
      <c r="UF12" s="195"/>
      <c r="UG12" s="195"/>
      <c r="UH12" s="195"/>
      <c r="UI12" s="195"/>
      <c r="UJ12" s="195"/>
      <c r="UK12" s="195"/>
      <c r="UL12" s="195"/>
      <c r="UM12" s="195"/>
      <c r="UN12" s="195"/>
      <c r="UO12" s="195"/>
      <c r="UP12" s="195"/>
      <c r="UQ12" s="195"/>
      <c r="UR12" s="195"/>
      <c r="US12" s="195"/>
      <c r="UT12" s="195"/>
      <c r="UU12" s="195"/>
      <c r="UV12" s="195"/>
      <c r="UW12" s="195"/>
      <c r="UX12" s="195"/>
      <c r="UY12" s="195"/>
      <c r="UZ12" s="195"/>
      <c r="VA12" s="195"/>
      <c r="VB12" s="195"/>
      <c r="VC12" s="195"/>
      <c r="VD12" s="195"/>
      <c r="VE12" s="195"/>
      <c r="VF12" s="195"/>
      <c r="VG12" s="195"/>
      <c r="VH12" s="195"/>
      <c r="VI12" s="195"/>
      <c r="VJ12" s="195"/>
      <c r="VK12" s="195"/>
      <c r="VL12" s="195"/>
      <c r="VM12" s="195"/>
      <c r="VN12" s="195"/>
      <c r="VO12" s="195"/>
      <c r="VP12" s="195"/>
      <c r="VQ12" s="195"/>
      <c r="VR12" s="195"/>
      <c r="VS12" s="195"/>
      <c r="VT12" s="195"/>
      <c r="VU12" s="195"/>
      <c r="VV12" s="195"/>
      <c r="VW12" s="195"/>
      <c r="VX12" s="195"/>
      <c r="VY12" s="195"/>
      <c r="VZ12" s="195"/>
      <c r="WA12" s="195"/>
      <c r="WB12" s="195"/>
      <c r="WC12" s="195"/>
      <c r="WD12" s="195"/>
      <c r="WE12" s="195"/>
      <c r="WF12" s="195"/>
      <c r="WG12" s="195"/>
      <c r="WH12" s="195" t="s">
        <v>42</v>
      </c>
      <c r="WI12" s="195"/>
      <c r="WJ12" s="195"/>
      <c r="WK12" s="195"/>
      <c r="WL12" s="195"/>
      <c r="WM12" s="195"/>
      <c r="WN12" s="195"/>
      <c r="WO12" s="195"/>
      <c r="WP12" s="195"/>
      <c r="WQ12" s="195"/>
      <c r="WR12" s="195"/>
      <c r="WS12" s="195"/>
      <c r="WT12" s="195"/>
      <c r="WU12" s="195"/>
      <c r="WV12" s="195"/>
      <c r="WW12" s="195"/>
      <c r="WX12" s="195"/>
      <c r="WY12" s="195"/>
      <c r="WZ12" s="195"/>
      <c r="XA12" s="195"/>
      <c r="XB12" s="195"/>
      <c r="XC12" s="195"/>
      <c r="XD12" s="195"/>
      <c r="XE12" s="195"/>
      <c r="XF12" s="195"/>
      <c r="XG12" s="195"/>
      <c r="XH12" s="195"/>
      <c r="XI12" s="195"/>
      <c r="XJ12" s="195"/>
      <c r="XK12" s="195"/>
      <c r="XL12" s="195"/>
      <c r="XM12" s="195"/>
      <c r="XN12" s="195"/>
      <c r="XO12" s="195"/>
      <c r="XP12" s="195"/>
      <c r="XQ12" s="195"/>
      <c r="XR12" s="195"/>
      <c r="XS12" s="195"/>
      <c r="XT12" s="195"/>
      <c r="XU12" s="195"/>
      <c r="XV12" s="195"/>
      <c r="XW12" s="195"/>
      <c r="XX12" s="195"/>
      <c r="XY12" s="195"/>
      <c r="XZ12" s="195"/>
      <c r="YA12" s="195"/>
      <c r="YB12" s="195"/>
      <c r="YC12" s="195"/>
      <c r="YD12" s="195"/>
      <c r="YE12" s="195"/>
      <c r="YF12" s="195"/>
      <c r="YG12" s="195"/>
      <c r="YH12" s="195"/>
      <c r="YI12" s="195"/>
      <c r="YJ12" s="195"/>
      <c r="YK12" s="195"/>
      <c r="YL12" s="195"/>
      <c r="YM12" s="195"/>
      <c r="YN12" s="195"/>
      <c r="YO12" s="195"/>
      <c r="YP12" s="195" t="s">
        <v>41</v>
      </c>
      <c r="YQ12" s="195"/>
      <c r="YR12" s="195"/>
      <c r="YS12" s="195"/>
      <c r="YT12" s="195"/>
      <c r="YU12" s="195"/>
      <c r="YV12" s="195"/>
      <c r="YW12" s="195"/>
      <c r="YX12" s="195"/>
      <c r="YY12" s="195"/>
      <c r="YZ12" s="195"/>
      <c r="ZA12" s="195"/>
      <c r="ZB12" s="195"/>
      <c r="ZC12" s="195"/>
      <c r="ZD12" s="195"/>
      <c r="ZE12" s="195"/>
      <c r="ZF12" s="195"/>
      <c r="ZG12" s="195"/>
      <c r="ZH12" s="195"/>
      <c r="ZI12" s="195"/>
      <c r="ZJ12" s="195"/>
      <c r="ZK12" s="195"/>
      <c r="ZL12" s="195"/>
      <c r="ZM12" s="195"/>
      <c r="ZN12" s="195"/>
      <c r="ZO12" s="195"/>
      <c r="ZP12" s="195"/>
      <c r="ZQ12" s="195"/>
      <c r="ZR12" s="195"/>
      <c r="ZS12" s="195"/>
      <c r="ZT12" s="195"/>
      <c r="ZU12" s="195"/>
      <c r="ZV12" s="195"/>
      <c r="ZW12" s="195"/>
      <c r="ZX12" s="195"/>
      <c r="ZY12" s="195"/>
      <c r="ZZ12" s="195"/>
      <c r="AAA12" s="195"/>
      <c r="AAB12" s="195"/>
      <c r="AAC12" s="195"/>
      <c r="AAD12" s="195"/>
      <c r="AAE12" s="195"/>
      <c r="AAF12" s="195"/>
      <c r="AAG12" s="195"/>
      <c r="AAH12" s="195"/>
      <c r="AAI12" s="195"/>
      <c r="AAJ12" s="195"/>
      <c r="AAK12" s="195"/>
      <c r="AAL12" s="195"/>
      <c r="AAM12" s="195"/>
      <c r="AAN12" s="195"/>
      <c r="AAO12" s="195"/>
      <c r="AAP12" s="195"/>
      <c r="AAQ12" s="195"/>
      <c r="AAR12" s="195"/>
      <c r="AAS12" s="195"/>
      <c r="AAT12" s="195"/>
      <c r="AAU12" s="195"/>
      <c r="AAV12" s="195"/>
      <c r="AAW12" s="195"/>
      <c r="AAX12" s="195" t="s">
        <v>41</v>
      </c>
      <c r="AAY12" s="195"/>
      <c r="AAZ12" s="195"/>
      <c r="ABA12" s="195"/>
      <c r="ABB12" s="195"/>
      <c r="ABC12" s="195"/>
      <c r="ABD12" s="195"/>
      <c r="ABE12" s="195"/>
      <c r="ABF12" s="195"/>
      <c r="ABG12" s="195"/>
      <c r="ABH12" s="195"/>
      <c r="ABI12" s="195"/>
      <c r="ABJ12" s="195"/>
      <c r="ABK12" s="195"/>
      <c r="ABL12" s="195"/>
      <c r="ABM12" s="195"/>
      <c r="ABN12" s="195"/>
      <c r="ABO12" s="195"/>
      <c r="ABP12" s="195"/>
      <c r="ABQ12" s="195"/>
      <c r="ABR12" s="195"/>
      <c r="ABS12" s="195"/>
      <c r="ABT12" s="195"/>
      <c r="ABU12" s="195"/>
      <c r="ABV12" s="195"/>
      <c r="ABW12" s="195"/>
      <c r="ABX12" s="195"/>
      <c r="ABY12" s="195"/>
      <c r="ABZ12" s="195"/>
      <c r="ACA12" s="195"/>
      <c r="ACB12" s="195"/>
      <c r="ACC12" s="195"/>
      <c r="ACD12" s="195"/>
      <c r="ACE12" s="195"/>
      <c r="ACF12" s="195"/>
      <c r="ACG12" s="195"/>
      <c r="ACH12" s="195"/>
      <c r="ACI12" s="195"/>
      <c r="ACJ12" s="195"/>
      <c r="ACK12" s="195"/>
      <c r="ACL12" s="195"/>
      <c r="ACM12" s="195"/>
      <c r="ACN12" s="195"/>
      <c r="ACO12" s="195"/>
      <c r="ACP12" s="195"/>
      <c r="ACQ12" s="195"/>
      <c r="ACR12" s="195"/>
      <c r="ACS12" s="195"/>
      <c r="ACT12" s="195"/>
      <c r="ACU12" s="195"/>
      <c r="ACV12" s="195"/>
      <c r="ACW12" s="195"/>
      <c r="ACX12" s="195"/>
      <c r="ACY12" s="195"/>
      <c r="ACZ12" s="195"/>
      <c r="ADA12" s="195"/>
      <c r="ADB12" s="195"/>
      <c r="ADC12" s="195"/>
      <c r="ADD12" s="195"/>
      <c r="ADE12" s="195"/>
      <c r="ADF12" s="195" t="s">
        <v>42</v>
      </c>
      <c r="ADG12" s="195"/>
      <c r="ADH12" s="195"/>
      <c r="ADI12" s="195"/>
      <c r="ADJ12" s="195"/>
      <c r="ADK12" s="195"/>
      <c r="ADL12" s="195"/>
      <c r="ADM12" s="195"/>
      <c r="ADN12" s="195"/>
      <c r="ADO12" s="195"/>
      <c r="ADP12" s="195"/>
      <c r="ADQ12" s="195"/>
      <c r="ADR12" s="195"/>
      <c r="ADS12" s="195"/>
      <c r="ADT12" s="195"/>
      <c r="ADU12" s="195"/>
      <c r="ADV12" s="195"/>
      <c r="ADW12" s="195"/>
      <c r="ADX12" s="195"/>
      <c r="ADY12" s="195"/>
      <c r="ADZ12" s="195"/>
      <c r="AEA12" s="195"/>
      <c r="AEB12" s="195"/>
      <c r="AEC12" s="195"/>
      <c r="AED12" s="195"/>
      <c r="AEE12" s="195"/>
      <c r="AEF12" s="195"/>
      <c r="AEG12" s="195"/>
      <c r="AEH12" s="195"/>
      <c r="AEI12" s="195"/>
      <c r="AEJ12" s="195"/>
      <c r="AEK12" s="195"/>
      <c r="AEL12" s="195"/>
      <c r="AEM12" s="195"/>
      <c r="AEN12" s="195"/>
      <c r="AEO12" s="195"/>
      <c r="AEP12" s="195"/>
      <c r="AEQ12" s="195"/>
      <c r="AER12" s="195"/>
      <c r="AES12" s="195"/>
      <c r="AET12" s="195"/>
      <c r="AEU12" s="195"/>
      <c r="AEV12" s="195"/>
      <c r="AEW12" s="195"/>
      <c r="AEX12" s="195"/>
      <c r="AEY12" s="195"/>
      <c r="AEZ12" s="195"/>
      <c r="AFA12" s="195"/>
      <c r="AFB12" s="195"/>
      <c r="AFC12" s="195"/>
      <c r="AFD12" s="195"/>
      <c r="AFE12" s="195"/>
      <c r="AFF12" s="195"/>
      <c r="AFG12" s="195"/>
      <c r="AFH12" s="195"/>
      <c r="AFI12" s="195"/>
      <c r="AFJ12" s="195"/>
      <c r="AFK12" s="195"/>
      <c r="AFL12" s="195"/>
      <c r="AFM12" s="195"/>
      <c r="AFN12" s="195" t="s">
        <v>41</v>
      </c>
      <c r="AFO12" s="195"/>
      <c r="AFP12" s="195"/>
      <c r="AFQ12" s="195"/>
      <c r="AFR12" s="195"/>
      <c r="AFS12" s="195"/>
      <c r="AFT12" s="195"/>
      <c r="AFU12" s="195"/>
      <c r="AFV12" s="195"/>
      <c r="AFW12" s="195"/>
      <c r="AFX12" s="195"/>
      <c r="AFY12" s="195"/>
      <c r="AFZ12" s="195"/>
      <c r="AGA12" s="195"/>
      <c r="AGB12" s="195"/>
      <c r="AGC12" s="195"/>
      <c r="AGD12" s="195"/>
      <c r="AGE12" s="195"/>
      <c r="AGF12" s="195"/>
      <c r="AGG12" s="195"/>
      <c r="AGH12" s="195"/>
      <c r="AGI12" s="195"/>
      <c r="AGJ12" s="195"/>
      <c r="AGK12" s="195"/>
      <c r="AGL12" s="195"/>
      <c r="AGM12" s="195"/>
      <c r="AGN12" s="195"/>
      <c r="AGO12" s="195"/>
      <c r="AGP12" s="195"/>
      <c r="AGQ12" s="195"/>
      <c r="AGR12" s="195"/>
      <c r="AGS12" s="195"/>
      <c r="AGT12" s="195"/>
      <c r="AGU12" s="195"/>
      <c r="AGV12" s="195"/>
      <c r="AGW12" s="195"/>
      <c r="AGX12" s="195"/>
      <c r="AGY12" s="195"/>
      <c r="AGZ12" s="195"/>
      <c r="AHA12" s="195"/>
      <c r="AHB12" s="195"/>
      <c r="AHC12" s="195"/>
      <c r="AHD12" s="195"/>
      <c r="AHE12" s="195"/>
      <c r="AHF12" s="195"/>
      <c r="AHG12" s="195"/>
      <c r="AHH12" s="195"/>
      <c r="AHI12" s="195"/>
      <c r="AHJ12" s="195"/>
      <c r="AHK12" s="195"/>
      <c r="AHL12" s="195"/>
      <c r="AHM12" s="195"/>
      <c r="AHN12" s="195"/>
      <c r="AHO12" s="195"/>
      <c r="AHP12" s="195"/>
      <c r="AHQ12" s="195"/>
      <c r="AHR12" s="195"/>
      <c r="AHS12" s="195"/>
      <c r="AHT12" s="195"/>
      <c r="AHU12" s="195"/>
      <c r="AHV12" s="195" t="s">
        <v>42</v>
      </c>
      <c r="AHW12" s="195"/>
      <c r="AHX12" s="195"/>
      <c r="AHY12" s="195"/>
      <c r="AHZ12" s="195"/>
      <c r="AIA12" s="195"/>
      <c r="AIB12" s="195"/>
      <c r="AIC12" s="195"/>
      <c r="AID12" s="195"/>
      <c r="AIE12" s="195"/>
      <c r="AIF12" s="195"/>
      <c r="AIG12" s="195"/>
      <c r="AIH12" s="195"/>
      <c r="AII12" s="195"/>
      <c r="AIJ12" s="195"/>
      <c r="AIK12" s="195"/>
      <c r="AIL12" s="195"/>
      <c r="AIM12" s="195"/>
      <c r="AIN12" s="195"/>
      <c r="AIO12" s="195"/>
      <c r="AIP12" s="195"/>
      <c r="AIQ12" s="195"/>
      <c r="AIR12" s="195"/>
      <c r="AIS12" s="195"/>
      <c r="AIT12" s="195"/>
      <c r="AIU12" s="195"/>
      <c r="AIV12" s="195"/>
      <c r="AIW12" s="195"/>
      <c r="AIX12" s="195"/>
      <c r="AIY12" s="195"/>
      <c r="AIZ12" s="195"/>
      <c r="AJA12" s="195"/>
      <c r="AJB12" s="195"/>
      <c r="AJC12" s="195"/>
      <c r="AJD12" s="195"/>
      <c r="AJE12" s="195"/>
      <c r="AJF12" s="195"/>
      <c r="AJG12" s="195"/>
      <c r="AJH12" s="195"/>
      <c r="AJI12" s="195"/>
      <c r="AJJ12" s="195"/>
      <c r="AJK12" s="195"/>
      <c r="AJL12" s="195"/>
      <c r="AJM12" s="195"/>
      <c r="AJN12" s="195"/>
      <c r="AJO12" s="195"/>
      <c r="AJP12" s="195"/>
      <c r="AJQ12" s="195"/>
      <c r="AJR12" s="195"/>
      <c r="AJS12" s="195"/>
      <c r="AJT12" s="195"/>
      <c r="AJU12" s="195"/>
      <c r="AJV12" s="195"/>
      <c r="AJW12" s="195"/>
      <c r="AJX12" s="195"/>
      <c r="AJY12" s="195"/>
      <c r="AJZ12" s="195"/>
      <c r="AKA12" s="195"/>
      <c r="AKB12" s="195"/>
      <c r="AKC12" s="195"/>
      <c r="AKD12" s="195" t="s">
        <v>41</v>
      </c>
      <c r="AKE12" s="195"/>
      <c r="AKF12" s="195"/>
      <c r="AKG12" s="195"/>
      <c r="AKH12" s="195"/>
      <c r="AKI12" s="195"/>
      <c r="AKJ12" s="195"/>
      <c r="AKK12" s="195"/>
      <c r="AKL12" s="195"/>
      <c r="AKM12" s="195"/>
      <c r="AKN12" s="195"/>
      <c r="AKO12" s="195"/>
      <c r="AKP12" s="195"/>
      <c r="AKQ12" s="195"/>
      <c r="AKR12" s="195"/>
      <c r="AKS12" s="195"/>
      <c r="AKT12" s="195"/>
      <c r="AKU12" s="195"/>
      <c r="AKV12" s="195"/>
      <c r="AKW12" s="195"/>
      <c r="AKX12" s="195"/>
      <c r="AKY12" s="195"/>
      <c r="AKZ12" s="195"/>
      <c r="ALA12" s="195"/>
      <c r="ALB12" s="195"/>
      <c r="ALC12" s="195"/>
      <c r="ALD12" s="195"/>
      <c r="ALE12" s="195"/>
      <c r="ALF12" s="195"/>
      <c r="ALG12" s="195"/>
      <c r="ALH12" s="195"/>
      <c r="ALI12" s="195"/>
      <c r="ALJ12" s="195"/>
      <c r="ALK12" s="195"/>
      <c r="ALL12" s="195"/>
      <c r="ALM12" s="195"/>
      <c r="ALN12" s="195"/>
      <c r="ALO12" s="195"/>
      <c r="ALP12" s="195"/>
      <c r="ALQ12" s="195"/>
      <c r="ALR12" s="195"/>
      <c r="ALS12" s="195"/>
      <c r="ALT12" s="195"/>
      <c r="ALU12" s="195"/>
      <c r="ALV12" s="195"/>
      <c r="ALW12" s="195"/>
      <c r="ALX12" s="195"/>
      <c r="ALY12" s="195"/>
      <c r="ALZ12" s="195"/>
      <c r="AMA12" s="195"/>
      <c r="AMB12" s="195"/>
      <c r="AMC12" s="195"/>
      <c r="AMD12" s="195"/>
      <c r="AME12" s="195"/>
      <c r="AMF12" s="195"/>
      <c r="AMG12" s="195"/>
      <c r="AMH12" s="195"/>
      <c r="AMI12" s="195"/>
      <c r="AMJ12" s="195"/>
      <c r="AMK12" s="195"/>
      <c r="AML12" s="195" t="s">
        <v>42</v>
      </c>
      <c r="AMM12" s="195"/>
      <c r="AMN12" s="195"/>
      <c r="AMO12" s="195"/>
      <c r="AMP12" s="195"/>
      <c r="AMQ12" s="195"/>
      <c r="AMR12" s="195"/>
      <c r="AMS12" s="195"/>
      <c r="AMT12" s="195"/>
      <c r="AMU12" s="195"/>
      <c r="AMV12" s="195"/>
      <c r="AMW12" s="195"/>
      <c r="AMX12" s="195"/>
      <c r="AMY12" s="195"/>
      <c r="AMZ12" s="195"/>
      <c r="ANA12" s="195"/>
      <c r="ANB12" s="195"/>
      <c r="ANC12" s="195"/>
      <c r="AND12" s="195"/>
      <c r="ANE12" s="195"/>
      <c r="ANF12" s="195"/>
      <c r="ANG12" s="195"/>
      <c r="ANH12" s="195"/>
      <c r="ANI12" s="195"/>
      <c r="ANJ12" s="195"/>
      <c r="ANK12" s="195"/>
      <c r="ANL12" s="195"/>
      <c r="ANM12" s="195"/>
      <c r="ANN12" s="195"/>
      <c r="ANO12" s="195"/>
      <c r="ANP12" s="195"/>
      <c r="ANQ12" s="195"/>
      <c r="ANR12" s="195"/>
      <c r="ANS12" s="195"/>
      <c r="ANT12" s="195"/>
      <c r="ANU12" s="195"/>
      <c r="ANV12" s="195"/>
      <c r="ANW12" s="195"/>
      <c r="ANX12" s="195"/>
      <c r="ANY12" s="195"/>
      <c r="ANZ12" s="195"/>
      <c r="AOA12" s="195"/>
      <c r="AOB12" s="195"/>
      <c r="AOC12" s="195"/>
      <c r="AOD12" s="195"/>
      <c r="AOE12" s="195"/>
      <c r="AOF12" s="195"/>
      <c r="AOG12" s="195"/>
      <c r="AOH12" s="195"/>
      <c r="AOI12" s="195"/>
      <c r="AOJ12" s="195"/>
      <c r="AOK12" s="195"/>
      <c r="AOL12" s="195"/>
      <c r="AOM12" s="195"/>
      <c r="AON12" s="195"/>
      <c r="AOO12" s="195"/>
      <c r="AOP12" s="195"/>
      <c r="AOQ12" s="195"/>
      <c r="AOR12" s="195"/>
      <c r="AOS12" s="195"/>
      <c r="AOT12" s="195" t="s">
        <v>41</v>
      </c>
      <c r="AOU12" s="195"/>
      <c r="AOV12" s="195"/>
      <c r="AOW12" s="195"/>
      <c r="AOX12" s="195"/>
      <c r="AOY12" s="195"/>
      <c r="AOZ12" s="195"/>
      <c r="APA12" s="195"/>
      <c r="APB12" s="195"/>
      <c r="APC12" s="195"/>
      <c r="APD12" s="195"/>
      <c r="APE12" s="195"/>
      <c r="APF12" s="195"/>
      <c r="APG12" s="195"/>
      <c r="APH12" s="195"/>
      <c r="API12" s="195"/>
      <c r="APJ12" s="195"/>
      <c r="APK12" s="195"/>
      <c r="APL12" s="195"/>
      <c r="APM12" s="195"/>
      <c r="APN12" s="195"/>
      <c r="APO12" s="195"/>
      <c r="APP12" s="195"/>
      <c r="APQ12" s="195"/>
      <c r="APR12" s="195"/>
      <c r="APS12" s="195"/>
      <c r="APT12" s="195"/>
      <c r="APU12" s="195"/>
      <c r="APV12" s="195"/>
      <c r="APW12" s="195"/>
      <c r="APX12" s="195"/>
      <c r="APY12" s="195"/>
      <c r="APZ12" s="195"/>
      <c r="AQA12" s="195"/>
      <c r="AQB12" s="195"/>
      <c r="AQC12" s="195"/>
      <c r="AQD12" s="195"/>
      <c r="AQE12" s="195"/>
      <c r="AQF12" s="195"/>
      <c r="AQG12" s="195"/>
      <c r="AQH12" s="195"/>
      <c r="AQI12" s="195"/>
      <c r="AQJ12" s="195"/>
      <c r="AQK12" s="195"/>
      <c r="AQL12" s="195"/>
      <c r="AQM12" s="195"/>
      <c r="AQN12" s="195"/>
      <c r="AQO12" s="195"/>
      <c r="AQP12" s="195"/>
      <c r="AQQ12" s="195"/>
      <c r="AQR12" s="195"/>
      <c r="AQS12" s="195"/>
      <c r="AQT12" s="195"/>
      <c r="AQU12" s="195"/>
      <c r="AQV12" s="195"/>
      <c r="AQW12" s="195"/>
      <c r="AQX12" s="195"/>
      <c r="AQY12" s="195"/>
      <c r="AQZ12" s="195"/>
      <c r="ARA12" s="195"/>
      <c r="ARB12" s="195" t="s">
        <v>42</v>
      </c>
      <c r="ARC12" s="195"/>
      <c r="ARD12" s="195"/>
      <c r="ARE12" s="195"/>
      <c r="ARF12" s="195"/>
      <c r="ARG12" s="195"/>
      <c r="ARH12" s="195"/>
      <c r="ARI12" s="195"/>
      <c r="ARJ12" s="195"/>
      <c r="ARK12" s="195"/>
      <c r="ARL12" s="195"/>
      <c r="ARM12" s="195"/>
      <c r="ARN12" s="195"/>
      <c r="ARO12" s="195"/>
      <c r="ARP12" s="195"/>
      <c r="ARQ12" s="195"/>
      <c r="ARR12" s="195"/>
      <c r="ARS12" s="195"/>
      <c r="ART12" s="195"/>
      <c r="ARU12" s="195"/>
      <c r="ARV12" s="195"/>
      <c r="ARW12" s="195"/>
      <c r="ARX12" s="195"/>
      <c r="ARY12" s="195"/>
      <c r="ARZ12" s="195"/>
      <c r="ASA12" s="195"/>
      <c r="ASB12" s="195"/>
      <c r="ASC12" s="195"/>
      <c r="ASD12" s="195"/>
      <c r="ASE12" s="195"/>
      <c r="ASF12" s="195"/>
      <c r="ASG12" s="195"/>
      <c r="ASH12" s="195"/>
      <c r="ASI12" s="195"/>
      <c r="ASJ12" s="195"/>
      <c r="ASK12" s="195"/>
      <c r="ASL12" s="195"/>
      <c r="ASM12" s="195"/>
      <c r="ASN12" s="195"/>
      <c r="ASO12" s="195"/>
      <c r="ASP12" s="195"/>
      <c r="ASQ12" s="195"/>
      <c r="ASR12" s="195"/>
      <c r="ASS12" s="195"/>
      <c r="AST12" s="195"/>
      <c r="ASU12" s="195"/>
      <c r="ASV12" s="195"/>
      <c r="ASW12" s="195"/>
      <c r="ASX12" s="195"/>
      <c r="ASY12" s="195"/>
      <c r="ASZ12" s="195"/>
      <c r="ATA12" s="195"/>
      <c r="ATB12" s="195"/>
      <c r="ATC12" s="195"/>
      <c r="ATD12" s="195"/>
      <c r="ATE12" s="195"/>
      <c r="ATF12" s="195"/>
      <c r="ATG12" s="195"/>
      <c r="ATH12" s="195"/>
      <c r="ATI12" s="195"/>
      <c r="ATJ12" s="195" t="s">
        <v>41</v>
      </c>
      <c r="ATK12" s="195"/>
      <c r="ATL12" s="195"/>
      <c r="ATM12" s="195"/>
      <c r="ATN12" s="195"/>
      <c r="ATO12" s="195"/>
      <c r="ATP12" s="195"/>
      <c r="ATQ12" s="195"/>
      <c r="ATR12" s="195"/>
      <c r="ATS12" s="195"/>
      <c r="ATT12" s="195"/>
      <c r="ATU12" s="195"/>
      <c r="ATV12" s="195"/>
      <c r="ATW12" s="195"/>
      <c r="ATX12" s="195"/>
      <c r="ATY12" s="195"/>
      <c r="ATZ12" s="195"/>
      <c r="AUA12" s="195"/>
      <c r="AUB12" s="195"/>
      <c r="AUC12" s="195"/>
      <c r="AUD12" s="195"/>
      <c r="AUE12" s="195"/>
      <c r="AUF12" s="195"/>
      <c r="AUG12" s="195"/>
      <c r="AUH12" s="195"/>
      <c r="AUI12" s="195"/>
      <c r="AUJ12" s="195"/>
      <c r="AUK12" s="195"/>
      <c r="AUL12" s="195"/>
      <c r="AUM12" s="195"/>
      <c r="AUN12" s="195"/>
      <c r="AUO12" s="195"/>
      <c r="AUP12" s="195"/>
      <c r="AUQ12" s="195"/>
      <c r="AUR12" s="195"/>
      <c r="AUS12" s="195"/>
      <c r="AUT12" s="195"/>
      <c r="AUU12" s="195"/>
      <c r="AUV12" s="195"/>
      <c r="AUW12" s="195"/>
      <c r="AUX12" s="195"/>
      <c r="AUY12" s="195"/>
      <c r="AUZ12" s="195"/>
      <c r="AVA12" s="195"/>
      <c r="AVB12" s="195"/>
      <c r="AVC12" s="195"/>
      <c r="AVD12" s="195"/>
      <c r="AVE12" s="195"/>
      <c r="AVF12" s="195"/>
      <c r="AVG12" s="195"/>
      <c r="AVH12" s="195"/>
      <c r="AVI12" s="195"/>
      <c r="AVJ12" s="195"/>
      <c r="AVK12" s="195"/>
      <c r="AVL12" s="195"/>
      <c r="AVM12" s="195"/>
      <c r="AVN12" s="195"/>
      <c r="AVO12" s="195"/>
      <c r="AVP12" s="195"/>
      <c r="AVQ12" s="195"/>
      <c r="AVR12" s="195" t="s">
        <v>41</v>
      </c>
      <c r="AVS12" s="195"/>
      <c r="AVT12" s="195"/>
      <c r="AVU12" s="195"/>
      <c r="AVV12" s="195"/>
      <c r="AVW12" s="195"/>
      <c r="AVX12" s="195"/>
      <c r="AVY12" s="195"/>
      <c r="AVZ12" s="195"/>
      <c r="AWA12" s="195"/>
      <c r="AWB12" s="195"/>
      <c r="AWC12" s="195"/>
      <c r="AWD12" s="195"/>
      <c r="AWE12" s="195"/>
      <c r="AWF12" s="195"/>
      <c r="AWG12" s="195"/>
      <c r="AWH12" s="195"/>
      <c r="AWI12" s="195"/>
      <c r="AWJ12" s="195"/>
      <c r="AWK12" s="195"/>
      <c r="AWL12" s="195"/>
      <c r="AWM12" s="195"/>
      <c r="AWN12" s="195"/>
      <c r="AWO12" s="195"/>
      <c r="AWP12" s="195"/>
      <c r="AWQ12" s="195"/>
      <c r="AWR12" s="195"/>
      <c r="AWS12" s="195"/>
      <c r="AWT12" s="195"/>
      <c r="AWU12" s="195"/>
      <c r="AWV12" s="195"/>
      <c r="AWW12" s="195"/>
      <c r="AWX12" s="195"/>
      <c r="AWY12" s="195"/>
      <c r="AWZ12" s="195"/>
      <c r="AXA12" s="195"/>
      <c r="AXB12" s="195"/>
      <c r="AXC12" s="195"/>
      <c r="AXD12" s="195"/>
      <c r="AXE12" s="195"/>
      <c r="AXF12" s="195"/>
      <c r="AXG12" s="195"/>
      <c r="AXH12" s="195"/>
      <c r="AXI12" s="195"/>
      <c r="AXJ12" s="195"/>
      <c r="AXK12" s="195"/>
      <c r="AXL12" s="195"/>
      <c r="AXM12" s="195"/>
      <c r="AXN12" s="195"/>
      <c r="AXO12" s="195"/>
      <c r="AXP12" s="195"/>
      <c r="AXQ12" s="195"/>
      <c r="AXR12" s="195"/>
      <c r="AXS12" s="195"/>
      <c r="AXT12" s="195"/>
      <c r="AXU12" s="195"/>
      <c r="AXV12" s="195"/>
      <c r="AXW12" s="195"/>
      <c r="AXX12" s="195"/>
      <c r="AXY12" s="195"/>
      <c r="AXZ12" s="195" t="s">
        <v>42</v>
      </c>
      <c r="AYA12" s="195"/>
      <c r="AYB12" s="195"/>
      <c r="AYC12" s="195"/>
      <c r="AYD12" s="195"/>
      <c r="AYE12" s="195"/>
      <c r="AYF12" s="195"/>
      <c r="AYG12" s="195"/>
      <c r="AYH12" s="195"/>
      <c r="AYI12" s="195"/>
      <c r="AYJ12" s="195"/>
      <c r="AYK12" s="195"/>
      <c r="AYL12" s="195"/>
      <c r="AYM12" s="195"/>
      <c r="AYN12" s="195"/>
      <c r="AYO12" s="195"/>
      <c r="AYP12" s="195"/>
      <c r="AYQ12" s="195"/>
      <c r="AYR12" s="195"/>
      <c r="AYS12" s="195"/>
      <c r="AYT12" s="195"/>
      <c r="AYU12" s="195"/>
      <c r="AYV12" s="195"/>
      <c r="AYW12" s="195"/>
      <c r="AYX12" s="195"/>
      <c r="AYY12" s="195"/>
      <c r="AYZ12" s="195"/>
      <c r="AZA12" s="195"/>
      <c r="AZB12" s="195"/>
      <c r="AZC12" s="195"/>
      <c r="AZD12" s="195"/>
      <c r="AZE12" s="195"/>
      <c r="AZF12" s="195"/>
      <c r="AZG12" s="195"/>
      <c r="AZH12" s="195"/>
      <c r="AZI12" s="195"/>
      <c r="AZJ12" s="195"/>
      <c r="AZK12" s="195"/>
      <c r="AZL12" s="195"/>
      <c r="AZM12" s="195"/>
      <c r="AZN12" s="195"/>
      <c r="AZO12" s="195"/>
      <c r="AZP12" s="195"/>
      <c r="AZQ12" s="195"/>
      <c r="AZR12" s="195"/>
      <c r="AZS12" s="195"/>
      <c r="AZT12" s="195"/>
      <c r="AZU12" s="195"/>
      <c r="AZV12" s="195"/>
      <c r="AZW12" s="195"/>
      <c r="AZX12" s="195"/>
      <c r="AZY12" s="195"/>
      <c r="AZZ12" s="195"/>
      <c r="BAA12" s="195"/>
      <c r="BAB12" s="195"/>
      <c r="BAC12" s="195"/>
      <c r="BAD12" s="195"/>
      <c r="BAE12" s="195"/>
      <c r="BAF12" s="195"/>
      <c r="BAG12" s="195"/>
      <c r="BAH12" s="195" t="s">
        <v>41</v>
      </c>
      <c r="BAI12" s="195"/>
      <c r="BAJ12" s="195"/>
      <c r="BAK12" s="195"/>
      <c r="BAL12" s="195"/>
      <c r="BAM12" s="195"/>
      <c r="BAN12" s="195"/>
      <c r="BAO12" s="195"/>
      <c r="BAP12" s="195"/>
      <c r="BAQ12" s="195"/>
      <c r="BAR12" s="195"/>
      <c r="BAS12" s="195"/>
      <c r="BAT12" s="195"/>
      <c r="BAU12" s="195"/>
      <c r="BAV12" s="195"/>
      <c r="BAW12" s="195"/>
      <c r="BAX12" s="195"/>
      <c r="BAY12" s="195"/>
      <c r="BAZ12" s="195"/>
      <c r="BBA12" s="195"/>
      <c r="BBB12" s="195"/>
      <c r="BBC12" s="195"/>
      <c r="BBD12" s="195"/>
      <c r="BBE12" s="195"/>
      <c r="BBF12" s="195"/>
      <c r="BBG12" s="195"/>
      <c r="BBH12" s="195"/>
      <c r="BBI12" s="195"/>
      <c r="BBJ12" s="195"/>
      <c r="BBK12" s="195"/>
      <c r="BBL12" s="195"/>
      <c r="BBM12" s="195"/>
      <c r="BBN12" s="195"/>
      <c r="BBO12" s="195"/>
      <c r="BBP12" s="195"/>
      <c r="BBQ12" s="195"/>
      <c r="BBR12" s="195"/>
      <c r="BBS12" s="195"/>
      <c r="BBT12" s="195"/>
      <c r="BBU12" s="195"/>
      <c r="BBV12" s="195"/>
      <c r="BBW12" s="195"/>
      <c r="BBX12" s="195"/>
      <c r="BBY12" s="195"/>
      <c r="BBZ12" s="195"/>
      <c r="BCA12" s="195"/>
      <c r="BCB12" s="195"/>
      <c r="BCC12" s="195"/>
      <c r="BCD12" s="195"/>
      <c r="BCE12" s="195"/>
      <c r="BCF12" s="195"/>
      <c r="BCG12" s="195"/>
      <c r="BCH12" s="195"/>
      <c r="BCI12" s="195"/>
      <c r="BCJ12" s="195"/>
      <c r="BCK12" s="195"/>
      <c r="BCL12" s="195"/>
      <c r="BCM12" s="195"/>
      <c r="BCN12" s="195"/>
      <c r="BCO12" s="195"/>
      <c r="BCP12" s="195" t="s">
        <v>42</v>
      </c>
      <c r="BCQ12" s="195"/>
      <c r="BCR12" s="195"/>
      <c r="BCS12" s="195"/>
      <c r="BCT12" s="195"/>
      <c r="BCU12" s="195"/>
      <c r="BCV12" s="195"/>
      <c r="BCW12" s="195"/>
      <c r="BCX12" s="195"/>
      <c r="BCY12" s="195"/>
      <c r="BCZ12" s="195"/>
      <c r="BDA12" s="195"/>
      <c r="BDB12" s="195"/>
      <c r="BDC12" s="195"/>
      <c r="BDD12" s="195"/>
      <c r="BDE12" s="195"/>
      <c r="BDF12" s="195"/>
      <c r="BDG12" s="195"/>
      <c r="BDH12" s="195"/>
      <c r="BDI12" s="195"/>
      <c r="BDJ12" s="195"/>
      <c r="BDK12" s="195"/>
      <c r="BDL12" s="195"/>
      <c r="BDM12" s="195"/>
      <c r="BDN12" s="195"/>
      <c r="BDO12" s="195"/>
      <c r="BDP12" s="195"/>
      <c r="BDQ12" s="195"/>
      <c r="BDR12" s="195"/>
      <c r="BDS12" s="195"/>
      <c r="BDT12" s="195"/>
      <c r="BDU12" s="195"/>
      <c r="BDV12" s="195"/>
      <c r="BDW12" s="195"/>
      <c r="BDX12" s="195"/>
      <c r="BDY12" s="195"/>
      <c r="BDZ12" s="195"/>
      <c r="BEA12" s="195"/>
      <c r="BEB12" s="195"/>
      <c r="BEC12" s="195"/>
      <c r="BED12" s="195"/>
      <c r="BEE12" s="195"/>
      <c r="BEF12" s="195"/>
      <c r="BEG12" s="195"/>
      <c r="BEH12" s="195"/>
      <c r="BEI12" s="195"/>
      <c r="BEJ12" s="195"/>
      <c r="BEK12" s="195"/>
      <c r="BEL12" s="195"/>
      <c r="BEM12" s="195"/>
      <c r="BEN12" s="195"/>
      <c r="BEO12" s="195"/>
      <c r="BEP12" s="195"/>
      <c r="BEQ12" s="195"/>
      <c r="BER12" s="195"/>
      <c r="BES12" s="195"/>
      <c r="BET12" s="195"/>
      <c r="BEU12" s="195"/>
      <c r="BEV12" s="195"/>
      <c r="BEW12" s="195"/>
      <c r="BEX12" s="195" t="s">
        <v>41</v>
      </c>
      <c r="BEY12" s="195"/>
      <c r="BEZ12" s="195"/>
      <c r="BFA12" s="195"/>
      <c r="BFB12" s="195"/>
      <c r="BFC12" s="195"/>
      <c r="BFD12" s="195"/>
      <c r="BFE12" s="195"/>
      <c r="BFF12" s="195"/>
      <c r="BFG12" s="195"/>
      <c r="BFH12" s="195"/>
      <c r="BFI12" s="195"/>
      <c r="BFJ12" s="195"/>
      <c r="BFK12" s="195"/>
      <c r="BFL12" s="195"/>
      <c r="BFM12" s="195"/>
      <c r="BFN12" s="195"/>
      <c r="BFO12" s="195"/>
      <c r="BFP12" s="195"/>
      <c r="BFQ12" s="195"/>
      <c r="BFR12" s="195"/>
      <c r="BFS12" s="195"/>
      <c r="BFT12" s="195"/>
      <c r="BFU12" s="195"/>
      <c r="BFV12" s="195"/>
      <c r="BFW12" s="195"/>
      <c r="BFX12" s="195"/>
      <c r="BFY12" s="195"/>
      <c r="BFZ12" s="195"/>
      <c r="BGA12" s="195"/>
      <c r="BGB12" s="195"/>
      <c r="BGC12" s="195"/>
      <c r="BGD12" s="195"/>
      <c r="BGE12" s="195"/>
      <c r="BGF12" s="195"/>
      <c r="BGG12" s="195"/>
      <c r="BGH12" s="195"/>
      <c r="BGI12" s="195"/>
      <c r="BGJ12" s="195"/>
      <c r="BGK12" s="195"/>
      <c r="BGL12" s="195"/>
      <c r="BGM12" s="195"/>
      <c r="BGN12" s="195"/>
      <c r="BGO12" s="195"/>
      <c r="BGP12" s="195"/>
      <c r="BGQ12" s="195"/>
      <c r="BGR12" s="195"/>
      <c r="BGS12" s="195"/>
      <c r="BGT12" s="195"/>
      <c r="BGU12" s="195"/>
      <c r="BGV12" s="195"/>
      <c r="BGW12" s="195"/>
      <c r="BGX12" s="195"/>
      <c r="BGY12" s="195"/>
      <c r="BGZ12" s="195"/>
      <c r="BHA12" s="195"/>
      <c r="BHB12" s="195"/>
      <c r="BHC12" s="195"/>
      <c r="BHD12" s="195"/>
      <c r="BHE12" s="195"/>
      <c r="BHF12" s="195" t="s">
        <v>42</v>
      </c>
      <c r="BHG12" s="195"/>
      <c r="BHH12" s="195"/>
      <c r="BHI12" s="195"/>
      <c r="BHJ12" s="195"/>
      <c r="BHK12" s="195"/>
      <c r="BHL12" s="195"/>
      <c r="BHM12" s="195"/>
      <c r="BHN12" s="195"/>
      <c r="BHO12" s="195"/>
      <c r="BHP12" s="195"/>
      <c r="BHQ12" s="195"/>
      <c r="BHR12" s="195"/>
      <c r="BHS12" s="195"/>
      <c r="BHT12" s="195"/>
      <c r="BHU12" s="195"/>
      <c r="BHV12" s="195"/>
      <c r="BHW12" s="195"/>
      <c r="BHX12" s="195"/>
      <c r="BHY12" s="195"/>
      <c r="BHZ12" s="195"/>
      <c r="BIA12" s="195"/>
      <c r="BIB12" s="195"/>
      <c r="BIC12" s="195"/>
      <c r="BID12" s="195"/>
      <c r="BIE12" s="195"/>
      <c r="BIF12" s="195"/>
      <c r="BIG12" s="195"/>
      <c r="BIH12" s="195"/>
      <c r="BII12" s="195"/>
      <c r="BIJ12" s="195"/>
      <c r="BIK12" s="195"/>
      <c r="BIL12" s="195"/>
      <c r="BIM12" s="195"/>
      <c r="BIN12" s="195"/>
      <c r="BIO12" s="195"/>
      <c r="BIP12" s="195"/>
      <c r="BIQ12" s="195"/>
      <c r="BIR12" s="195"/>
      <c r="BIS12" s="195"/>
      <c r="BIT12" s="195"/>
      <c r="BIU12" s="195"/>
      <c r="BIV12" s="195"/>
      <c r="BIW12" s="195"/>
      <c r="BIX12" s="195"/>
      <c r="BIY12" s="195"/>
      <c r="BIZ12" s="195"/>
      <c r="BJA12" s="195"/>
      <c r="BJB12" s="195"/>
      <c r="BJC12" s="195"/>
      <c r="BJD12" s="195"/>
      <c r="BJE12" s="195"/>
      <c r="BJF12" s="195"/>
      <c r="BJG12" s="195"/>
      <c r="BJH12" s="195"/>
      <c r="BJI12" s="195"/>
      <c r="BJJ12" s="195"/>
      <c r="BJK12" s="195"/>
      <c r="BJL12" s="195"/>
      <c r="BJM12" s="195"/>
      <c r="BJN12" s="75"/>
    </row>
    <row r="13" spans="1:1652" ht="42.75" customHeight="1" thickBot="1" x14ac:dyDescent="0.3">
      <c r="B13" s="53"/>
      <c r="C13" s="200" t="s">
        <v>7</v>
      </c>
      <c r="D13" s="127"/>
      <c r="E13" s="202" t="s">
        <v>39</v>
      </c>
      <c r="F13" s="196" t="s">
        <v>8</v>
      </c>
      <c r="G13" s="197"/>
      <c r="H13" s="197"/>
      <c r="I13" s="197"/>
      <c r="J13" s="197"/>
      <c r="K13" s="197"/>
      <c r="L13" s="197"/>
      <c r="M13" s="197"/>
      <c r="N13" s="197"/>
      <c r="O13" s="197"/>
      <c r="P13" s="197"/>
      <c r="Q13" s="197"/>
      <c r="R13" s="197"/>
      <c r="S13" s="197"/>
      <c r="T13" s="197"/>
      <c r="U13" s="197"/>
      <c r="V13" s="197"/>
      <c r="W13" s="197"/>
      <c r="X13" s="197"/>
      <c r="Y13" s="197"/>
      <c r="Z13" s="197"/>
      <c r="AA13" s="197"/>
      <c r="AB13" s="197"/>
      <c r="AC13" s="197"/>
      <c r="AD13" s="197"/>
      <c r="AE13" s="197"/>
      <c r="AF13" s="197"/>
      <c r="AG13" s="197"/>
      <c r="AH13" s="197"/>
      <c r="AI13" s="197"/>
      <c r="AJ13" s="197"/>
      <c r="AK13" s="197"/>
      <c r="AL13" s="197"/>
      <c r="AM13" s="197"/>
      <c r="AN13" s="197"/>
      <c r="AO13" s="197"/>
      <c r="AP13" s="197"/>
      <c r="AQ13" s="197"/>
      <c r="AR13" s="197"/>
      <c r="AS13" s="197"/>
      <c r="AT13" s="197"/>
      <c r="AU13" s="197"/>
      <c r="AV13" s="197"/>
      <c r="AW13" s="197"/>
      <c r="AX13" s="197"/>
      <c r="AY13" s="197"/>
      <c r="AZ13" s="197"/>
      <c r="BA13" s="197"/>
      <c r="BB13" s="197"/>
      <c r="BC13" s="197"/>
      <c r="BD13" s="197"/>
      <c r="BE13" s="197"/>
      <c r="BF13" s="197"/>
      <c r="BG13" s="197"/>
      <c r="BH13" s="197"/>
      <c r="BI13" s="197"/>
      <c r="BJ13" s="197"/>
      <c r="BK13" s="197"/>
      <c r="BL13" s="197"/>
      <c r="BM13" s="198"/>
      <c r="BN13" s="196" t="s">
        <v>27</v>
      </c>
      <c r="BO13" s="197"/>
      <c r="BP13" s="197"/>
      <c r="BQ13" s="197"/>
      <c r="BR13" s="197"/>
      <c r="BS13" s="197"/>
      <c r="BT13" s="197"/>
      <c r="BU13" s="197"/>
      <c r="BV13" s="197"/>
      <c r="BW13" s="197"/>
      <c r="BX13" s="197"/>
      <c r="BY13" s="197"/>
      <c r="BZ13" s="197"/>
      <c r="CA13" s="197"/>
      <c r="CB13" s="197"/>
      <c r="CC13" s="197"/>
      <c r="CD13" s="197"/>
      <c r="CE13" s="197"/>
      <c r="CF13" s="197"/>
      <c r="CG13" s="197"/>
      <c r="CH13" s="197"/>
      <c r="CI13" s="197"/>
      <c r="CJ13" s="197"/>
      <c r="CK13" s="197"/>
      <c r="CL13" s="197"/>
      <c r="CM13" s="197"/>
      <c r="CN13" s="197"/>
      <c r="CO13" s="197"/>
      <c r="CP13" s="197"/>
      <c r="CQ13" s="197"/>
      <c r="CR13" s="197"/>
      <c r="CS13" s="197"/>
      <c r="CT13" s="197"/>
      <c r="CU13" s="197"/>
      <c r="CV13" s="197"/>
      <c r="CW13" s="197"/>
      <c r="CX13" s="197"/>
      <c r="CY13" s="197"/>
      <c r="CZ13" s="197"/>
      <c r="DA13" s="197"/>
      <c r="DB13" s="197"/>
      <c r="DC13" s="197"/>
      <c r="DD13" s="197"/>
      <c r="DE13" s="197"/>
      <c r="DF13" s="197"/>
      <c r="DG13" s="197"/>
      <c r="DH13" s="197"/>
      <c r="DI13" s="197"/>
      <c r="DJ13" s="197"/>
      <c r="DK13" s="197"/>
      <c r="DL13" s="197"/>
      <c r="DM13" s="197"/>
      <c r="DN13" s="197"/>
      <c r="DO13" s="197"/>
      <c r="DP13" s="197"/>
      <c r="DQ13" s="197"/>
      <c r="DR13" s="197"/>
      <c r="DS13" s="197"/>
      <c r="DT13" s="197"/>
      <c r="DU13" s="198"/>
      <c r="DV13" s="196" t="s">
        <v>18</v>
      </c>
      <c r="DW13" s="197"/>
      <c r="DX13" s="197"/>
      <c r="DY13" s="197"/>
      <c r="DZ13" s="197"/>
      <c r="EA13" s="197"/>
      <c r="EB13" s="197"/>
      <c r="EC13" s="197"/>
      <c r="ED13" s="197"/>
      <c r="EE13" s="197"/>
      <c r="EF13" s="197"/>
      <c r="EG13" s="197"/>
      <c r="EH13" s="197"/>
      <c r="EI13" s="197"/>
      <c r="EJ13" s="197"/>
      <c r="EK13" s="197"/>
      <c r="EL13" s="197"/>
      <c r="EM13" s="197"/>
      <c r="EN13" s="197"/>
      <c r="EO13" s="197"/>
      <c r="EP13" s="197"/>
      <c r="EQ13" s="197"/>
      <c r="ER13" s="197"/>
      <c r="ES13" s="197"/>
      <c r="ET13" s="197"/>
      <c r="EU13" s="197"/>
      <c r="EV13" s="197"/>
      <c r="EW13" s="197"/>
      <c r="EX13" s="197"/>
      <c r="EY13" s="197"/>
      <c r="EZ13" s="197"/>
      <c r="FA13" s="197"/>
      <c r="FB13" s="197"/>
      <c r="FC13" s="197"/>
      <c r="FD13" s="197"/>
      <c r="FE13" s="197"/>
      <c r="FF13" s="197"/>
      <c r="FG13" s="197"/>
      <c r="FH13" s="197"/>
      <c r="FI13" s="197"/>
      <c r="FJ13" s="197"/>
      <c r="FK13" s="197"/>
      <c r="FL13" s="197"/>
      <c r="FM13" s="197"/>
      <c r="FN13" s="197"/>
      <c r="FO13" s="197"/>
      <c r="FP13" s="197"/>
      <c r="FQ13" s="197"/>
      <c r="FR13" s="197"/>
      <c r="FS13" s="197"/>
      <c r="FT13" s="197"/>
      <c r="FU13" s="197"/>
      <c r="FV13" s="197"/>
      <c r="FW13" s="197"/>
      <c r="FX13" s="197"/>
      <c r="FY13" s="197"/>
      <c r="FZ13" s="197"/>
      <c r="GA13" s="197"/>
      <c r="GB13" s="197"/>
      <c r="GC13" s="198"/>
      <c r="GD13" s="196" t="s">
        <v>136</v>
      </c>
      <c r="GE13" s="197"/>
      <c r="GF13" s="197"/>
      <c r="GG13" s="197"/>
      <c r="GH13" s="197"/>
      <c r="GI13" s="197"/>
      <c r="GJ13" s="197"/>
      <c r="GK13" s="197"/>
      <c r="GL13" s="197"/>
      <c r="GM13" s="197"/>
      <c r="GN13" s="197"/>
      <c r="GO13" s="197"/>
      <c r="GP13" s="197"/>
      <c r="GQ13" s="197"/>
      <c r="GR13" s="197"/>
      <c r="GS13" s="197"/>
      <c r="GT13" s="197"/>
      <c r="GU13" s="197"/>
      <c r="GV13" s="197"/>
      <c r="GW13" s="197"/>
      <c r="GX13" s="197"/>
      <c r="GY13" s="197"/>
      <c r="GZ13" s="197"/>
      <c r="HA13" s="197"/>
      <c r="HB13" s="197"/>
      <c r="HC13" s="197"/>
      <c r="HD13" s="197"/>
      <c r="HE13" s="197"/>
      <c r="HF13" s="197"/>
      <c r="HG13" s="197"/>
      <c r="HH13" s="197"/>
      <c r="HI13" s="197"/>
      <c r="HJ13" s="197"/>
      <c r="HK13" s="197"/>
      <c r="HL13" s="197"/>
      <c r="HM13" s="197"/>
      <c r="HN13" s="197"/>
      <c r="HO13" s="197"/>
      <c r="HP13" s="197"/>
      <c r="HQ13" s="197"/>
      <c r="HR13" s="197"/>
      <c r="HS13" s="197"/>
      <c r="HT13" s="197"/>
      <c r="HU13" s="197"/>
      <c r="HV13" s="197"/>
      <c r="HW13" s="197"/>
      <c r="HX13" s="197"/>
      <c r="HY13" s="197"/>
      <c r="HZ13" s="197"/>
      <c r="IA13" s="197"/>
      <c r="IB13" s="197"/>
      <c r="IC13" s="197"/>
      <c r="ID13" s="197"/>
      <c r="IE13" s="197"/>
      <c r="IF13" s="197"/>
      <c r="IG13" s="197"/>
      <c r="IH13" s="197"/>
      <c r="II13" s="197"/>
      <c r="IJ13" s="197"/>
      <c r="IK13" s="198"/>
      <c r="IL13" s="196" t="s">
        <v>135</v>
      </c>
      <c r="IM13" s="197"/>
      <c r="IN13" s="197"/>
      <c r="IO13" s="197"/>
      <c r="IP13" s="197"/>
      <c r="IQ13" s="197"/>
      <c r="IR13" s="197"/>
      <c r="IS13" s="197"/>
      <c r="IT13" s="197"/>
      <c r="IU13" s="197"/>
      <c r="IV13" s="197"/>
      <c r="IW13" s="197"/>
      <c r="IX13" s="197"/>
      <c r="IY13" s="197"/>
      <c r="IZ13" s="197"/>
      <c r="JA13" s="197"/>
      <c r="JB13" s="197"/>
      <c r="JC13" s="197"/>
      <c r="JD13" s="197"/>
      <c r="JE13" s="197"/>
      <c r="JF13" s="197"/>
      <c r="JG13" s="197"/>
      <c r="JH13" s="197"/>
      <c r="JI13" s="197"/>
      <c r="JJ13" s="197"/>
      <c r="JK13" s="197"/>
      <c r="JL13" s="197"/>
      <c r="JM13" s="197"/>
      <c r="JN13" s="197"/>
      <c r="JO13" s="197"/>
      <c r="JP13" s="197"/>
      <c r="JQ13" s="197"/>
      <c r="JR13" s="197"/>
      <c r="JS13" s="197"/>
      <c r="JT13" s="197"/>
      <c r="JU13" s="197"/>
      <c r="JV13" s="197"/>
      <c r="JW13" s="197"/>
      <c r="JX13" s="197"/>
      <c r="JY13" s="197"/>
      <c r="JZ13" s="197"/>
      <c r="KA13" s="197"/>
      <c r="KB13" s="197"/>
      <c r="KC13" s="197"/>
      <c r="KD13" s="197"/>
      <c r="KE13" s="197"/>
      <c r="KF13" s="197"/>
      <c r="KG13" s="197"/>
      <c r="KH13" s="197"/>
      <c r="KI13" s="197"/>
      <c r="KJ13" s="197"/>
      <c r="KK13" s="197"/>
      <c r="KL13" s="197"/>
      <c r="KM13" s="197"/>
      <c r="KN13" s="197"/>
      <c r="KO13" s="197"/>
      <c r="KP13" s="197"/>
      <c r="KQ13" s="197"/>
      <c r="KR13" s="197"/>
      <c r="KS13" s="198"/>
      <c r="KT13" s="196" t="s">
        <v>134</v>
      </c>
      <c r="KU13" s="197"/>
      <c r="KV13" s="197"/>
      <c r="KW13" s="197"/>
      <c r="KX13" s="197"/>
      <c r="KY13" s="197"/>
      <c r="KZ13" s="197"/>
      <c r="LA13" s="197"/>
      <c r="LB13" s="197"/>
      <c r="LC13" s="197"/>
      <c r="LD13" s="197"/>
      <c r="LE13" s="197"/>
      <c r="LF13" s="197"/>
      <c r="LG13" s="197"/>
      <c r="LH13" s="197"/>
      <c r="LI13" s="197"/>
      <c r="LJ13" s="197"/>
      <c r="LK13" s="197"/>
      <c r="LL13" s="197"/>
      <c r="LM13" s="197"/>
      <c r="LN13" s="197"/>
      <c r="LO13" s="197"/>
      <c r="LP13" s="197"/>
      <c r="LQ13" s="197"/>
      <c r="LR13" s="197"/>
      <c r="LS13" s="197"/>
      <c r="LT13" s="197"/>
      <c r="LU13" s="197"/>
      <c r="LV13" s="197"/>
      <c r="LW13" s="197"/>
      <c r="LX13" s="197"/>
      <c r="LY13" s="197"/>
      <c r="LZ13" s="197"/>
      <c r="MA13" s="197"/>
      <c r="MB13" s="197"/>
      <c r="MC13" s="197"/>
      <c r="MD13" s="197"/>
      <c r="ME13" s="197"/>
      <c r="MF13" s="197"/>
      <c r="MG13" s="197"/>
      <c r="MH13" s="197"/>
      <c r="MI13" s="197"/>
      <c r="MJ13" s="197"/>
      <c r="MK13" s="197"/>
      <c r="ML13" s="197"/>
      <c r="MM13" s="197"/>
      <c r="MN13" s="197"/>
      <c r="MO13" s="197"/>
      <c r="MP13" s="197"/>
      <c r="MQ13" s="197"/>
      <c r="MR13" s="197"/>
      <c r="MS13" s="197"/>
      <c r="MT13" s="197"/>
      <c r="MU13" s="197"/>
      <c r="MV13" s="197"/>
      <c r="MW13" s="197"/>
      <c r="MX13" s="197"/>
      <c r="MY13" s="197"/>
      <c r="MZ13" s="197"/>
      <c r="NA13" s="198"/>
      <c r="NB13" s="196" t="s">
        <v>133</v>
      </c>
      <c r="NC13" s="197"/>
      <c r="ND13" s="197"/>
      <c r="NE13" s="197"/>
      <c r="NF13" s="197"/>
      <c r="NG13" s="197"/>
      <c r="NH13" s="197"/>
      <c r="NI13" s="197"/>
      <c r="NJ13" s="197"/>
      <c r="NK13" s="197"/>
      <c r="NL13" s="197"/>
      <c r="NM13" s="197"/>
      <c r="NN13" s="197"/>
      <c r="NO13" s="197"/>
      <c r="NP13" s="197"/>
      <c r="NQ13" s="197"/>
      <c r="NR13" s="197"/>
      <c r="NS13" s="197"/>
      <c r="NT13" s="197"/>
      <c r="NU13" s="197"/>
      <c r="NV13" s="197"/>
      <c r="NW13" s="197"/>
      <c r="NX13" s="197"/>
      <c r="NY13" s="197"/>
      <c r="NZ13" s="197"/>
      <c r="OA13" s="197"/>
      <c r="OB13" s="197"/>
      <c r="OC13" s="197"/>
      <c r="OD13" s="197"/>
      <c r="OE13" s="197"/>
      <c r="OF13" s="197"/>
      <c r="OG13" s="197"/>
      <c r="OH13" s="197"/>
      <c r="OI13" s="197"/>
      <c r="OJ13" s="197"/>
      <c r="OK13" s="197"/>
      <c r="OL13" s="197"/>
      <c r="OM13" s="197"/>
      <c r="ON13" s="197"/>
      <c r="OO13" s="197"/>
      <c r="OP13" s="197"/>
      <c r="OQ13" s="197"/>
      <c r="OR13" s="197"/>
      <c r="OS13" s="197"/>
      <c r="OT13" s="197"/>
      <c r="OU13" s="197"/>
      <c r="OV13" s="197"/>
      <c r="OW13" s="197"/>
      <c r="OX13" s="197"/>
      <c r="OY13" s="197"/>
      <c r="OZ13" s="197"/>
      <c r="PA13" s="197"/>
      <c r="PB13" s="197"/>
      <c r="PC13" s="197"/>
      <c r="PD13" s="197"/>
      <c r="PE13" s="197"/>
      <c r="PF13" s="197"/>
      <c r="PG13" s="197"/>
      <c r="PH13" s="197"/>
      <c r="PI13" s="198"/>
      <c r="PJ13" s="196" t="s">
        <v>132</v>
      </c>
      <c r="PK13" s="197"/>
      <c r="PL13" s="197"/>
      <c r="PM13" s="197"/>
      <c r="PN13" s="197"/>
      <c r="PO13" s="197"/>
      <c r="PP13" s="197"/>
      <c r="PQ13" s="197"/>
      <c r="PR13" s="197"/>
      <c r="PS13" s="197"/>
      <c r="PT13" s="197"/>
      <c r="PU13" s="197"/>
      <c r="PV13" s="197"/>
      <c r="PW13" s="197"/>
      <c r="PX13" s="197"/>
      <c r="PY13" s="197"/>
      <c r="PZ13" s="197"/>
      <c r="QA13" s="197"/>
      <c r="QB13" s="197"/>
      <c r="QC13" s="197"/>
      <c r="QD13" s="197"/>
      <c r="QE13" s="197"/>
      <c r="QF13" s="197"/>
      <c r="QG13" s="197"/>
      <c r="QH13" s="197"/>
      <c r="QI13" s="197"/>
      <c r="QJ13" s="197"/>
      <c r="QK13" s="197"/>
      <c r="QL13" s="197"/>
      <c r="QM13" s="197"/>
      <c r="QN13" s="197"/>
      <c r="QO13" s="197"/>
      <c r="QP13" s="197"/>
      <c r="QQ13" s="197"/>
      <c r="QR13" s="197"/>
      <c r="QS13" s="197"/>
      <c r="QT13" s="197"/>
      <c r="QU13" s="197"/>
      <c r="QV13" s="197"/>
      <c r="QW13" s="197"/>
      <c r="QX13" s="197"/>
      <c r="QY13" s="197"/>
      <c r="QZ13" s="197"/>
      <c r="RA13" s="197"/>
      <c r="RB13" s="197"/>
      <c r="RC13" s="197"/>
      <c r="RD13" s="197"/>
      <c r="RE13" s="197"/>
      <c r="RF13" s="197"/>
      <c r="RG13" s="197"/>
      <c r="RH13" s="197"/>
      <c r="RI13" s="197"/>
      <c r="RJ13" s="197"/>
      <c r="RK13" s="197"/>
      <c r="RL13" s="197"/>
      <c r="RM13" s="197"/>
      <c r="RN13" s="197"/>
      <c r="RO13" s="197"/>
      <c r="RP13" s="197"/>
      <c r="RQ13" s="198"/>
      <c r="RR13" s="196" t="s">
        <v>131</v>
      </c>
      <c r="RS13" s="197"/>
      <c r="RT13" s="197"/>
      <c r="RU13" s="197"/>
      <c r="RV13" s="197"/>
      <c r="RW13" s="197"/>
      <c r="RX13" s="197"/>
      <c r="RY13" s="197"/>
      <c r="RZ13" s="197"/>
      <c r="SA13" s="197"/>
      <c r="SB13" s="197"/>
      <c r="SC13" s="197"/>
      <c r="SD13" s="197"/>
      <c r="SE13" s="197"/>
      <c r="SF13" s="197"/>
      <c r="SG13" s="197"/>
      <c r="SH13" s="197"/>
      <c r="SI13" s="197"/>
      <c r="SJ13" s="197"/>
      <c r="SK13" s="197"/>
      <c r="SL13" s="197"/>
      <c r="SM13" s="197"/>
      <c r="SN13" s="197"/>
      <c r="SO13" s="197"/>
      <c r="SP13" s="197"/>
      <c r="SQ13" s="197"/>
      <c r="SR13" s="197"/>
      <c r="SS13" s="197"/>
      <c r="ST13" s="197"/>
      <c r="SU13" s="197"/>
      <c r="SV13" s="197"/>
      <c r="SW13" s="197"/>
      <c r="SX13" s="197"/>
      <c r="SY13" s="197"/>
      <c r="SZ13" s="197"/>
      <c r="TA13" s="197"/>
      <c r="TB13" s="197"/>
      <c r="TC13" s="197"/>
      <c r="TD13" s="197"/>
      <c r="TE13" s="197"/>
      <c r="TF13" s="197"/>
      <c r="TG13" s="197"/>
      <c r="TH13" s="197"/>
      <c r="TI13" s="197"/>
      <c r="TJ13" s="197"/>
      <c r="TK13" s="197"/>
      <c r="TL13" s="197"/>
      <c r="TM13" s="197"/>
      <c r="TN13" s="197"/>
      <c r="TO13" s="197"/>
      <c r="TP13" s="197"/>
      <c r="TQ13" s="197"/>
      <c r="TR13" s="197"/>
      <c r="TS13" s="197"/>
      <c r="TT13" s="197"/>
      <c r="TU13" s="197"/>
      <c r="TV13" s="197"/>
      <c r="TW13" s="197"/>
      <c r="TX13" s="197"/>
      <c r="TY13" s="198"/>
      <c r="TZ13" s="196" t="s">
        <v>130</v>
      </c>
      <c r="UA13" s="197"/>
      <c r="UB13" s="197"/>
      <c r="UC13" s="197"/>
      <c r="UD13" s="197"/>
      <c r="UE13" s="197"/>
      <c r="UF13" s="197"/>
      <c r="UG13" s="197"/>
      <c r="UH13" s="197"/>
      <c r="UI13" s="197"/>
      <c r="UJ13" s="197"/>
      <c r="UK13" s="197"/>
      <c r="UL13" s="197"/>
      <c r="UM13" s="197"/>
      <c r="UN13" s="197"/>
      <c r="UO13" s="197"/>
      <c r="UP13" s="197"/>
      <c r="UQ13" s="197"/>
      <c r="UR13" s="197"/>
      <c r="US13" s="197"/>
      <c r="UT13" s="197"/>
      <c r="UU13" s="197"/>
      <c r="UV13" s="197"/>
      <c r="UW13" s="197"/>
      <c r="UX13" s="197"/>
      <c r="UY13" s="197"/>
      <c r="UZ13" s="197"/>
      <c r="VA13" s="197"/>
      <c r="VB13" s="197"/>
      <c r="VC13" s="197"/>
      <c r="VD13" s="197"/>
      <c r="VE13" s="197"/>
      <c r="VF13" s="197"/>
      <c r="VG13" s="197"/>
      <c r="VH13" s="197"/>
      <c r="VI13" s="197"/>
      <c r="VJ13" s="197"/>
      <c r="VK13" s="197"/>
      <c r="VL13" s="197"/>
      <c r="VM13" s="197"/>
      <c r="VN13" s="197"/>
      <c r="VO13" s="197"/>
      <c r="VP13" s="197"/>
      <c r="VQ13" s="197"/>
      <c r="VR13" s="197"/>
      <c r="VS13" s="197"/>
      <c r="VT13" s="197"/>
      <c r="VU13" s="197"/>
      <c r="VV13" s="197"/>
      <c r="VW13" s="197"/>
      <c r="VX13" s="197"/>
      <c r="VY13" s="197"/>
      <c r="VZ13" s="197"/>
      <c r="WA13" s="197"/>
      <c r="WB13" s="197"/>
      <c r="WC13" s="197"/>
      <c r="WD13" s="197"/>
      <c r="WE13" s="197"/>
      <c r="WF13" s="197"/>
      <c r="WG13" s="198"/>
      <c r="WH13" s="196" t="s">
        <v>129</v>
      </c>
      <c r="WI13" s="197"/>
      <c r="WJ13" s="197"/>
      <c r="WK13" s="197"/>
      <c r="WL13" s="197"/>
      <c r="WM13" s="197"/>
      <c r="WN13" s="197"/>
      <c r="WO13" s="197"/>
      <c r="WP13" s="197"/>
      <c r="WQ13" s="197"/>
      <c r="WR13" s="197"/>
      <c r="WS13" s="197"/>
      <c r="WT13" s="197"/>
      <c r="WU13" s="197"/>
      <c r="WV13" s="197"/>
      <c r="WW13" s="197"/>
      <c r="WX13" s="197"/>
      <c r="WY13" s="197"/>
      <c r="WZ13" s="197"/>
      <c r="XA13" s="197"/>
      <c r="XB13" s="197"/>
      <c r="XC13" s="197"/>
      <c r="XD13" s="197"/>
      <c r="XE13" s="197"/>
      <c r="XF13" s="197"/>
      <c r="XG13" s="197"/>
      <c r="XH13" s="197"/>
      <c r="XI13" s="197"/>
      <c r="XJ13" s="197"/>
      <c r="XK13" s="197"/>
      <c r="XL13" s="197"/>
      <c r="XM13" s="197"/>
      <c r="XN13" s="197"/>
      <c r="XO13" s="197"/>
      <c r="XP13" s="197"/>
      <c r="XQ13" s="197"/>
      <c r="XR13" s="197"/>
      <c r="XS13" s="197"/>
      <c r="XT13" s="197"/>
      <c r="XU13" s="197"/>
      <c r="XV13" s="197"/>
      <c r="XW13" s="197"/>
      <c r="XX13" s="197"/>
      <c r="XY13" s="197"/>
      <c r="XZ13" s="197"/>
      <c r="YA13" s="197"/>
      <c r="YB13" s="197"/>
      <c r="YC13" s="197"/>
      <c r="YD13" s="197"/>
      <c r="YE13" s="197"/>
      <c r="YF13" s="197"/>
      <c r="YG13" s="197"/>
      <c r="YH13" s="197"/>
      <c r="YI13" s="197"/>
      <c r="YJ13" s="197"/>
      <c r="YK13" s="197"/>
      <c r="YL13" s="197"/>
      <c r="YM13" s="197"/>
      <c r="YN13" s="197"/>
      <c r="YO13" s="198"/>
      <c r="YP13" s="196" t="s">
        <v>128</v>
      </c>
      <c r="YQ13" s="197"/>
      <c r="YR13" s="197"/>
      <c r="YS13" s="197"/>
      <c r="YT13" s="197"/>
      <c r="YU13" s="197"/>
      <c r="YV13" s="197"/>
      <c r="YW13" s="197"/>
      <c r="YX13" s="197"/>
      <c r="YY13" s="197"/>
      <c r="YZ13" s="197"/>
      <c r="ZA13" s="197"/>
      <c r="ZB13" s="197"/>
      <c r="ZC13" s="197"/>
      <c r="ZD13" s="197"/>
      <c r="ZE13" s="197"/>
      <c r="ZF13" s="197"/>
      <c r="ZG13" s="197"/>
      <c r="ZH13" s="197"/>
      <c r="ZI13" s="197"/>
      <c r="ZJ13" s="197"/>
      <c r="ZK13" s="197"/>
      <c r="ZL13" s="197"/>
      <c r="ZM13" s="197"/>
      <c r="ZN13" s="197"/>
      <c r="ZO13" s="197"/>
      <c r="ZP13" s="197"/>
      <c r="ZQ13" s="197"/>
      <c r="ZR13" s="197"/>
      <c r="ZS13" s="197"/>
      <c r="ZT13" s="197"/>
      <c r="ZU13" s="197"/>
      <c r="ZV13" s="197"/>
      <c r="ZW13" s="197"/>
      <c r="ZX13" s="197"/>
      <c r="ZY13" s="197"/>
      <c r="ZZ13" s="197"/>
      <c r="AAA13" s="197"/>
      <c r="AAB13" s="197"/>
      <c r="AAC13" s="197"/>
      <c r="AAD13" s="197"/>
      <c r="AAE13" s="197"/>
      <c r="AAF13" s="197"/>
      <c r="AAG13" s="197"/>
      <c r="AAH13" s="197"/>
      <c r="AAI13" s="197"/>
      <c r="AAJ13" s="197"/>
      <c r="AAK13" s="197"/>
      <c r="AAL13" s="197"/>
      <c r="AAM13" s="197"/>
      <c r="AAN13" s="197"/>
      <c r="AAO13" s="197"/>
      <c r="AAP13" s="197"/>
      <c r="AAQ13" s="197"/>
      <c r="AAR13" s="197"/>
      <c r="AAS13" s="197"/>
      <c r="AAT13" s="197"/>
      <c r="AAU13" s="197"/>
      <c r="AAV13" s="197"/>
      <c r="AAW13" s="198"/>
      <c r="AAX13" s="196" t="s">
        <v>127</v>
      </c>
      <c r="AAY13" s="197"/>
      <c r="AAZ13" s="197"/>
      <c r="ABA13" s="197"/>
      <c r="ABB13" s="197"/>
      <c r="ABC13" s="197"/>
      <c r="ABD13" s="197"/>
      <c r="ABE13" s="197"/>
      <c r="ABF13" s="197"/>
      <c r="ABG13" s="197"/>
      <c r="ABH13" s="197"/>
      <c r="ABI13" s="197"/>
      <c r="ABJ13" s="197"/>
      <c r="ABK13" s="197"/>
      <c r="ABL13" s="197"/>
      <c r="ABM13" s="197"/>
      <c r="ABN13" s="197"/>
      <c r="ABO13" s="197"/>
      <c r="ABP13" s="197"/>
      <c r="ABQ13" s="197"/>
      <c r="ABR13" s="197"/>
      <c r="ABS13" s="197"/>
      <c r="ABT13" s="197"/>
      <c r="ABU13" s="197"/>
      <c r="ABV13" s="197"/>
      <c r="ABW13" s="197"/>
      <c r="ABX13" s="197"/>
      <c r="ABY13" s="197"/>
      <c r="ABZ13" s="197"/>
      <c r="ACA13" s="197"/>
      <c r="ACB13" s="197"/>
      <c r="ACC13" s="197"/>
      <c r="ACD13" s="197"/>
      <c r="ACE13" s="197"/>
      <c r="ACF13" s="197"/>
      <c r="ACG13" s="197"/>
      <c r="ACH13" s="197"/>
      <c r="ACI13" s="197"/>
      <c r="ACJ13" s="197"/>
      <c r="ACK13" s="197"/>
      <c r="ACL13" s="197"/>
      <c r="ACM13" s="197"/>
      <c r="ACN13" s="197"/>
      <c r="ACO13" s="197"/>
      <c r="ACP13" s="197"/>
      <c r="ACQ13" s="197"/>
      <c r="ACR13" s="197"/>
      <c r="ACS13" s="197"/>
      <c r="ACT13" s="197"/>
      <c r="ACU13" s="197"/>
      <c r="ACV13" s="197"/>
      <c r="ACW13" s="197"/>
      <c r="ACX13" s="197"/>
      <c r="ACY13" s="197"/>
      <c r="ACZ13" s="197"/>
      <c r="ADA13" s="197"/>
      <c r="ADB13" s="197"/>
      <c r="ADC13" s="197"/>
      <c r="ADD13" s="197"/>
      <c r="ADE13" s="198"/>
      <c r="ADF13" s="196" t="s">
        <v>126</v>
      </c>
      <c r="ADG13" s="197"/>
      <c r="ADH13" s="197"/>
      <c r="ADI13" s="197"/>
      <c r="ADJ13" s="197"/>
      <c r="ADK13" s="197"/>
      <c r="ADL13" s="197"/>
      <c r="ADM13" s="197"/>
      <c r="ADN13" s="197"/>
      <c r="ADO13" s="197"/>
      <c r="ADP13" s="197"/>
      <c r="ADQ13" s="197"/>
      <c r="ADR13" s="197"/>
      <c r="ADS13" s="197"/>
      <c r="ADT13" s="197"/>
      <c r="ADU13" s="197"/>
      <c r="ADV13" s="197"/>
      <c r="ADW13" s="197"/>
      <c r="ADX13" s="197"/>
      <c r="ADY13" s="197"/>
      <c r="ADZ13" s="197"/>
      <c r="AEA13" s="197"/>
      <c r="AEB13" s="197"/>
      <c r="AEC13" s="197"/>
      <c r="AED13" s="197"/>
      <c r="AEE13" s="197"/>
      <c r="AEF13" s="197"/>
      <c r="AEG13" s="197"/>
      <c r="AEH13" s="197"/>
      <c r="AEI13" s="197"/>
      <c r="AEJ13" s="197"/>
      <c r="AEK13" s="197"/>
      <c r="AEL13" s="197"/>
      <c r="AEM13" s="197"/>
      <c r="AEN13" s="197"/>
      <c r="AEO13" s="197"/>
      <c r="AEP13" s="197"/>
      <c r="AEQ13" s="197"/>
      <c r="AER13" s="197"/>
      <c r="AES13" s="197"/>
      <c r="AET13" s="197"/>
      <c r="AEU13" s="197"/>
      <c r="AEV13" s="197"/>
      <c r="AEW13" s="197"/>
      <c r="AEX13" s="197"/>
      <c r="AEY13" s="197"/>
      <c r="AEZ13" s="197"/>
      <c r="AFA13" s="197"/>
      <c r="AFB13" s="197"/>
      <c r="AFC13" s="197"/>
      <c r="AFD13" s="197"/>
      <c r="AFE13" s="197"/>
      <c r="AFF13" s="197"/>
      <c r="AFG13" s="197"/>
      <c r="AFH13" s="197"/>
      <c r="AFI13" s="197"/>
      <c r="AFJ13" s="197"/>
      <c r="AFK13" s="197"/>
      <c r="AFL13" s="197"/>
      <c r="AFM13" s="198"/>
      <c r="AFN13" s="196" t="s">
        <v>125</v>
      </c>
      <c r="AFO13" s="197"/>
      <c r="AFP13" s="197"/>
      <c r="AFQ13" s="197"/>
      <c r="AFR13" s="197"/>
      <c r="AFS13" s="197"/>
      <c r="AFT13" s="197"/>
      <c r="AFU13" s="197"/>
      <c r="AFV13" s="197"/>
      <c r="AFW13" s="197"/>
      <c r="AFX13" s="197"/>
      <c r="AFY13" s="197"/>
      <c r="AFZ13" s="197"/>
      <c r="AGA13" s="197"/>
      <c r="AGB13" s="197"/>
      <c r="AGC13" s="197"/>
      <c r="AGD13" s="197"/>
      <c r="AGE13" s="197"/>
      <c r="AGF13" s="197"/>
      <c r="AGG13" s="197"/>
      <c r="AGH13" s="197"/>
      <c r="AGI13" s="197"/>
      <c r="AGJ13" s="197"/>
      <c r="AGK13" s="197"/>
      <c r="AGL13" s="197"/>
      <c r="AGM13" s="197"/>
      <c r="AGN13" s="197"/>
      <c r="AGO13" s="197"/>
      <c r="AGP13" s="197"/>
      <c r="AGQ13" s="197"/>
      <c r="AGR13" s="197"/>
      <c r="AGS13" s="197"/>
      <c r="AGT13" s="197"/>
      <c r="AGU13" s="197"/>
      <c r="AGV13" s="197"/>
      <c r="AGW13" s="197"/>
      <c r="AGX13" s="197"/>
      <c r="AGY13" s="197"/>
      <c r="AGZ13" s="197"/>
      <c r="AHA13" s="197"/>
      <c r="AHB13" s="197"/>
      <c r="AHC13" s="197"/>
      <c r="AHD13" s="197"/>
      <c r="AHE13" s="197"/>
      <c r="AHF13" s="197"/>
      <c r="AHG13" s="197"/>
      <c r="AHH13" s="197"/>
      <c r="AHI13" s="197"/>
      <c r="AHJ13" s="197"/>
      <c r="AHK13" s="197"/>
      <c r="AHL13" s="197"/>
      <c r="AHM13" s="197"/>
      <c r="AHN13" s="197"/>
      <c r="AHO13" s="197"/>
      <c r="AHP13" s="197"/>
      <c r="AHQ13" s="197"/>
      <c r="AHR13" s="197"/>
      <c r="AHS13" s="197"/>
      <c r="AHT13" s="197"/>
      <c r="AHU13" s="198"/>
      <c r="AHV13" s="196" t="s">
        <v>124</v>
      </c>
      <c r="AHW13" s="197"/>
      <c r="AHX13" s="197"/>
      <c r="AHY13" s="197"/>
      <c r="AHZ13" s="197"/>
      <c r="AIA13" s="197"/>
      <c r="AIB13" s="197"/>
      <c r="AIC13" s="197"/>
      <c r="AID13" s="197"/>
      <c r="AIE13" s="197"/>
      <c r="AIF13" s="197"/>
      <c r="AIG13" s="197"/>
      <c r="AIH13" s="197"/>
      <c r="AII13" s="197"/>
      <c r="AIJ13" s="197"/>
      <c r="AIK13" s="197"/>
      <c r="AIL13" s="197"/>
      <c r="AIM13" s="197"/>
      <c r="AIN13" s="197"/>
      <c r="AIO13" s="197"/>
      <c r="AIP13" s="197"/>
      <c r="AIQ13" s="197"/>
      <c r="AIR13" s="197"/>
      <c r="AIS13" s="197"/>
      <c r="AIT13" s="197"/>
      <c r="AIU13" s="197"/>
      <c r="AIV13" s="197"/>
      <c r="AIW13" s="197"/>
      <c r="AIX13" s="197"/>
      <c r="AIY13" s="197"/>
      <c r="AIZ13" s="197"/>
      <c r="AJA13" s="197"/>
      <c r="AJB13" s="197"/>
      <c r="AJC13" s="197"/>
      <c r="AJD13" s="197"/>
      <c r="AJE13" s="197"/>
      <c r="AJF13" s="197"/>
      <c r="AJG13" s="197"/>
      <c r="AJH13" s="197"/>
      <c r="AJI13" s="197"/>
      <c r="AJJ13" s="197"/>
      <c r="AJK13" s="197"/>
      <c r="AJL13" s="197"/>
      <c r="AJM13" s="197"/>
      <c r="AJN13" s="197"/>
      <c r="AJO13" s="197"/>
      <c r="AJP13" s="197"/>
      <c r="AJQ13" s="197"/>
      <c r="AJR13" s="197"/>
      <c r="AJS13" s="197"/>
      <c r="AJT13" s="197"/>
      <c r="AJU13" s="197"/>
      <c r="AJV13" s="197"/>
      <c r="AJW13" s="197"/>
      <c r="AJX13" s="197"/>
      <c r="AJY13" s="197"/>
      <c r="AJZ13" s="197"/>
      <c r="AKA13" s="197"/>
      <c r="AKB13" s="197"/>
      <c r="AKC13" s="198"/>
      <c r="AKD13" s="196" t="s">
        <v>123</v>
      </c>
      <c r="AKE13" s="197"/>
      <c r="AKF13" s="197"/>
      <c r="AKG13" s="197"/>
      <c r="AKH13" s="197"/>
      <c r="AKI13" s="197"/>
      <c r="AKJ13" s="197"/>
      <c r="AKK13" s="197"/>
      <c r="AKL13" s="197"/>
      <c r="AKM13" s="197"/>
      <c r="AKN13" s="197"/>
      <c r="AKO13" s="197"/>
      <c r="AKP13" s="197"/>
      <c r="AKQ13" s="197"/>
      <c r="AKR13" s="197"/>
      <c r="AKS13" s="197"/>
      <c r="AKT13" s="197"/>
      <c r="AKU13" s="197"/>
      <c r="AKV13" s="197"/>
      <c r="AKW13" s="197"/>
      <c r="AKX13" s="197"/>
      <c r="AKY13" s="197"/>
      <c r="AKZ13" s="197"/>
      <c r="ALA13" s="197"/>
      <c r="ALB13" s="197"/>
      <c r="ALC13" s="197"/>
      <c r="ALD13" s="197"/>
      <c r="ALE13" s="197"/>
      <c r="ALF13" s="197"/>
      <c r="ALG13" s="197"/>
      <c r="ALH13" s="197"/>
      <c r="ALI13" s="197"/>
      <c r="ALJ13" s="197"/>
      <c r="ALK13" s="197"/>
      <c r="ALL13" s="197"/>
      <c r="ALM13" s="197"/>
      <c r="ALN13" s="197"/>
      <c r="ALO13" s="197"/>
      <c r="ALP13" s="197"/>
      <c r="ALQ13" s="197"/>
      <c r="ALR13" s="197"/>
      <c r="ALS13" s="197"/>
      <c r="ALT13" s="197"/>
      <c r="ALU13" s="197"/>
      <c r="ALV13" s="197"/>
      <c r="ALW13" s="197"/>
      <c r="ALX13" s="197"/>
      <c r="ALY13" s="197"/>
      <c r="ALZ13" s="197"/>
      <c r="AMA13" s="197"/>
      <c r="AMB13" s="197"/>
      <c r="AMC13" s="197"/>
      <c r="AMD13" s="197"/>
      <c r="AME13" s="197"/>
      <c r="AMF13" s="197"/>
      <c r="AMG13" s="197"/>
      <c r="AMH13" s="197"/>
      <c r="AMI13" s="197"/>
      <c r="AMJ13" s="197"/>
      <c r="AMK13" s="198"/>
      <c r="AML13" s="196" t="s">
        <v>122</v>
      </c>
      <c r="AMM13" s="197"/>
      <c r="AMN13" s="197"/>
      <c r="AMO13" s="197"/>
      <c r="AMP13" s="197"/>
      <c r="AMQ13" s="197"/>
      <c r="AMR13" s="197"/>
      <c r="AMS13" s="197"/>
      <c r="AMT13" s="197"/>
      <c r="AMU13" s="197"/>
      <c r="AMV13" s="197"/>
      <c r="AMW13" s="197"/>
      <c r="AMX13" s="197"/>
      <c r="AMY13" s="197"/>
      <c r="AMZ13" s="197"/>
      <c r="ANA13" s="197"/>
      <c r="ANB13" s="197"/>
      <c r="ANC13" s="197"/>
      <c r="AND13" s="197"/>
      <c r="ANE13" s="197"/>
      <c r="ANF13" s="197"/>
      <c r="ANG13" s="197"/>
      <c r="ANH13" s="197"/>
      <c r="ANI13" s="197"/>
      <c r="ANJ13" s="197"/>
      <c r="ANK13" s="197"/>
      <c r="ANL13" s="197"/>
      <c r="ANM13" s="197"/>
      <c r="ANN13" s="197"/>
      <c r="ANO13" s="197"/>
      <c r="ANP13" s="197"/>
      <c r="ANQ13" s="197"/>
      <c r="ANR13" s="197"/>
      <c r="ANS13" s="197"/>
      <c r="ANT13" s="197"/>
      <c r="ANU13" s="197"/>
      <c r="ANV13" s="197"/>
      <c r="ANW13" s="197"/>
      <c r="ANX13" s="197"/>
      <c r="ANY13" s="197"/>
      <c r="ANZ13" s="197"/>
      <c r="AOA13" s="197"/>
      <c r="AOB13" s="197"/>
      <c r="AOC13" s="197"/>
      <c r="AOD13" s="197"/>
      <c r="AOE13" s="197"/>
      <c r="AOF13" s="197"/>
      <c r="AOG13" s="197"/>
      <c r="AOH13" s="197"/>
      <c r="AOI13" s="197"/>
      <c r="AOJ13" s="197"/>
      <c r="AOK13" s="197"/>
      <c r="AOL13" s="197"/>
      <c r="AOM13" s="197"/>
      <c r="AON13" s="197"/>
      <c r="AOO13" s="197"/>
      <c r="AOP13" s="197"/>
      <c r="AOQ13" s="197"/>
      <c r="AOR13" s="197"/>
      <c r="AOS13" s="198"/>
      <c r="AOT13" s="196" t="s">
        <v>121</v>
      </c>
      <c r="AOU13" s="197"/>
      <c r="AOV13" s="197"/>
      <c r="AOW13" s="197"/>
      <c r="AOX13" s="197"/>
      <c r="AOY13" s="197"/>
      <c r="AOZ13" s="197"/>
      <c r="APA13" s="197"/>
      <c r="APB13" s="197"/>
      <c r="APC13" s="197"/>
      <c r="APD13" s="197"/>
      <c r="APE13" s="197"/>
      <c r="APF13" s="197"/>
      <c r="APG13" s="197"/>
      <c r="APH13" s="197"/>
      <c r="API13" s="197"/>
      <c r="APJ13" s="197"/>
      <c r="APK13" s="197"/>
      <c r="APL13" s="197"/>
      <c r="APM13" s="197"/>
      <c r="APN13" s="197"/>
      <c r="APO13" s="197"/>
      <c r="APP13" s="197"/>
      <c r="APQ13" s="197"/>
      <c r="APR13" s="197"/>
      <c r="APS13" s="197"/>
      <c r="APT13" s="197"/>
      <c r="APU13" s="197"/>
      <c r="APV13" s="197"/>
      <c r="APW13" s="197"/>
      <c r="APX13" s="197"/>
      <c r="APY13" s="197"/>
      <c r="APZ13" s="197"/>
      <c r="AQA13" s="197"/>
      <c r="AQB13" s="197"/>
      <c r="AQC13" s="197"/>
      <c r="AQD13" s="197"/>
      <c r="AQE13" s="197"/>
      <c r="AQF13" s="197"/>
      <c r="AQG13" s="197"/>
      <c r="AQH13" s="197"/>
      <c r="AQI13" s="197"/>
      <c r="AQJ13" s="197"/>
      <c r="AQK13" s="197"/>
      <c r="AQL13" s="197"/>
      <c r="AQM13" s="197"/>
      <c r="AQN13" s="197"/>
      <c r="AQO13" s="197"/>
      <c r="AQP13" s="197"/>
      <c r="AQQ13" s="197"/>
      <c r="AQR13" s="197"/>
      <c r="AQS13" s="197"/>
      <c r="AQT13" s="197"/>
      <c r="AQU13" s="197"/>
      <c r="AQV13" s="197"/>
      <c r="AQW13" s="197"/>
      <c r="AQX13" s="197"/>
      <c r="AQY13" s="197"/>
      <c r="AQZ13" s="197"/>
      <c r="ARA13" s="198"/>
      <c r="ARB13" s="196" t="s">
        <v>120</v>
      </c>
      <c r="ARC13" s="197"/>
      <c r="ARD13" s="197"/>
      <c r="ARE13" s="197"/>
      <c r="ARF13" s="197"/>
      <c r="ARG13" s="197"/>
      <c r="ARH13" s="197"/>
      <c r="ARI13" s="197"/>
      <c r="ARJ13" s="197"/>
      <c r="ARK13" s="197"/>
      <c r="ARL13" s="197"/>
      <c r="ARM13" s="197"/>
      <c r="ARN13" s="197"/>
      <c r="ARO13" s="197"/>
      <c r="ARP13" s="197"/>
      <c r="ARQ13" s="197"/>
      <c r="ARR13" s="197"/>
      <c r="ARS13" s="197"/>
      <c r="ART13" s="197"/>
      <c r="ARU13" s="197"/>
      <c r="ARV13" s="197"/>
      <c r="ARW13" s="197"/>
      <c r="ARX13" s="197"/>
      <c r="ARY13" s="197"/>
      <c r="ARZ13" s="197"/>
      <c r="ASA13" s="197"/>
      <c r="ASB13" s="197"/>
      <c r="ASC13" s="197"/>
      <c r="ASD13" s="197"/>
      <c r="ASE13" s="197"/>
      <c r="ASF13" s="197"/>
      <c r="ASG13" s="197"/>
      <c r="ASH13" s="197"/>
      <c r="ASI13" s="197"/>
      <c r="ASJ13" s="197"/>
      <c r="ASK13" s="197"/>
      <c r="ASL13" s="197"/>
      <c r="ASM13" s="197"/>
      <c r="ASN13" s="197"/>
      <c r="ASO13" s="197"/>
      <c r="ASP13" s="197"/>
      <c r="ASQ13" s="197"/>
      <c r="ASR13" s="197"/>
      <c r="ASS13" s="197"/>
      <c r="AST13" s="197"/>
      <c r="ASU13" s="197"/>
      <c r="ASV13" s="197"/>
      <c r="ASW13" s="197"/>
      <c r="ASX13" s="197"/>
      <c r="ASY13" s="197"/>
      <c r="ASZ13" s="197"/>
      <c r="ATA13" s="197"/>
      <c r="ATB13" s="197"/>
      <c r="ATC13" s="197"/>
      <c r="ATD13" s="197"/>
      <c r="ATE13" s="197"/>
      <c r="ATF13" s="197"/>
      <c r="ATG13" s="197"/>
      <c r="ATH13" s="197"/>
      <c r="ATI13" s="198"/>
      <c r="ATJ13" s="196" t="s">
        <v>119</v>
      </c>
      <c r="ATK13" s="197"/>
      <c r="ATL13" s="197"/>
      <c r="ATM13" s="197"/>
      <c r="ATN13" s="197"/>
      <c r="ATO13" s="197"/>
      <c r="ATP13" s="197"/>
      <c r="ATQ13" s="197"/>
      <c r="ATR13" s="197"/>
      <c r="ATS13" s="197"/>
      <c r="ATT13" s="197"/>
      <c r="ATU13" s="197"/>
      <c r="ATV13" s="197"/>
      <c r="ATW13" s="197"/>
      <c r="ATX13" s="197"/>
      <c r="ATY13" s="197"/>
      <c r="ATZ13" s="197"/>
      <c r="AUA13" s="197"/>
      <c r="AUB13" s="197"/>
      <c r="AUC13" s="197"/>
      <c r="AUD13" s="197"/>
      <c r="AUE13" s="197"/>
      <c r="AUF13" s="197"/>
      <c r="AUG13" s="197"/>
      <c r="AUH13" s="197"/>
      <c r="AUI13" s="197"/>
      <c r="AUJ13" s="197"/>
      <c r="AUK13" s="197"/>
      <c r="AUL13" s="197"/>
      <c r="AUM13" s="197"/>
      <c r="AUN13" s="197"/>
      <c r="AUO13" s="197"/>
      <c r="AUP13" s="197"/>
      <c r="AUQ13" s="197"/>
      <c r="AUR13" s="197"/>
      <c r="AUS13" s="197"/>
      <c r="AUT13" s="197"/>
      <c r="AUU13" s="197"/>
      <c r="AUV13" s="197"/>
      <c r="AUW13" s="197"/>
      <c r="AUX13" s="197"/>
      <c r="AUY13" s="197"/>
      <c r="AUZ13" s="197"/>
      <c r="AVA13" s="197"/>
      <c r="AVB13" s="197"/>
      <c r="AVC13" s="197"/>
      <c r="AVD13" s="197"/>
      <c r="AVE13" s="197"/>
      <c r="AVF13" s="197"/>
      <c r="AVG13" s="197"/>
      <c r="AVH13" s="197"/>
      <c r="AVI13" s="197"/>
      <c r="AVJ13" s="197"/>
      <c r="AVK13" s="197"/>
      <c r="AVL13" s="197"/>
      <c r="AVM13" s="197"/>
      <c r="AVN13" s="197"/>
      <c r="AVO13" s="197"/>
      <c r="AVP13" s="197"/>
      <c r="AVQ13" s="198"/>
      <c r="AVR13" s="196" t="s">
        <v>118</v>
      </c>
      <c r="AVS13" s="197"/>
      <c r="AVT13" s="197"/>
      <c r="AVU13" s="197"/>
      <c r="AVV13" s="197"/>
      <c r="AVW13" s="197"/>
      <c r="AVX13" s="197"/>
      <c r="AVY13" s="197"/>
      <c r="AVZ13" s="197"/>
      <c r="AWA13" s="197"/>
      <c r="AWB13" s="197"/>
      <c r="AWC13" s="197"/>
      <c r="AWD13" s="197"/>
      <c r="AWE13" s="197"/>
      <c r="AWF13" s="197"/>
      <c r="AWG13" s="197"/>
      <c r="AWH13" s="197"/>
      <c r="AWI13" s="197"/>
      <c r="AWJ13" s="197"/>
      <c r="AWK13" s="197"/>
      <c r="AWL13" s="197"/>
      <c r="AWM13" s="197"/>
      <c r="AWN13" s="197"/>
      <c r="AWO13" s="197"/>
      <c r="AWP13" s="197"/>
      <c r="AWQ13" s="197"/>
      <c r="AWR13" s="197"/>
      <c r="AWS13" s="197"/>
      <c r="AWT13" s="197"/>
      <c r="AWU13" s="197"/>
      <c r="AWV13" s="197"/>
      <c r="AWW13" s="197"/>
      <c r="AWX13" s="197"/>
      <c r="AWY13" s="197"/>
      <c r="AWZ13" s="197"/>
      <c r="AXA13" s="197"/>
      <c r="AXB13" s="197"/>
      <c r="AXC13" s="197"/>
      <c r="AXD13" s="197"/>
      <c r="AXE13" s="197"/>
      <c r="AXF13" s="197"/>
      <c r="AXG13" s="197"/>
      <c r="AXH13" s="197"/>
      <c r="AXI13" s="197"/>
      <c r="AXJ13" s="197"/>
      <c r="AXK13" s="197"/>
      <c r="AXL13" s="197"/>
      <c r="AXM13" s="197"/>
      <c r="AXN13" s="197"/>
      <c r="AXO13" s="197"/>
      <c r="AXP13" s="197"/>
      <c r="AXQ13" s="197"/>
      <c r="AXR13" s="197"/>
      <c r="AXS13" s="197"/>
      <c r="AXT13" s="197"/>
      <c r="AXU13" s="197"/>
      <c r="AXV13" s="197"/>
      <c r="AXW13" s="197"/>
      <c r="AXX13" s="197"/>
      <c r="AXY13" s="198"/>
      <c r="AXZ13" s="196" t="s">
        <v>117</v>
      </c>
      <c r="AYA13" s="197"/>
      <c r="AYB13" s="197"/>
      <c r="AYC13" s="197"/>
      <c r="AYD13" s="197"/>
      <c r="AYE13" s="197"/>
      <c r="AYF13" s="197"/>
      <c r="AYG13" s="197"/>
      <c r="AYH13" s="197"/>
      <c r="AYI13" s="197"/>
      <c r="AYJ13" s="197"/>
      <c r="AYK13" s="197"/>
      <c r="AYL13" s="197"/>
      <c r="AYM13" s="197"/>
      <c r="AYN13" s="197"/>
      <c r="AYO13" s="197"/>
      <c r="AYP13" s="197"/>
      <c r="AYQ13" s="197"/>
      <c r="AYR13" s="197"/>
      <c r="AYS13" s="197"/>
      <c r="AYT13" s="197"/>
      <c r="AYU13" s="197"/>
      <c r="AYV13" s="197"/>
      <c r="AYW13" s="197"/>
      <c r="AYX13" s="197"/>
      <c r="AYY13" s="197"/>
      <c r="AYZ13" s="197"/>
      <c r="AZA13" s="197"/>
      <c r="AZB13" s="197"/>
      <c r="AZC13" s="197"/>
      <c r="AZD13" s="197"/>
      <c r="AZE13" s="197"/>
      <c r="AZF13" s="197"/>
      <c r="AZG13" s="197"/>
      <c r="AZH13" s="197"/>
      <c r="AZI13" s="197"/>
      <c r="AZJ13" s="197"/>
      <c r="AZK13" s="197"/>
      <c r="AZL13" s="197"/>
      <c r="AZM13" s="197"/>
      <c r="AZN13" s="197"/>
      <c r="AZO13" s="197"/>
      <c r="AZP13" s="197"/>
      <c r="AZQ13" s="197"/>
      <c r="AZR13" s="197"/>
      <c r="AZS13" s="197"/>
      <c r="AZT13" s="197"/>
      <c r="AZU13" s="197"/>
      <c r="AZV13" s="197"/>
      <c r="AZW13" s="197"/>
      <c r="AZX13" s="197"/>
      <c r="AZY13" s="197"/>
      <c r="AZZ13" s="197"/>
      <c r="BAA13" s="197"/>
      <c r="BAB13" s="197"/>
      <c r="BAC13" s="197"/>
      <c r="BAD13" s="197"/>
      <c r="BAE13" s="197"/>
      <c r="BAF13" s="197"/>
      <c r="BAG13" s="198"/>
      <c r="BAH13" s="196" t="s">
        <v>116</v>
      </c>
      <c r="BAI13" s="197"/>
      <c r="BAJ13" s="197"/>
      <c r="BAK13" s="197"/>
      <c r="BAL13" s="197"/>
      <c r="BAM13" s="197"/>
      <c r="BAN13" s="197"/>
      <c r="BAO13" s="197"/>
      <c r="BAP13" s="197"/>
      <c r="BAQ13" s="197"/>
      <c r="BAR13" s="197"/>
      <c r="BAS13" s="197"/>
      <c r="BAT13" s="197"/>
      <c r="BAU13" s="197"/>
      <c r="BAV13" s="197"/>
      <c r="BAW13" s="197"/>
      <c r="BAX13" s="197"/>
      <c r="BAY13" s="197"/>
      <c r="BAZ13" s="197"/>
      <c r="BBA13" s="197"/>
      <c r="BBB13" s="197"/>
      <c r="BBC13" s="197"/>
      <c r="BBD13" s="197"/>
      <c r="BBE13" s="197"/>
      <c r="BBF13" s="197"/>
      <c r="BBG13" s="197"/>
      <c r="BBH13" s="197"/>
      <c r="BBI13" s="197"/>
      <c r="BBJ13" s="197"/>
      <c r="BBK13" s="197"/>
      <c r="BBL13" s="197"/>
      <c r="BBM13" s="197"/>
      <c r="BBN13" s="197"/>
      <c r="BBO13" s="197"/>
      <c r="BBP13" s="197"/>
      <c r="BBQ13" s="197"/>
      <c r="BBR13" s="197"/>
      <c r="BBS13" s="197"/>
      <c r="BBT13" s="197"/>
      <c r="BBU13" s="197"/>
      <c r="BBV13" s="197"/>
      <c r="BBW13" s="197"/>
      <c r="BBX13" s="197"/>
      <c r="BBY13" s="197"/>
      <c r="BBZ13" s="197"/>
      <c r="BCA13" s="197"/>
      <c r="BCB13" s="197"/>
      <c r="BCC13" s="197"/>
      <c r="BCD13" s="197"/>
      <c r="BCE13" s="197"/>
      <c r="BCF13" s="197"/>
      <c r="BCG13" s="197"/>
      <c r="BCH13" s="197"/>
      <c r="BCI13" s="197"/>
      <c r="BCJ13" s="197"/>
      <c r="BCK13" s="197"/>
      <c r="BCL13" s="197"/>
      <c r="BCM13" s="197"/>
      <c r="BCN13" s="197"/>
      <c r="BCO13" s="198"/>
      <c r="BCP13" s="196" t="s">
        <v>115</v>
      </c>
      <c r="BCQ13" s="197"/>
      <c r="BCR13" s="197"/>
      <c r="BCS13" s="197"/>
      <c r="BCT13" s="197"/>
      <c r="BCU13" s="197"/>
      <c r="BCV13" s="197"/>
      <c r="BCW13" s="197"/>
      <c r="BCX13" s="197"/>
      <c r="BCY13" s="197"/>
      <c r="BCZ13" s="197"/>
      <c r="BDA13" s="197"/>
      <c r="BDB13" s="197"/>
      <c r="BDC13" s="197"/>
      <c r="BDD13" s="197"/>
      <c r="BDE13" s="197"/>
      <c r="BDF13" s="197"/>
      <c r="BDG13" s="197"/>
      <c r="BDH13" s="197"/>
      <c r="BDI13" s="197"/>
      <c r="BDJ13" s="197"/>
      <c r="BDK13" s="197"/>
      <c r="BDL13" s="197"/>
      <c r="BDM13" s="197"/>
      <c r="BDN13" s="197"/>
      <c r="BDO13" s="197"/>
      <c r="BDP13" s="197"/>
      <c r="BDQ13" s="197"/>
      <c r="BDR13" s="197"/>
      <c r="BDS13" s="197"/>
      <c r="BDT13" s="197"/>
      <c r="BDU13" s="197"/>
      <c r="BDV13" s="197"/>
      <c r="BDW13" s="197"/>
      <c r="BDX13" s="197"/>
      <c r="BDY13" s="197"/>
      <c r="BDZ13" s="197"/>
      <c r="BEA13" s="197"/>
      <c r="BEB13" s="197"/>
      <c r="BEC13" s="197"/>
      <c r="BED13" s="197"/>
      <c r="BEE13" s="197"/>
      <c r="BEF13" s="197"/>
      <c r="BEG13" s="197"/>
      <c r="BEH13" s="197"/>
      <c r="BEI13" s="197"/>
      <c r="BEJ13" s="197"/>
      <c r="BEK13" s="197"/>
      <c r="BEL13" s="197"/>
      <c r="BEM13" s="197"/>
      <c r="BEN13" s="197"/>
      <c r="BEO13" s="197"/>
      <c r="BEP13" s="197"/>
      <c r="BEQ13" s="197"/>
      <c r="BER13" s="197"/>
      <c r="BES13" s="197"/>
      <c r="BET13" s="197"/>
      <c r="BEU13" s="197"/>
      <c r="BEV13" s="197"/>
      <c r="BEW13" s="198"/>
      <c r="BEX13" s="196" t="s">
        <v>114</v>
      </c>
      <c r="BEY13" s="197"/>
      <c r="BEZ13" s="197"/>
      <c r="BFA13" s="197"/>
      <c r="BFB13" s="197"/>
      <c r="BFC13" s="197"/>
      <c r="BFD13" s="197"/>
      <c r="BFE13" s="197"/>
      <c r="BFF13" s="197"/>
      <c r="BFG13" s="197"/>
      <c r="BFH13" s="197"/>
      <c r="BFI13" s="197"/>
      <c r="BFJ13" s="197"/>
      <c r="BFK13" s="197"/>
      <c r="BFL13" s="197"/>
      <c r="BFM13" s="197"/>
      <c r="BFN13" s="197"/>
      <c r="BFO13" s="197"/>
      <c r="BFP13" s="197"/>
      <c r="BFQ13" s="197"/>
      <c r="BFR13" s="197"/>
      <c r="BFS13" s="197"/>
      <c r="BFT13" s="197"/>
      <c r="BFU13" s="197"/>
      <c r="BFV13" s="197"/>
      <c r="BFW13" s="197"/>
      <c r="BFX13" s="197"/>
      <c r="BFY13" s="197"/>
      <c r="BFZ13" s="197"/>
      <c r="BGA13" s="197"/>
      <c r="BGB13" s="197"/>
      <c r="BGC13" s="197"/>
      <c r="BGD13" s="197"/>
      <c r="BGE13" s="197"/>
      <c r="BGF13" s="197"/>
      <c r="BGG13" s="197"/>
      <c r="BGH13" s="197"/>
      <c r="BGI13" s="197"/>
      <c r="BGJ13" s="197"/>
      <c r="BGK13" s="197"/>
      <c r="BGL13" s="197"/>
      <c r="BGM13" s="197"/>
      <c r="BGN13" s="197"/>
      <c r="BGO13" s="197"/>
      <c r="BGP13" s="197"/>
      <c r="BGQ13" s="197"/>
      <c r="BGR13" s="197"/>
      <c r="BGS13" s="197"/>
      <c r="BGT13" s="197"/>
      <c r="BGU13" s="197"/>
      <c r="BGV13" s="197"/>
      <c r="BGW13" s="197"/>
      <c r="BGX13" s="197"/>
      <c r="BGY13" s="197"/>
      <c r="BGZ13" s="197"/>
      <c r="BHA13" s="197"/>
      <c r="BHB13" s="197"/>
      <c r="BHC13" s="197"/>
      <c r="BHD13" s="197"/>
      <c r="BHE13" s="198"/>
      <c r="BHF13" s="196" t="s">
        <v>113</v>
      </c>
      <c r="BHG13" s="197"/>
      <c r="BHH13" s="197"/>
      <c r="BHI13" s="197"/>
      <c r="BHJ13" s="197"/>
      <c r="BHK13" s="197"/>
      <c r="BHL13" s="197"/>
      <c r="BHM13" s="197"/>
      <c r="BHN13" s="197"/>
      <c r="BHO13" s="197"/>
      <c r="BHP13" s="197"/>
      <c r="BHQ13" s="197"/>
      <c r="BHR13" s="197"/>
      <c r="BHS13" s="197"/>
      <c r="BHT13" s="197"/>
      <c r="BHU13" s="197"/>
      <c r="BHV13" s="197"/>
      <c r="BHW13" s="197"/>
      <c r="BHX13" s="197"/>
      <c r="BHY13" s="197"/>
      <c r="BHZ13" s="197"/>
      <c r="BIA13" s="197"/>
      <c r="BIB13" s="197"/>
      <c r="BIC13" s="197"/>
      <c r="BID13" s="197"/>
      <c r="BIE13" s="197"/>
      <c r="BIF13" s="197"/>
      <c r="BIG13" s="197"/>
      <c r="BIH13" s="197"/>
      <c r="BII13" s="197"/>
      <c r="BIJ13" s="197"/>
      <c r="BIK13" s="197"/>
      <c r="BIL13" s="197"/>
      <c r="BIM13" s="197"/>
      <c r="BIN13" s="197"/>
      <c r="BIO13" s="197"/>
      <c r="BIP13" s="197"/>
      <c r="BIQ13" s="197"/>
      <c r="BIR13" s="197"/>
      <c r="BIS13" s="197"/>
      <c r="BIT13" s="197"/>
      <c r="BIU13" s="197"/>
      <c r="BIV13" s="197"/>
      <c r="BIW13" s="197"/>
      <c r="BIX13" s="197"/>
      <c r="BIY13" s="197"/>
      <c r="BIZ13" s="197"/>
      <c r="BJA13" s="197"/>
      <c r="BJB13" s="197"/>
      <c r="BJC13" s="197"/>
      <c r="BJD13" s="197"/>
      <c r="BJE13" s="197"/>
      <c r="BJF13" s="197"/>
      <c r="BJG13" s="197"/>
      <c r="BJH13" s="197"/>
      <c r="BJI13" s="197"/>
      <c r="BJJ13" s="197"/>
      <c r="BJK13" s="197"/>
      <c r="BJL13" s="197"/>
      <c r="BJM13" s="198"/>
      <c r="BJN13" s="75" t="s">
        <v>239</v>
      </c>
    </row>
    <row r="14" spans="1:1652" ht="12.75" customHeight="1" thickBot="1" x14ac:dyDescent="0.35">
      <c r="B14" s="53"/>
      <c r="C14" s="201"/>
      <c r="D14" s="128"/>
      <c r="E14" s="203"/>
      <c r="F14" s="87"/>
      <c r="G14" s="88"/>
      <c r="H14" s="88"/>
      <c r="I14" s="88"/>
      <c r="J14" s="183" t="s">
        <v>34</v>
      </c>
      <c r="K14" s="183"/>
      <c r="L14" s="183"/>
      <c r="M14" s="183"/>
      <c r="N14" s="88"/>
      <c r="O14" s="88"/>
      <c r="P14" s="184" t="s">
        <v>23</v>
      </c>
      <c r="Q14" s="184"/>
      <c r="R14" s="184"/>
      <c r="S14" s="184"/>
      <c r="T14" s="112"/>
      <c r="U14" s="112"/>
      <c r="V14" s="183" t="s">
        <v>35</v>
      </c>
      <c r="W14" s="183"/>
      <c r="X14" s="183"/>
      <c r="Y14" s="183"/>
      <c r="Z14" s="88"/>
      <c r="AA14" s="88"/>
      <c r="AB14" s="184" t="s">
        <v>24</v>
      </c>
      <c r="AC14" s="184"/>
      <c r="AD14" s="184"/>
      <c r="AE14" s="184"/>
      <c r="AF14" s="112"/>
      <c r="AG14" s="112"/>
      <c r="AH14" s="183" t="s">
        <v>36</v>
      </c>
      <c r="AI14" s="183"/>
      <c r="AJ14" s="183"/>
      <c r="AK14" s="183"/>
      <c r="AL14" s="88"/>
      <c r="AM14" s="88"/>
      <c r="AN14" s="184" t="s">
        <v>25</v>
      </c>
      <c r="AO14" s="184"/>
      <c r="AP14" s="184"/>
      <c r="AQ14" s="184"/>
      <c r="AR14" s="112"/>
      <c r="AS14" s="112"/>
      <c r="AT14" s="183" t="s">
        <v>37</v>
      </c>
      <c r="AU14" s="183"/>
      <c r="AV14" s="183"/>
      <c r="AW14" s="183"/>
      <c r="AX14" s="88"/>
      <c r="AY14" s="88"/>
      <c r="AZ14" s="184" t="s">
        <v>26</v>
      </c>
      <c r="BA14" s="184"/>
      <c r="BB14" s="184"/>
      <c r="BC14" s="184"/>
      <c r="BD14" s="112"/>
      <c r="BE14" s="112"/>
      <c r="BF14" s="183" t="s">
        <v>38</v>
      </c>
      <c r="BG14" s="183"/>
      <c r="BH14" s="183"/>
      <c r="BI14" s="183"/>
      <c r="BJ14" s="88"/>
      <c r="BK14" s="88"/>
      <c r="BL14" s="88"/>
      <c r="BM14" s="89"/>
      <c r="BN14" s="87"/>
      <c r="BO14" s="88"/>
      <c r="BP14" s="88"/>
      <c r="BQ14" s="88"/>
      <c r="BR14" s="183" t="s">
        <v>34</v>
      </c>
      <c r="BS14" s="183"/>
      <c r="BT14" s="183"/>
      <c r="BU14" s="183"/>
      <c r="BV14" s="88"/>
      <c r="BW14" s="88"/>
      <c r="BX14" s="184" t="s">
        <v>23</v>
      </c>
      <c r="BY14" s="184"/>
      <c r="BZ14" s="184"/>
      <c r="CA14" s="184"/>
      <c r="CB14" s="112"/>
      <c r="CC14" s="112"/>
      <c r="CD14" s="183" t="s">
        <v>35</v>
      </c>
      <c r="CE14" s="183"/>
      <c r="CF14" s="183"/>
      <c r="CG14" s="183"/>
      <c r="CH14" s="88"/>
      <c r="CI14" s="88"/>
      <c r="CJ14" s="184" t="s">
        <v>24</v>
      </c>
      <c r="CK14" s="184"/>
      <c r="CL14" s="184"/>
      <c r="CM14" s="184"/>
      <c r="CN14" s="112"/>
      <c r="CO14" s="112"/>
      <c r="CP14" s="183" t="s">
        <v>36</v>
      </c>
      <c r="CQ14" s="183"/>
      <c r="CR14" s="183"/>
      <c r="CS14" s="183"/>
      <c r="CT14" s="88"/>
      <c r="CU14" s="88"/>
      <c r="CV14" s="184" t="s">
        <v>25</v>
      </c>
      <c r="CW14" s="184"/>
      <c r="CX14" s="184"/>
      <c r="CY14" s="184"/>
      <c r="CZ14" s="112"/>
      <c r="DA14" s="112"/>
      <c r="DB14" s="183" t="s">
        <v>37</v>
      </c>
      <c r="DC14" s="183"/>
      <c r="DD14" s="183"/>
      <c r="DE14" s="183"/>
      <c r="DF14" s="88"/>
      <c r="DG14" s="88"/>
      <c r="DH14" s="184" t="s">
        <v>26</v>
      </c>
      <c r="DI14" s="184"/>
      <c r="DJ14" s="184"/>
      <c r="DK14" s="184"/>
      <c r="DL14" s="112"/>
      <c r="DM14" s="112"/>
      <c r="DN14" s="183" t="s">
        <v>38</v>
      </c>
      <c r="DO14" s="183"/>
      <c r="DP14" s="183"/>
      <c r="DQ14" s="183"/>
      <c r="DR14" s="88"/>
      <c r="DS14" s="88"/>
      <c r="DT14" s="88"/>
      <c r="DU14" s="89"/>
      <c r="DV14" s="87"/>
      <c r="DW14" s="88"/>
      <c r="DX14" s="88"/>
      <c r="DY14" s="88"/>
      <c r="DZ14" s="183" t="s">
        <v>34</v>
      </c>
      <c r="EA14" s="183"/>
      <c r="EB14" s="183"/>
      <c r="EC14" s="183"/>
      <c r="ED14" s="88"/>
      <c r="EE14" s="88"/>
      <c r="EF14" s="184" t="s">
        <v>23</v>
      </c>
      <c r="EG14" s="184"/>
      <c r="EH14" s="184"/>
      <c r="EI14" s="184"/>
      <c r="EJ14" s="112"/>
      <c r="EK14" s="112"/>
      <c r="EL14" s="183" t="s">
        <v>35</v>
      </c>
      <c r="EM14" s="183"/>
      <c r="EN14" s="183"/>
      <c r="EO14" s="183"/>
      <c r="EP14" s="88"/>
      <c r="EQ14" s="88"/>
      <c r="ER14" s="184" t="s">
        <v>24</v>
      </c>
      <c r="ES14" s="184"/>
      <c r="ET14" s="184"/>
      <c r="EU14" s="184"/>
      <c r="EV14" s="112"/>
      <c r="EW14" s="112"/>
      <c r="EX14" s="183" t="s">
        <v>36</v>
      </c>
      <c r="EY14" s="183"/>
      <c r="EZ14" s="183"/>
      <c r="FA14" s="183"/>
      <c r="FB14" s="88"/>
      <c r="FC14" s="88"/>
      <c r="FD14" s="184" t="s">
        <v>25</v>
      </c>
      <c r="FE14" s="184"/>
      <c r="FF14" s="184"/>
      <c r="FG14" s="184"/>
      <c r="FH14" s="112"/>
      <c r="FI14" s="112"/>
      <c r="FJ14" s="183" t="s">
        <v>37</v>
      </c>
      <c r="FK14" s="183"/>
      <c r="FL14" s="183"/>
      <c r="FM14" s="183"/>
      <c r="FN14" s="88"/>
      <c r="FO14" s="88"/>
      <c r="FP14" s="184" t="s">
        <v>26</v>
      </c>
      <c r="FQ14" s="184"/>
      <c r="FR14" s="184"/>
      <c r="FS14" s="184"/>
      <c r="FT14" s="112"/>
      <c r="FU14" s="112"/>
      <c r="FV14" s="183" t="s">
        <v>38</v>
      </c>
      <c r="FW14" s="183"/>
      <c r="FX14" s="183"/>
      <c r="FY14" s="183"/>
      <c r="FZ14" s="88"/>
      <c r="GA14" s="88"/>
      <c r="GB14" s="88"/>
      <c r="GC14" s="89"/>
      <c r="GD14" s="87"/>
      <c r="GE14" s="88"/>
      <c r="GF14" s="88"/>
      <c r="GG14" s="88"/>
      <c r="GH14" s="183" t="s">
        <v>34</v>
      </c>
      <c r="GI14" s="183"/>
      <c r="GJ14" s="183"/>
      <c r="GK14" s="183"/>
      <c r="GL14" s="88"/>
      <c r="GM14" s="88"/>
      <c r="GN14" s="184" t="s">
        <v>23</v>
      </c>
      <c r="GO14" s="184"/>
      <c r="GP14" s="184"/>
      <c r="GQ14" s="184"/>
      <c r="GR14" s="112"/>
      <c r="GS14" s="112"/>
      <c r="GT14" s="183" t="s">
        <v>35</v>
      </c>
      <c r="GU14" s="183"/>
      <c r="GV14" s="183"/>
      <c r="GW14" s="183"/>
      <c r="GX14" s="88"/>
      <c r="GY14" s="88"/>
      <c r="GZ14" s="184" t="s">
        <v>24</v>
      </c>
      <c r="HA14" s="184"/>
      <c r="HB14" s="184"/>
      <c r="HC14" s="184"/>
      <c r="HD14" s="112"/>
      <c r="HE14" s="112"/>
      <c r="HF14" s="183" t="s">
        <v>36</v>
      </c>
      <c r="HG14" s="183"/>
      <c r="HH14" s="183"/>
      <c r="HI14" s="183"/>
      <c r="HJ14" s="88"/>
      <c r="HK14" s="88"/>
      <c r="HL14" s="184" t="s">
        <v>25</v>
      </c>
      <c r="HM14" s="184"/>
      <c r="HN14" s="184"/>
      <c r="HO14" s="184"/>
      <c r="HP14" s="112"/>
      <c r="HQ14" s="112"/>
      <c r="HR14" s="183" t="s">
        <v>37</v>
      </c>
      <c r="HS14" s="183"/>
      <c r="HT14" s="183"/>
      <c r="HU14" s="183"/>
      <c r="HV14" s="88"/>
      <c r="HW14" s="88"/>
      <c r="HX14" s="184" t="s">
        <v>26</v>
      </c>
      <c r="HY14" s="184"/>
      <c r="HZ14" s="184"/>
      <c r="IA14" s="184"/>
      <c r="IB14" s="112"/>
      <c r="IC14" s="112"/>
      <c r="ID14" s="183" t="s">
        <v>38</v>
      </c>
      <c r="IE14" s="183"/>
      <c r="IF14" s="183"/>
      <c r="IG14" s="183"/>
      <c r="IH14" s="88"/>
      <c r="II14" s="88"/>
      <c r="IJ14" s="88"/>
      <c r="IK14" s="89"/>
      <c r="IL14" s="87"/>
      <c r="IM14" s="88"/>
      <c r="IN14" s="88"/>
      <c r="IO14" s="88"/>
      <c r="IP14" s="183" t="s">
        <v>34</v>
      </c>
      <c r="IQ14" s="183"/>
      <c r="IR14" s="183"/>
      <c r="IS14" s="183"/>
      <c r="IT14" s="88"/>
      <c r="IU14" s="88"/>
      <c r="IV14" s="184" t="s">
        <v>23</v>
      </c>
      <c r="IW14" s="184"/>
      <c r="IX14" s="184"/>
      <c r="IY14" s="184"/>
      <c r="IZ14" s="112"/>
      <c r="JA14" s="112"/>
      <c r="JB14" s="183" t="s">
        <v>35</v>
      </c>
      <c r="JC14" s="183"/>
      <c r="JD14" s="183"/>
      <c r="JE14" s="183"/>
      <c r="JF14" s="88"/>
      <c r="JG14" s="88"/>
      <c r="JH14" s="184" t="s">
        <v>24</v>
      </c>
      <c r="JI14" s="184"/>
      <c r="JJ14" s="184"/>
      <c r="JK14" s="184"/>
      <c r="JL14" s="112"/>
      <c r="JM14" s="112"/>
      <c r="JN14" s="183" t="s">
        <v>36</v>
      </c>
      <c r="JO14" s="183"/>
      <c r="JP14" s="183"/>
      <c r="JQ14" s="183"/>
      <c r="JR14" s="88"/>
      <c r="JS14" s="88"/>
      <c r="JT14" s="184" t="s">
        <v>25</v>
      </c>
      <c r="JU14" s="184"/>
      <c r="JV14" s="184"/>
      <c r="JW14" s="184"/>
      <c r="JX14" s="112"/>
      <c r="JY14" s="112"/>
      <c r="JZ14" s="183" t="s">
        <v>37</v>
      </c>
      <c r="KA14" s="183"/>
      <c r="KB14" s="183"/>
      <c r="KC14" s="183"/>
      <c r="KD14" s="88"/>
      <c r="KE14" s="88"/>
      <c r="KF14" s="184" t="s">
        <v>26</v>
      </c>
      <c r="KG14" s="184"/>
      <c r="KH14" s="184"/>
      <c r="KI14" s="184"/>
      <c r="KJ14" s="112"/>
      <c r="KK14" s="112"/>
      <c r="KL14" s="183" t="s">
        <v>38</v>
      </c>
      <c r="KM14" s="183"/>
      <c r="KN14" s="183"/>
      <c r="KO14" s="183"/>
      <c r="KP14" s="88"/>
      <c r="KQ14" s="88"/>
      <c r="KR14" s="88"/>
      <c r="KS14" s="89"/>
      <c r="KT14" s="87"/>
      <c r="KU14" s="88"/>
      <c r="KV14" s="88"/>
      <c r="KW14" s="88"/>
      <c r="KX14" s="183" t="s">
        <v>34</v>
      </c>
      <c r="KY14" s="183"/>
      <c r="KZ14" s="183"/>
      <c r="LA14" s="183"/>
      <c r="LB14" s="88"/>
      <c r="LC14" s="88"/>
      <c r="LD14" s="184" t="s">
        <v>23</v>
      </c>
      <c r="LE14" s="184"/>
      <c r="LF14" s="184"/>
      <c r="LG14" s="184"/>
      <c r="LH14" s="112"/>
      <c r="LI14" s="112"/>
      <c r="LJ14" s="183" t="s">
        <v>35</v>
      </c>
      <c r="LK14" s="183"/>
      <c r="LL14" s="183"/>
      <c r="LM14" s="183"/>
      <c r="LN14" s="88"/>
      <c r="LO14" s="88"/>
      <c r="LP14" s="184" t="s">
        <v>24</v>
      </c>
      <c r="LQ14" s="184"/>
      <c r="LR14" s="184"/>
      <c r="LS14" s="184"/>
      <c r="LT14" s="112"/>
      <c r="LU14" s="112"/>
      <c r="LV14" s="183" t="s">
        <v>36</v>
      </c>
      <c r="LW14" s="183"/>
      <c r="LX14" s="183"/>
      <c r="LY14" s="183"/>
      <c r="LZ14" s="88"/>
      <c r="MA14" s="88"/>
      <c r="MB14" s="184" t="s">
        <v>25</v>
      </c>
      <c r="MC14" s="184"/>
      <c r="MD14" s="184"/>
      <c r="ME14" s="184"/>
      <c r="MF14" s="112"/>
      <c r="MG14" s="112"/>
      <c r="MH14" s="183" t="s">
        <v>37</v>
      </c>
      <c r="MI14" s="183"/>
      <c r="MJ14" s="183"/>
      <c r="MK14" s="183"/>
      <c r="ML14" s="88"/>
      <c r="MM14" s="88"/>
      <c r="MN14" s="184" t="s">
        <v>26</v>
      </c>
      <c r="MO14" s="184"/>
      <c r="MP14" s="184"/>
      <c r="MQ14" s="184"/>
      <c r="MR14" s="112"/>
      <c r="MS14" s="112"/>
      <c r="MT14" s="183" t="s">
        <v>38</v>
      </c>
      <c r="MU14" s="183"/>
      <c r="MV14" s="183"/>
      <c r="MW14" s="183"/>
      <c r="MX14" s="88"/>
      <c r="MY14" s="88"/>
      <c r="MZ14" s="88"/>
      <c r="NA14" s="89"/>
      <c r="NB14" s="87"/>
      <c r="NC14" s="88"/>
      <c r="ND14" s="88"/>
      <c r="NE14" s="88"/>
      <c r="NF14" s="183" t="s">
        <v>34</v>
      </c>
      <c r="NG14" s="183"/>
      <c r="NH14" s="183"/>
      <c r="NI14" s="183"/>
      <c r="NJ14" s="88"/>
      <c r="NK14" s="88"/>
      <c r="NL14" s="184" t="s">
        <v>23</v>
      </c>
      <c r="NM14" s="184"/>
      <c r="NN14" s="184"/>
      <c r="NO14" s="184"/>
      <c r="NP14" s="112"/>
      <c r="NQ14" s="112"/>
      <c r="NR14" s="183" t="s">
        <v>35</v>
      </c>
      <c r="NS14" s="183"/>
      <c r="NT14" s="183"/>
      <c r="NU14" s="183"/>
      <c r="NV14" s="88"/>
      <c r="NW14" s="88"/>
      <c r="NX14" s="184" t="s">
        <v>24</v>
      </c>
      <c r="NY14" s="184"/>
      <c r="NZ14" s="184"/>
      <c r="OA14" s="184"/>
      <c r="OB14" s="112"/>
      <c r="OC14" s="112"/>
      <c r="OD14" s="183" t="s">
        <v>36</v>
      </c>
      <c r="OE14" s="183"/>
      <c r="OF14" s="183"/>
      <c r="OG14" s="183"/>
      <c r="OH14" s="88"/>
      <c r="OI14" s="88"/>
      <c r="OJ14" s="184" t="s">
        <v>25</v>
      </c>
      <c r="OK14" s="184"/>
      <c r="OL14" s="184"/>
      <c r="OM14" s="184"/>
      <c r="ON14" s="112"/>
      <c r="OO14" s="112"/>
      <c r="OP14" s="183" t="s">
        <v>37</v>
      </c>
      <c r="OQ14" s="183"/>
      <c r="OR14" s="183"/>
      <c r="OS14" s="183"/>
      <c r="OT14" s="88"/>
      <c r="OU14" s="88"/>
      <c r="OV14" s="184" t="s">
        <v>26</v>
      </c>
      <c r="OW14" s="184"/>
      <c r="OX14" s="184"/>
      <c r="OY14" s="184"/>
      <c r="OZ14" s="112"/>
      <c r="PA14" s="112"/>
      <c r="PB14" s="183" t="s">
        <v>38</v>
      </c>
      <c r="PC14" s="183"/>
      <c r="PD14" s="183"/>
      <c r="PE14" s="183"/>
      <c r="PF14" s="88"/>
      <c r="PG14" s="88"/>
      <c r="PH14" s="88"/>
      <c r="PI14" s="89"/>
      <c r="PJ14" s="87"/>
      <c r="PK14" s="88"/>
      <c r="PL14" s="88"/>
      <c r="PM14" s="88"/>
      <c r="PN14" s="183" t="s">
        <v>34</v>
      </c>
      <c r="PO14" s="183"/>
      <c r="PP14" s="183"/>
      <c r="PQ14" s="183"/>
      <c r="PR14" s="88"/>
      <c r="PS14" s="88"/>
      <c r="PT14" s="184" t="s">
        <v>23</v>
      </c>
      <c r="PU14" s="184"/>
      <c r="PV14" s="184"/>
      <c r="PW14" s="184"/>
      <c r="PX14" s="112"/>
      <c r="PY14" s="112"/>
      <c r="PZ14" s="183" t="s">
        <v>35</v>
      </c>
      <c r="QA14" s="183"/>
      <c r="QB14" s="183"/>
      <c r="QC14" s="183"/>
      <c r="QD14" s="88"/>
      <c r="QE14" s="88"/>
      <c r="QF14" s="184" t="s">
        <v>24</v>
      </c>
      <c r="QG14" s="184"/>
      <c r="QH14" s="184"/>
      <c r="QI14" s="184"/>
      <c r="QJ14" s="112"/>
      <c r="QK14" s="112"/>
      <c r="QL14" s="183" t="s">
        <v>36</v>
      </c>
      <c r="QM14" s="183"/>
      <c r="QN14" s="183"/>
      <c r="QO14" s="183"/>
      <c r="QP14" s="88"/>
      <c r="QQ14" s="88"/>
      <c r="QR14" s="184" t="s">
        <v>25</v>
      </c>
      <c r="QS14" s="184"/>
      <c r="QT14" s="184"/>
      <c r="QU14" s="184"/>
      <c r="QV14" s="112"/>
      <c r="QW14" s="112"/>
      <c r="QX14" s="183" t="s">
        <v>37</v>
      </c>
      <c r="QY14" s="183"/>
      <c r="QZ14" s="183"/>
      <c r="RA14" s="183"/>
      <c r="RB14" s="88"/>
      <c r="RC14" s="88"/>
      <c r="RD14" s="184" t="s">
        <v>26</v>
      </c>
      <c r="RE14" s="184"/>
      <c r="RF14" s="184"/>
      <c r="RG14" s="184"/>
      <c r="RH14" s="112"/>
      <c r="RI14" s="112"/>
      <c r="RJ14" s="183" t="s">
        <v>38</v>
      </c>
      <c r="RK14" s="183"/>
      <c r="RL14" s="183"/>
      <c r="RM14" s="183"/>
      <c r="RN14" s="88"/>
      <c r="RO14" s="88"/>
      <c r="RP14" s="88"/>
      <c r="RQ14" s="89"/>
      <c r="RR14" s="87"/>
      <c r="RS14" s="88"/>
      <c r="RT14" s="88"/>
      <c r="RU14" s="88"/>
      <c r="RV14" s="183" t="s">
        <v>34</v>
      </c>
      <c r="RW14" s="183"/>
      <c r="RX14" s="183"/>
      <c r="RY14" s="183"/>
      <c r="RZ14" s="88"/>
      <c r="SA14" s="88"/>
      <c r="SB14" s="184" t="s">
        <v>23</v>
      </c>
      <c r="SC14" s="184"/>
      <c r="SD14" s="184"/>
      <c r="SE14" s="184"/>
      <c r="SF14" s="112"/>
      <c r="SG14" s="112"/>
      <c r="SH14" s="183" t="s">
        <v>35</v>
      </c>
      <c r="SI14" s="183"/>
      <c r="SJ14" s="183"/>
      <c r="SK14" s="183"/>
      <c r="SL14" s="88"/>
      <c r="SM14" s="88"/>
      <c r="SN14" s="184" t="s">
        <v>24</v>
      </c>
      <c r="SO14" s="184"/>
      <c r="SP14" s="184"/>
      <c r="SQ14" s="184"/>
      <c r="SR14" s="112"/>
      <c r="SS14" s="112"/>
      <c r="ST14" s="183" t="s">
        <v>36</v>
      </c>
      <c r="SU14" s="183"/>
      <c r="SV14" s="183"/>
      <c r="SW14" s="183"/>
      <c r="SX14" s="88"/>
      <c r="SY14" s="88"/>
      <c r="SZ14" s="184" t="s">
        <v>25</v>
      </c>
      <c r="TA14" s="184"/>
      <c r="TB14" s="184"/>
      <c r="TC14" s="184"/>
      <c r="TD14" s="112"/>
      <c r="TE14" s="112"/>
      <c r="TF14" s="183" t="s">
        <v>37</v>
      </c>
      <c r="TG14" s="183"/>
      <c r="TH14" s="183"/>
      <c r="TI14" s="183"/>
      <c r="TJ14" s="88"/>
      <c r="TK14" s="88"/>
      <c r="TL14" s="184" t="s">
        <v>26</v>
      </c>
      <c r="TM14" s="184"/>
      <c r="TN14" s="184"/>
      <c r="TO14" s="184"/>
      <c r="TP14" s="112"/>
      <c r="TQ14" s="112"/>
      <c r="TR14" s="183" t="s">
        <v>38</v>
      </c>
      <c r="TS14" s="183"/>
      <c r="TT14" s="183"/>
      <c r="TU14" s="183"/>
      <c r="TV14" s="88"/>
      <c r="TW14" s="88"/>
      <c r="TX14" s="88"/>
      <c r="TY14" s="89"/>
      <c r="TZ14" s="87"/>
      <c r="UA14" s="88"/>
      <c r="UB14" s="88"/>
      <c r="UC14" s="88"/>
      <c r="UD14" s="183" t="s">
        <v>34</v>
      </c>
      <c r="UE14" s="183"/>
      <c r="UF14" s="183"/>
      <c r="UG14" s="183"/>
      <c r="UH14" s="88"/>
      <c r="UI14" s="88"/>
      <c r="UJ14" s="184" t="s">
        <v>23</v>
      </c>
      <c r="UK14" s="184"/>
      <c r="UL14" s="184"/>
      <c r="UM14" s="184"/>
      <c r="UN14" s="112"/>
      <c r="UO14" s="112"/>
      <c r="UP14" s="183" t="s">
        <v>35</v>
      </c>
      <c r="UQ14" s="183"/>
      <c r="UR14" s="183"/>
      <c r="US14" s="183"/>
      <c r="UT14" s="88"/>
      <c r="UU14" s="88"/>
      <c r="UV14" s="184" t="s">
        <v>24</v>
      </c>
      <c r="UW14" s="184"/>
      <c r="UX14" s="184"/>
      <c r="UY14" s="184"/>
      <c r="UZ14" s="112"/>
      <c r="VA14" s="112"/>
      <c r="VB14" s="183" t="s">
        <v>36</v>
      </c>
      <c r="VC14" s="183"/>
      <c r="VD14" s="183"/>
      <c r="VE14" s="183"/>
      <c r="VF14" s="88"/>
      <c r="VG14" s="88"/>
      <c r="VH14" s="184" t="s">
        <v>25</v>
      </c>
      <c r="VI14" s="184"/>
      <c r="VJ14" s="184"/>
      <c r="VK14" s="184"/>
      <c r="VL14" s="112"/>
      <c r="VM14" s="112"/>
      <c r="VN14" s="183" t="s">
        <v>37</v>
      </c>
      <c r="VO14" s="183"/>
      <c r="VP14" s="183"/>
      <c r="VQ14" s="183"/>
      <c r="VR14" s="88"/>
      <c r="VS14" s="88"/>
      <c r="VT14" s="184" t="s">
        <v>26</v>
      </c>
      <c r="VU14" s="184"/>
      <c r="VV14" s="184"/>
      <c r="VW14" s="184"/>
      <c r="VX14" s="112"/>
      <c r="VY14" s="112"/>
      <c r="VZ14" s="183" t="s">
        <v>38</v>
      </c>
      <c r="WA14" s="183"/>
      <c r="WB14" s="183"/>
      <c r="WC14" s="183"/>
      <c r="WD14" s="88"/>
      <c r="WE14" s="88"/>
      <c r="WF14" s="88"/>
      <c r="WG14" s="89"/>
      <c r="WH14" s="87"/>
      <c r="WI14" s="88"/>
      <c r="WJ14" s="88"/>
      <c r="WK14" s="88"/>
      <c r="WL14" s="183" t="s">
        <v>34</v>
      </c>
      <c r="WM14" s="183"/>
      <c r="WN14" s="183"/>
      <c r="WO14" s="183"/>
      <c r="WP14" s="88"/>
      <c r="WQ14" s="88"/>
      <c r="WR14" s="184" t="s">
        <v>23</v>
      </c>
      <c r="WS14" s="184"/>
      <c r="WT14" s="184"/>
      <c r="WU14" s="184"/>
      <c r="WV14" s="112"/>
      <c r="WW14" s="112"/>
      <c r="WX14" s="183" t="s">
        <v>35</v>
      </c>
      <c r="WY14" s="183"/>
      <c r="WZ14" s="183"/>
      <c r="XA14" s="183"/>
      <c r="XB14" s="88"/>
      <c r="XC14" s="88"/>
      <c r="XD14" s="184" t="s">
        <v>24</v>
      </c>
      <c r="XE14" s="184"/>
      <c r="XF14" s="184"/>
      <c r="XG14" s="184"/>
      <c r="XH14" s="112"/>
      <c r="XI14" s="112"/>
      <c r="XJ14" s="183" t="s">
        <v>36</v>
      </c>
      <c r="XK14" s="183"/>
      <c r="XL14" s="183"/>
      <c r="XM14" s="183"/>
      <c r="XN14" s="88"/>
      <c r="XO14" s="88"/>
      <c r="XP14" s="184" t="s">
        <v>25</v>
      </c>
      <c r="XQ14" s="184"/>
      <c r="XR14" s="184"/>
      <c r="XS14" s="184"/>
      <c r="XT14" s="112"/>
      <c r="XU14" s="112"/>
      <c r="XV14" s="183" t="s">
        <v>37</v>
      </c>
      <c r="XW14" s="183"/>
      <c r="XX14" s="183"/>
      <c r="XY14" s="183"/>
      <c r="XZ14" s="88"/>
      <c r="YA14" s="88"/>
      <c r="YB14" s="184" t="s">
        <v>26</v>
      </c>
      <c r="YC14" s="184"/>
      <c r="YD14" s="184"/>
      <c r="YE14" s="184"/>
      <c r="YF14" s="112"/>
      <c r="YG14" s="112"/>
      <c r="YH14" s="183" t="s">
        <v>38</v>
      </c>
      <c r="YI14" s="183"/>
      <c r="YJ14" s="183"/>
      <c r="YK14" s="183"/>
      <c r="YL14" s="88"/>
      <c r="YM14" s="88"/>
      <c r="YN14" s="88"/>
      <c r="YO14" s="89"/>
      <c r="YP14" s="87"/>
      <c r="YQ14" s="88"/>
      <c r="YR14" s="88"/>
      <c r="YS14" s="88"/>
      <c r="YT14" s="183" t="s">
        <v>34</v>
      </c>
      <c r="YU14" s="183"/>
      <c r="YV14" s="183"/>
      <c r="YW14" s="183"/>
      <c r="YX14" s="88"/>
      <c r="YY14" s="88"/>
      <c r="YZ14" s="184" t="s">
        <v>23</v>
      </c>
      <c r="ZA14" s="184"/>
      <c r="ZB14" s="184"/>
      <c r="ZC14" s="184"/>
      <c r="ZD14" s="112"/>
      <c r="ZE14" s="112"/>
      <c r="ZF14" s="183" t="s">
        <v>35</v>
      </c>
      <c r="ZG14" s="183"/>
      <c r="ZH14" s="183"/>
      <c r="ZI14" s="183"/>
      <c r="ZJ14" s="88"/>
      <c r="ZK14" s="88"/>
      <c r="ZL14" s="184" t="s">
        <v>24</v>
      </c>
      <c r="ZM14" s="184"/>
      <c r="ZN14" s="184"/>
      <c r="ZO14" s="184"/>
      <c r="ZP14" s="112"/>
      <c r="ZQ14" s="112"/>
      <c r="ZR14" s="183" t="s">
        <v>36</v>
      </c>
      <c r="ZS14" s="183"/>
      <c r="ZT14" s="183"/>
      <c r="ZU14" s="183"/>
      <c r="ZV14" s="88"/>
      <c r="ZW14" s="88"/>
      <c r="ZX14" s="184" t="s">
        <v>25</v>
      </c>
      <c r="ZY14" s="184"/>
      <c r="ZZ14" s="184"/>
      <c r="AAA14" s="184"/>
      <c r="AAB14" s="112"/>
      <c r="AAC14" s="112"/>
      <c r="AAD14" s="183" t="s">
        <v>37</v>
      </c>
      <c r="AAE14" s="183"/>
      <c r="AAF14" s="183"/>
      <c r="AAG14" s="183"/>
      <c r="AAH14" s="88"/>
      <c r="AAI14" s="88"/>
      <c r="AAJ14" s="184" t="s">
        <v>26</v>
      </c>
      <c r="AAK14" s="184"/>
      <c r="AAL14" s="184"/>
      <c r="AAM14" s="184"/>
      <c r="AAN14" s="112"/>
      <c r="AAO14" s="112"/>
      <c r="AAP14" s="183" t="s">
        <v>38</v>
      </c>
      <c r="AAQ14" s="183"/>
      <c r="AAR14" s="183"/>
      <c r="AAS14" s="183"/>
      <c r="AAT14" s="88"/>
      <c r="AAU14" s="88"/>
      <c r="AAV14" s="88"/>
      <c r="AAW14" s="89"/>
      <c r="AAX14" s="87"/>
      <c r="AAY14" s="88"/>
      <c r="AAZ14" s="88"/>
      <c r="ABA14" s="88"/>
      <c r="ABB14" s="183" t="s">
        <v>34</v>
      </c>
      <c r="ABC14" s="183"/>
      <c r="ABD14" s="183"/>
      <c r="ABE14" s="183"/>
      <c r="ABF14" s="88"/>
      <c r="ABG14" s="88"/>
      <c r="ABH14" s="184" t="s">
        <v>23</v>
      </c>
      <c r="ABI14" s="184"/>
      <c r="ABJ14" s="184"/>
      <c r="ABK14" s="184"/>
      <c r="ABL14" s="112"/>
      <c r="ABM14" s="112"/>
      <c r="ABN14" s="183" t="s">
        <v>35</v>
      </c>
      <c r="ABO14" s="183"/>
      <c r="ABP14" s="183"/>
      <c r="ABQ14" s="183"/>
      <c r="ABR14" s="88"/>
      <c r="ABS14" s="88"/>
      <c r="ABT14" s="184" t="s">
        <v>24</v>
      </c>
      <c r="ABU14" s="184"/>
      <c r="ABV14" s="184"/>
      <c r="ABW14" s="184"/>
      <c r="ABX14" s="112"/>
      <c r="ABY14" s="112"/>
      <c r="ABZ14" s="183" t="s">
        <v>36</v>
      </c>
      <c r="ACA14" s="183"/>
      <c r="ACB14" s="183"/>
      <c r="ACC14" s="183"/>
      <c r="ACD14" s="88"/>
      <c r="ACE14" s="88"/>
      <c r="ACF14" s="184" t="s">
        <v>25</v>
      </c>
      <c r="ACG14" s="184"/>
      <c r="ACH14" s="184"/>
      <c r="ACI14" s="184"/>
      <c r="ACJ14" s="112"/>
      <c r="ACK14" s="112"/>
      <c r="ACL14" s="183" t="s">
        <v>37</v>
      </c>
      <c r="ACM14" s="183"/>
      <c r="ACN14" s="183"/>
      <c r="ACO14" s="183"/>
      <c r="ACP14" s="88"/>
      <c r="ACQ14" s="88"/>
      <c r="ACR14" s="184" t="s">
        <v>26</v>
      </c>
      <c r="ACS14" s="184"/>
      <c r="ACT14" s="184"/>
      <c r="ACU14" s="184"/>
      <c r="ACV14" s="112"/>
      <c r="ACW14" s="112"/>
      <c r="ACX14" s="183" t="s">
        <v>38</v>
      </c>
      <c r="ACY14" s="183"/>
      <c r="ACZ14" s="183"/>
      <c r="ADA14" s="183"/>
      <c r="ADB14" s="88"/>
      <c r="ADC14" s="88"/>
      <c r="ADD14" s="88"/>
      <c r="ADE14" s="89"/>
      <c r="ADF14" s="87"/>
      <c r="ADG14" s="88"/>
      <c r="ADH14" s="88"/>
      <c r="ADI14" s="88"/>
      <c r="ADJ14" s="183" t="s">
        <v>34</v>
      </c>
      <c r="ADK14" s="183"/>
      <c r="ADL14" s="183"/>
      <c r="ADM14" s="183"/>
      <c r="ADN14" s="88"/>
      <c r="ADO14" s="88"/>
      <c r="ADP14" s="184" t="s">
        <v>23</v>
      </c>
      <c r="ADQ14" s="184"/>
      <c r="ADR14" s="184"/>
      <c r="ADS14" s="184"/>
      <c r="ADT14" s="112"/>
      <c r="ADU14" s="112"/>
      <c r="ADV14" s="183" t="s">
        <v>35</v>
      </c>
      <c r="ADW14" s="183"/>
      <c r="ADX14" s="183"/>
      <c r="ADY14" s="183"/>
      <c r="ADZ14" s="88"/>
      <c r="AEA14" s="88"/>
      <c r="AEB14" s="184" t="s">
        <v>24</v>
      </c>
      <c r="AEC14" s="184"/>
      <c r="AED14" s="184"/>
      <c r="AEE14" s="184"/>
      <c r="AEF14" s="112"/>
      <c r="AEG14" s="112"/>
      <c r="AEH14" s="183" t="s">
        <v>36</v>
      </c>
      <c r="AEI14" s="183"/>
      <c r="AEJ14" s="183"/>
      <c r="AEK14" s="183"/>
      <c r="AEL14" s="88"/>
      <c r="AEM14" s="88"/>
      <c r="AEN14" s="184" t="s">
        <v>25</v>
      </c>
      <c r="AEO14" s="184"/>
      <c r="AEP14" s="184"/>
      <c r="AEQ14" s="184"/>
      <c r="AER14" s="112"/>
      <c r="AES14" s="112"/>
      <c r="AET14" s="183" t="s">
        <v>37</v>
      </c>
      <c r="AEU14" s="183"/>
      <c r="AEV14" s="183"/>
      <c r="AEW14" s="183"/>
      <c r="AEX14" s="88"/>
      <c r="AEY14" s="88"/>
      <c r="AEZ14" s="184" t="s">
        <v>26</v>
      </c>
      <c r="AFA14" s="184"/>
      <c r="AFB14" s="184"/>
      <c r="AFC14" s="184"/>
      <c r="AFD14" s="112"/>
      <c r="AFE14" s="112"/>
      <c r="AFF14" s="183" t="s">
        <v>38</v>
      </c>
      <c r="AFG14" s="183"/>
      <c r="AFH14" s="183"/>
      <c r="AFI14" s="183"/>
      <c r="AFJ14" s="88"/>
      <c r="AFK14" s="88"/>
      <c r="AFL14" s="88"/>
      <c r="AFM14" s="89"/>
      <c r="AFN14" s="87"/>
      <c r="AFO14" s="88"/>
      <c r="AFP14" s="88"/>
      <c r="AFQ14" s="88"/>
      <c r="AFR14" s="183" t="s">
        <v>34</v>
      </c>
      <c r="AFS14" s="183"/>
      <c r="AFT14" s="183"/>
      <c r="AFU14" s="183"/>
      <c r="AFV14" s="88"/>
      <c r="AFW14" s="88"/>
      <c r="AFX14" s="184" t="s">
        <v>23</v>
      </c>
      <c r="AFY14" s="184"/>
      <c r="AFZ14" s="184"/>
      <c r="AGA14" s="184"/>
      <c r="AGB14" s="112"/>
      <c r="AGC14" s="112"/>
      <c r="AGD14" s="183" t="s">
        <v>35</v>
      </c>
      <c r="AGE14" s="183"/>
      <c r="AGF14" s="183"/>
      <c r="AGG14" s="183"/>
      <c r="AGH14" s="88"/>
      <c r="AGI14" s="88"/>
      <c r="AGJ14" s="184" t="s">
        <v>24</v>
      </c>
      <c r="AGK14" s="184"/>
      <c r="AGL14" s="184"/>
      <c r="AGM14" s="184"/>
      <c r="AGN14" s="112"/>
      <c r="AGO14" s="112"/>
      <c r="AGP14" s="183" t="s">
        <v>36</v>
      </c>
      <c r="AGQ14" s="183"/>
      <c r="AGR14" s="183"/>
      <c r="AGS14" s="183"/>
      <c r="AGT14" s="88"/>
      <c r="AGU14" s="88"/>
      <c r="AGV14" s="184" t="s">
        <v>25</v>
      </c>
      <c r="AGW14" s="184"/>
      <c r="AGX14" s="184"/>
      <c r="AGY14" s="184"/>
      <c r="AGZ14" s="112"/>
      <c r="AHA14" s="112"/>
      <c r="AHB14" s="183" t="s">
        <v>37</v>
      </c>
      <c r="AHC14" s="183"/>
      <c r="AHD14" s="183"/>
      <c r="AHE14" s="183"/>
      <c r="AHF14" s="88"/>
      <c r="AHG14" s="88"/>
      <c r="AHH14" s="184" t="s">
        <v>26</v>
      </c>
      <c r="AHI14" s="184"/>
      <c r="AHJ14" s="184"/>
      <c r="AHK14" s="184"/>
      <c r="AHL14" s="112"/>
      <c r="AHM14" s="112"/>
      <c r="AHN14" s="183" t="s">
        <v>38</v>
      </c>
      <c r="AHO14" s="183"/>
      <c r="AHP14" s="183"/>
      <c r="AHQ14" s="183"/>
      <c r="AHR14" s="88"/>
      <c r="AHS14" s="88"/>
      <c r="AHT14" s="88"/>
      <c r="AHU14" s="89"/>
      <c r="AHV14" s="87"/>
      <c r="AHW14" s="88"/>
      <c r="AHX14" s="88"/>
      <c r="AHY14" s="88"/>
      <c r="AHZ14" s="183" t="s">
        <v>34</v>
      </c>
      <c r="AIA14" s="183"/>
      <c r="AIB14" s="183"/>
      <c r="AIC14" s="183"/>
      <c r="AID14" s="88"/>
      <c r="AIE14" s="88"/>
      <c r="AIF14" s="184" t="s">
        <v>23</v>
      </c>
      <c r="AIG14" s="184"/>
      <c r="AIH14" s="184"/>
      <c r="AII14" s="184"/>
      <c r="AIJ14" s="112"/>
      <c r="AIK14" s="112"/>
      <c r="AIL14" s="183" t="s">
        <v>35</v>
      </c>
      <c r="AIM14" s="183"/>
      <c r="AIN14" s="183"/>
      <c r="AIO14" s="183"/>
      <c r="AIP14" s="88"/>
      <c r="AIQ14" s="88"/>
      <c r="AIR14" s="184" t="s">
        <v>24</v>
      </c>
      <c r="AIS14" s="184"/>
      <c r="AIT14" s="184"/>
      <c r="AIU14" s="184"/>
      <c r="AIV14" s="112"/>
      <c r="AIW14" s="112"/>
      <c r="AIX14" s="183" t="s">
        <v>36</v>
      </c>
      <c r="AIY14" s="183"/>
      <c r="AIZ14" s="183"/>
      <c r="AJA14" s="183"/>
      <c r="AJB14" s="88"/>
      <c r="AJC14" s="88"/>
      <c r="AJD14" s="184" t="s">
        <v>25</v>
      </c>
      <c r="AJE14" s="184"/>
      <c r="AJF14" s="184"/>
      <c r="AJG14" s="184"/>
      <c r="AJH14" s="112"/>
      <c r="AJI14" s="112"/>
      <c r="AJJ14" s="183" t="s">
        <v>37</v>
      </c>
      <c r="AJK14" s="183"/>
      <c r="AJL14" s="183"/>
      <c r="AJM14" s="183"/>
      <c r="AJN14" s="88"/>
      <c r="AJO14" s="88"/>
      <c r="AJP14" s="184" t="s">
        <v>26</v>
      </c>
      <c r="AJQ14" s="184"/>
      <c r="AJR14" s="184"/>
      <c r="AJS14" s="184"/>
      <c r="AJT14" s="112"/>
      <c r="AJU14" s="112"/>
      <c r="AJV14" s="183" t="s">
        <v>38</v>
      </c>
      <c r="AJW14" s="183"/>
      <c r="AJX14" s="183"/>
      <c r="AJY14" s="183"/>
      <c r="AJZ14" s="88"/>
      <c r="AKA14" s="88"/>
      <c r="AKB14" s="88"/>
      <c r="AKC14" s="89"/>
      <c r="AKD14" s="87"/>
      <c r="AKE14" s="88"/>
      <c r="AKF14" s="88"/>
      <c r="AKG14" s="88"/>
      <c r="AKH14" s="183" t="s">
        <v>34</v>
      </c>
      <c r="AKI14" s="183"/>
      <c r="AKJ14" s="183"/>
      <c r="AKK14" s="183"/>
      <c r="AKL14" s="88"/>
      <c r="AKM14" s="88"/>
      <c r="AKN14" s="184" t="s">
        <v>23</v>
      </c>
      <c r="AKO14" s="184"/>
      <c r="AKP14" s="184"/>
      <c r="AKQ14" s="184"/>
      <c r="AKR14" s="112"/>
      <c r="AKS14" s="112"/>
      <c r="AKT14" s="183" t="s">
        <v>35</v>
      </c>
      <c r="AKU14" s="183"/>
      <c r="AKV14" s="183"/>
      <c r="AKW14" s="183"/>
      <c r="AKX14" s="88"/>
      <c r="AKY14" s="88"/>
      <c r="AKZ14" s="184" t="s">
        <v>24</v>
      </c>
      <c r="ALA14" s="184"/>
      <c r="ALB14" s="184"/>
      <c r="ALC14" s="184"/>
      <c r="ALD14" s="112"/>
      <c r="ALE14" s="112"/>
      <c r="ALF14" s="183" t="s">
        <v>36</v>
      </c>
      <c r="ALG14" s="183"/>
      <c r="ALH14" s="183"/>
      <c r="ALI14" s="183"/>
      <c r="ALJ14" s="88"/>
      <c r="ALK14" s="88"/>
      <c r="ALL14" s="184" t="s">
        <v>25</v>
      </c>
      <c r="ALM14" s="184"/>
      <c r="ALN14" s="184"/>
      <c r="ALO14" s="184"/>
      <c r="ALP14" s="112"/>
      <c r="ALQ14" s="112"/>
      <c r="ALR14" s="183" t="s">
        <v>37</v>
      </c>
      <c r="ALS14" s="183"/>
      <c r="ALT14" s="183"/>
      <c r="ALU14" s="183"/>
      <c r="ALV14" s="88"/>
      <c r="ALW14" s="88"/>
      <c r="ALX14" s="184" t="s">
        <v>26</v>
      </c>
      <c r="ALY14" s="184"/>
      <c r="ALZ14" s="184"/>
      <c r="AMA14" s="184"/>
      <c r="AMB14" s="112"/>
      <c r="AMC14" s="112"/>
      <c r="AMD14" s="183" t="s">
        <v>38</v>
      </c>
      <c r="AME14" s="183"/>
      <c r="AMF14" s="183"/>
      <c r="AMG14" s="183"/>
      <c r="AMH14" s="88"/>
      <c r="AMI14" s="88"/>
      <c r="AMJ14" s="88"/>
      <c r="AMK14" s="89"/>
      <c r="AML14" s="87"/>
      <c r="AMM14" s="88"/>
      <c r="AMN14" s="88"/>
      <c r="AMO14" s="88"/>
      <c r="AMP14" s="183" t="s">
        <v>34</v>
      </c>
      <c r="AMQ14" s="183"/>
      <c r="AMR14" s="183"/>
      <c r="AMS14" s="183"/>
      <c r="AMT14" s="88"/>
      <c r="AMU14" s="88"/>
      <c r="AMV14" s="184" t="s">
        <v>23</v>
      </c>
      <c r="AMW14" s="184"/>
      <c r="AMX14" s="184"/>
      <c r="AMY14" s="184"/>
      <c r="AMZ14" s="112"/>
      <c r="ANA14" s="112"/>
      <c r="ANB14" s="183" t="s">
        <v>35</v>
      </c>
      <c r="ANC14" s="183"/>
      <c r="AND14" s="183"/>
      <c r="ANE14" s="183"/>
      <c r="ANF14" s="88"/>
      <c r="ANG14" s="88"/>
      <c r="ANH14" s="184" t="s">
        <v>24</v>
      </c>
      <c r="ANI14" s="184"/>
      <c r="ANJ14" s="184"/>
      <c r="ANK14" s="184"/>
      <c r="ANL14" s="112"/>
      <c r="ANM14" s="112"/>
      <c r="ANN14" s="183" t="s">
        <v>36</v>
      </c>
      <c r="ANO14" s="183"/>
      <c r="ANP14" s="183"/>
      <c r="ANQ14" s="183"/>
      <c r="ANR14" s="88"/>
      <c r="ANS14" s="88"/>
      <c r="ANT14" s="184" t="s">
        <v>25</v>
      </c>
      <c r="ANU14" s="184"/>
      <c r="ANV14" s="184"/>
      <c r="ANW14" s="184"/>
      <c r="ANX14" s="112"/>
      <c r="ANY14" s="112"/>
      <c r="ANZ14" s="183" t="s">
        <v>37</v>
      </c>
      <c r="AOA14" s="183"/>
      <c r="AOB14" s="183"/>
      <c r="AOC14" s="183"/>
      <c r="AOD14" s="88"/>
      <c r="AOE14" s="88"/>
      <c r="AOF14" s="184" t="s">
        <v>26</v>
      </c>
      <c r="AOG14" s="184"/>
      <c r="AOH14" s="184"/>
      <c r="AOI14" s="184"/>
      <c r="AOJ14" s="112"/>
      <c r="AOK14" s="112"/>
      <c r="AOL14" s="183" t="s">
        <v>38</v>
      </c>
      <c r="AOM14" s="183"/>
      <c r="AON14" s="183"/>
      <c r="AOO14" s="183"/>
      <c r="AOP14" s="88"/>
      <c r="AOQ14" s="88"/>
      <c r="AOR14" s="88"/>
      <c r="AOS14" s="89"/>
      <c r="AOT14" s="87"/>
      <c r="AOU14" s="88"/>
      <c r="AOV14" s="88"/>
      <c r="AOW14" s="88"/>
      <c r="AOX14" s="183" t="s">
        <v>34</v>
      </c>
      <c r="AOY14" s="183"/>
      <c r="AOZ14" s="183"/>
      <c r="APA14" s="183"/>
      <c r="APB14" s="88"/>
      <c r="APC14" s="88"/>
      <c r="APD14" s="184" t="s">
        <v>23</v>
      </c>
      <c r="APE14" s="184"/>
      <c r="APF14" s="184"/>
      <c r="APG14" s="184"/>
      <c r="APH14" s="112"/>
      <c r="API14" s="112"/>
      <c r="APJ14" s="183" t="s">
        <v>35</v>
      </c>
      <c r="APK14" s="183"/>
      <c r="APL14" s="183"/>
      <c r="APM14" s="183"/>
      <c r="APN14" s="88"/>
      <c r="APO14" s="88"/>
      <c r="APP14" s="184" t="s">
        <v>24</v>
      </c>
      <c r="APQ14" s="184"/>
      <c r="APR14" s="184"/>
      <c r="APS14" s="184"/>
      <c r="APT14" s="112"/>
      <c r="APU14" s="112"/>
      <c r="APV14" s="183" t="s">
        <v>36</v>
      </c>
      <c r="APW14" s="183"/>
      <c r="APX14" s="183"/>
      <c r="APY14" s="183"/>
      <c r="APZ14" s="88"/>
      <c r="AQA14" s="88"/>
      <c r="AQB14" s="184" t="s">
        <v>25</v>
      </c>
      <c r="AQC14" s="184"/>
      <c r="AQD14" s="184"/>
      <c r="AQE14" s="184"/>
      <c r="AQF14" s="112"/>
      <c r="AQG14" s="112"/>
      <c r="AQH14" s="183" t="s">
        <v>37</v>
      </c>
      <c r="AQI14" s="183"/>
      <c r="AQJ14" s="183"/>
      <c r="AQK14" s="183"/>
      <c r="AQL14" s="88"/>
      <c r="AQM14" s="88"/>
      <c r="AQN14" s="184" t="s">
        <v>26</v>
      </c>
      <c r="AQO14" s="184"/>
      <c r="AQP14" s="184"/>
      <c r="AQQ14" s="184"/>
      <c r="AQR14" s="112"/>
      <c r="AQS14" s="112"/>
      <c r="AQT14" s="183" t="s">
        <v>38</v>
      </c>
      <c r="AQU14" s="183"/>
      <c r="AQV14" s="183"/>
      <c r="AQW14" s="183"/>
      <c r="AQX14" s="88"/>
      <c r="AQY14" s="88"/>
      <c r="AQZ14" s="88"/>
      <c r="ARA14" s="89"/>
      <c r="ARB14" s="87"/>
      <c r="ARC14" s="88"/>
      <c r="ARD14" s="88"/>
      <c r="ARE14" s="88"/>
      <c r="ARF14" s="183" t="s">
        <v>34</v>
      </c>
      <c r="ARG14" s="183"/>
      <c r="ARH14" s="183"/>
      <c r="ARI14" s="183"/>
      <c r="ARJ14" s="88"/>
      <c r="ARK14" s="88"/>
      <c r="ARL14" s="184" t="s">
        <v>23</v>
      </c>
      <c r="ARM14" s="184"/>
      <c r="ARN14" s="184"/>
      <c r="ARO14" s="184"/>
      <c r="ARP14" s="112"/>
      <c r="ARQ14" s="112"/>
      <c r="ARR14" s="183" t="s">
        <v>35</v>
      </c>
      <c r="ARS14" s="183"/>
      <c r="ART14" s="183"/>
      <c r="ARU14" s="183"/>
      <c r="ARV14" s="88"/>
      <c r="ARW14" s="88"/>
      <c r="ARX14" s="184" t="s">
        <v>24</v>
      </c>
      <c r="ARY14" s="184"/>
      <c r="ARZ14" s="184"/>
      <c r="ASA14" s="184"/>
      <c r="ASB14" s="112"/>
      <c r="ASC14" s="112"/>
      <c r="ASD14" s="183" t="s">
        <v>36</v>
      </c>
      <c r="ASE14" s="183"/>
      <c r="ASF14" s="183"/>
      <c r="ASG14" s="183"/>
      <c r="ASH14" s="88"/>
      <c r="ASI14" s="88"/>
      <c r="ASJ14" s="184" t="s">
        <v>25</v>
      </c>
      <c r="ASK14" s="184"/>
      <c r="ASL14" s="184"/>
      <c r="ASM14" s="184"/>
      <c r="ASN14" s="112"/>
      <c r="ASO14" s="112"/>
      <c r="ASP14" s="183" t="s">
        <v>37</v>
      </c>
      <c r="ASQ14" s="183"/>
      <c r="ASR14" s="183"/>
      <c r="ASS14" s="183"/>
      <c r="AST14" s="88"/>
      <c r="ASU14" s="88"/>
      <c r="ASV14" s="184" t="s">
        <v>26</v>
      </c>
      <c r="ASW14" s="184"/>
      <c r="ASX14" s="184"/>
      <c r="ASY14" s="184"/>
      <c r="ASZ14" s="112"/>
      <c r="ATA14" s="112"/>
      <c r="ATB14" s="183" t="s">
        <v>38</v>
      </c>
      <c r="ATC14" s="183"/>
      <c r="ATD14" s="183"/>
      <c r="ATE14" s="183"/>
      <c r="ATF14" s="88"/>
      <c r="ATG14" s="88"/>
      <c r="ATH14" s="88"/>
      <c r="ATI14" s="89"/>
      <c r="ATJ14" s="87"/>
      <c r="ATK14" s="88"/>
      <c r="ATL14" s="88"/>
      <c r="ATM14" s="88"/>
      <c r="ATN14" s="183" t="s">
        <v>34</v>
      </c>
      <c r="ATO14" s="183"/>
      <c r="ATP14" s="183"/>
      <c r="ATQ14" s="183"/>
      <c r="ATR14" s="88"/>
      <c r="ATS14" s="88"/>
      <c r="ATT14" s="184" t="s">
        <v>23</v>
      </c>
      <c r="ATU14" s="184"/>
      <c r="ATV14" s="184"/>
      <c r="ATW14" s="184"/>
      <c r="ATX14" s="112"/>
      <c r="ATY14" s="112"/>
      <c r="ATZ14" s="183" t="s">
        <v>35</v>
      </c>
      <c r="AUA14" s="183"/>
      <c r="AUB14" s="183"/>
      <c r="AUC14" s="183"/>
      <c r="AUD14" s="88"/>
      <c r="AUE14" s="88"/>
      <c r="AUF14" s="184" t="s">
        <v>24</v>
      </c>
      <c r="AUG14" s="184"/>
      <c r="AUH14" s="184"/>
      <c r="AUI14" s="184"/>
      <c r="AUJ14" s="112"/>
      <c r="AUK14" s="112"/>
      <c r="AUL14" s="183" t="s">
        <v>36</v>
      </c>
      <c r="AUM14" s="183"/>
      <c r="AUN14" s="183"/>
      <c r="AUO14" s="183"/>
      <c r="AUP14" s="88"/>
      <c r="AUQ14" s="88"/>
      <c r="AUR14" s="184" t="s">
        <v>25</v>
      </c>
      <c r="AUS14" s="184"/>
      <c r="AUT14" s="184"/>
      <c r="AUU14" s="184"/>
      <c r="AUV14" s="112"/>
      <c r="AUW14" s="112"/>
      <c r="AUX14" s="183" t="s">
        <v>37</v>
      </c>
      <c r="AUY14" s="183"/>
      <c r="AUZ14" s="183"/>
      <c r="AVA14" s="183"/>
      <c r="AVB14" s="88"/>
      <c r="AVC14" s="88"/>
      <c r="AVD14" s="184" t="s">
        <v>26</v>
      </c>
      <c r="AVE14" s="184"/>
      <c r="AVF14" s="184"/>
      <c r="AVG14" s="184"/>
      <c r="AVH14" s="112"/>
      <c r="AVI14" s="112"/>
      <c r="AVJ14" s="183" t="s">
        <v>38</v>
      </c>
      <c r="AVK14" s="183"/>
      <c r="AVL14" s="183"/>
      <c r="AVM14" s="183"/>
      <c r="AVN14" s="88"/>
      <c r="AVO14" s="88"/>
      <c r="AVP14" s="88"/>
      <c r="AVQ14" s="89"/>
      <c r="AVR14" s="87"/>
      <c r="AVS14" s="88"/>
      <c r="AVT14" s="88"/>
      <c r="AVU14" s="88"/>
      <c r="AVV14" s="183" t="s">
        <v>34</v>
      </c>
      <c r="AVW14" s="183"/>
      <c r="AVX14" s="183"/>
      <c r="AVY14" s="183"/>
      <c r="AVZ14" s="88"/>
      <c r="AWA14" s="88"/>
      <c r="AWB14" s="184" t="s">
        <v>23</v>
      </c>
      <c r="AWC14" s="184"/>
      <c r="AWD14" s="184"/>
      <c r="AWE14" s="184"/>
      <c r="AWF14" s="112"/>
      <c r="AWG14" s="112"/>
      <c r="AWH14" s="183" t="s">
        <v>35</v>
      </c>
      <c r="AWI14" s="183"/>
      <c r="AWJ14" s="183"/>
      <c r="AWK14" s="183"/>
      <c r="AWL14" s="88"/>
      <c r="AWM14" s="88"/>
      <c r="AWN14" s="184" t="s">
        <v>24</v>
      </c>
      <c r="AWO14" s="184"/>
      <c r="AWP14" s="184"/>
      <c r="AWQ14" s="184"/>
      <c r="AWR14" s="112"/>
      <c r="AWS14" s="112"/>
      <c r="AWT14" s="183" t="s">
        <v>36</v>
      </c>
      <c r="AWU14" s="183"/>
      <c r="AWV14" s="183"/>
      <c r="AWW14" s="183"/>
      <c r="AWX14" s="88"/>
      <c r="AWY14" s="88"/>
      <c r="AWZ14" s="184" t="s">
        <v>25</v>
      </c>
      <c r="AXA14" s="184"/>
      <c r="AXB14" s="184"/>
      <c r="AXC14" s="184"/>
      <c r="AXD14" s="112"/>
      <c r="AXE14" s="112"/>
      <c r="AXF14" s="183" t="s">
        <v>37</v>
      </c>
      <c r="AXG14" s="183"/>
      <c r="AXH14" s="183"/>
      <c r="AXI14" s="183"/>
      <c r="AXJ14" s="88"/>
      <c r="AXK14" s="88"/>
      <c r="AXL14" s="184" t="s">
        <v>26</v>
      </c>
      <c r="AXM14" s="184"/>
      <c r="AXN14" s="184"/>
      <c r="AXO14" s="184"/>
      <c r="AXP14" s="112"/>
      <c r="AXQ14" s="112"/>
      <c r="AXR14" s="183" t="s">
        <v>38</v>
      </c>
      <c r="AXS14" s="183"/>
      <c r="AXT14" s="183"/>
      <c r="AXU14" s="183"/>
      <c r="AXV14" s="88"/>
      <c r="AXW14" s="88"/>
      <c r="AXX14" s="88"/>
      <c r="AXY14" s="89"/>
      <c r="AXZ14" s="87"/>
      <c r="AYA14" s="88"/>
      <c r="AYB14" s="88"/>
      <c r="AYC14" s="88"/>
      <c r="AYD14" s="183" t="s">
        <v>34</v>
      </c>
      <c r="AYE14" s="183"/>
      <c r="AYF14" s="183"/>
      <c r="AYG14" s="183"/>
      <c r="AYH14" s="88"/>
      <c r="AYI14" s="88"/>
      <c r="AYJ14" s="184" t="s">
        <v>23</v>
      </c>
      <c r="AYK14" s="184"/>
      <c r="AYL14" s="184"/>
      <c r="AYM14" s="184"/>
      <c r="AYN14" s="112"/>
      <c r="AYO14" s="112"/>
      <c r="AYP14" s="183" t="s">
        <v>35</v>
      </c>
      <c r="AYQ14" s="183"/>
      <c r="AYR14" s="183"/>
      <c r="AYS14" s="183"/>
      <c r="AYT14" s="88"/>
      <c r="AYU14" s="88"/>
      <c r="AYV14" s="184" t="s">
        <v>24</v>
      </c>
      <c r="AYW14" s="184"/>
      <c r="AYX14" s="184"/>
      <c r="AYY14" s="184"/>
      <c r="AYZ14" s="112"/>
      <c r="AZA14" s="112"/>
      <c r="AZB14" s="183" t="s">
        <v>36</v>
      </c>
      <c r="AZC14" s="183"/>
      <c r="AZD14" s="183"/>
      <c r="AZE14" s="183"/>
      <c r="AZF14" s="88"/>
      <c r="AZG14" s="88"/>
      <c r="AZH14" s="184" t="s">
        <v>25</v>
      </c>
      <c r="AZI14" s="184"/>
      <c r="AZJ14" s="184"/>
      <c r="AZK14" s="184"/>
      <c r="AZL14" s="112"/>
      <c r="AZM14" s="112"/>
      <c r="AZN14" s="183" t="s">
        <v>37</v>
      </c>
      <c r="AZO14" s="183"/>
      <c r="AZP14" s="183"/>
      <c r="AZQ14" s="183"/>
      <c r="AZR14" s="88"/>
      <c r="AZS14" s="88"/>
      <c r="AZT14" s="184" t="s">
        <v>26</v>
      </c>
      <c r="AZU14" s="184"/>
      <c r="AZV14" s="184"/>
      <c r="AZW14" s="184"/>
      <c r="AZX14" s="112"/>
      <c r="AZY14" s="112"/>
      <c r="AZZ14" s="183" t="s">
        <v>38</v>
      </c>
      <c r="BAA14" s="183"/>
      <c r="BAB14" s="183"/>
      <c r="BAC14" s="183"/>
      <c r="BAD14" s="88"/>
      <c r="BAE14" s="88"/>
      <c r="BAF14" s="88"/>
      <c r="BAG14" s="89"/>
      <c r="BAH14" s="87"/>
      <c r="BAI14" s="88"/>
      <c r="BAJ14" s="88"/>
      <c r="BAK14" s="88"/>
      <c r="BAL14" s="183" t="s">
        <v>34</v>
      </c>
      <c r="BAM14" s="183"/>
      <c r="BAN14" s="183"/>
      <c r="BAO14" s="183"/>
      <c r="BAP14" s="88"/>
      <c r="BAQ14" s="88"/>
      <c r="BAR14" s="184" t="s">
        <v>23</v>
      </c>
      <c r="BAS14" s="184"/>
      <c r="BAT14" s="184"/>
      <c r="BAU14" s="184"/>
      <c r="BAV14" s="112"/>
      <c r="BAW14" s="112"/>
      <c r="BAX14" s="183" t="s">
        <v>35</v>
      </c>
      <c r="BAY14" s="183"/>
      <c r="BAZ14" s="183"/>
      <c r="BBA14" s="183"/>
      <c r="BBB14" s="88"/>
      <c r="BBC14" s="88"/>
      <c r="BBD14" s="184" t="s">
        <v>24</v>
      </c>
      <c r="BBE14" s="184"/>
      <c r="BBF14" s="184"/>
      <c r="BBG14" s="184"/>
      <c r="BBH14" s="112"/>
      <c r="BBI14" s="112"/>
      <c r="BBJ14" s="183" t="s">
        <v>36</v>
      </c>
      <c r="BBK14" s="183"/>
      <c r="BBL14" s="183"/>
      <c r="BBM14" s="183"/>
      <c r="BBN14" s="88"/>
      <c r="BBO14" s="88"/>
      <c r="BBP14" s="184" t="s">
        <v>25</v>
      </c>
      <c r="BBQ14" s="184"/>
      <c r="BBR14" s="184"/>
      <c r="BBS14" s="184"/>
      <c r="BBT14" s="112"/>
      <c r="BBU14" s="112"/>
      <c r="BBV14" s="183" t="s">
        <v>37</v>
      </c>
      <c r="BBW14" s="183"/>
      <c r="BBX14" s="183"/>
      <c r="BBY14" s="183"/>
      <c r="BBZ14" s="88"/>
      <c r="BCA14" s="88"/>
      <c r="BCB14" s="184" t="s">
        <v>26</v>
      </c>
      <c r="BCC14" s="184"/>
      <c r="BCD14" s="184"/>
      <c r="BCE14" s="184"/>
      <c r="BCF14" s="112"/>
      <c r="BCG14" s="112"/>
      <c r="BCH14" s="183" t="s">
        <v>38</v>
      </c>
      <c r="BCI14" s="183"/>
      <c r="BCJ14" s="183"/>
      <c r="BCK14" s="183"/>
      <c r="BCL14" s="88"/>
      <c r="BCM14" s="88"/>
      <c r="BCN14" s="88"/>
      <c r="BCO14" s="89"/>
      <c r="BCP14" s="87"/>
      <c r="BCQ14" s="88"/>
      <c r="BCR14" s="88"/>
      <c r="BCS14" s="88"/>
      <c r="BCT14" s="183" t="s">
        <v>34</v>
      </c>
      <c r="BCU14" s="183"/>
      <c r="BCV14" s="183"/>
      <c r="BCW14" s="183"/>
      <c r="BCX14" s="88"/>
      <c r="BCY14" s="88"/>
      <c r="BCZ14" s="184" t="s">
        <v>23</v>
      </c>
      <c r="BDA14" s="184"/>
      <c r="BDB14" s="184"/>
      <c r="BDC14" s="184"/>
      <c r="BDD14" s="112"/>
      <c r="BDE14" s="112"/>
      <c r="BDF14" s="183" t="s">
        <v>35</v>
      </c>
      <c r="BDG14" s="183"/>
      <c r="BDH14" s="183"/>
      <c r="BDI14" s="183"/>
      <c r="BDJ14" s="88"/>
      <c r="BDK14" s="88"/>
      <c r="BDL14" s="184" t="s">
        <v>24</v>
      </c>
      <c r="BDM14" s="184"/>
      <c r="BDN14" s="184"/>
      <c r="BDO14" s="184"/>
      <c r="BDP14" s="112"/>
      <c r="BDQ14" s="112"/>
      <c r="BDR14" s="183" t="s">
        <v>36</v>
      </c>
      <c r="BDS14" s="183"/>
      <c r="BDT14" s="183"/>
      <c r="BDU14" s="183"/>
      <c r="BDV14" s="88"/>
      <c r="BDW14" s="88"/>
      <c r="BDX14" s="184" t="s">
        <v>25</v>
      </c>
      <c r="BDY14" s="184"/>
      <c r="BDZ14" s="184"/>
      <c r="BEA14" s="184"/>
      <c r="BEB14" s="112"/>
      <c r="BEC14" s="112"/>
      <c r="BED14" s="183" t="s">
        <v>37</v>
      </c>
      <c r="BEE14" s="183"/>
      <c r="BEF14" s="183"/>
      <c r="BEG14" s="183"/>
      <c r="BEH14" s="88"/>
      <c r="BEI14" s="88"/>
      <c r="BEJ14" s="184" t="s">
        <v>26</v>
      </c>
      <c r="BEK14" s="184"/>
      <c r="BEL14" s="184"/>
      <c r="BEM14" s="184"/>
      <c r="BEN14" s="112"/>
      <c r="BEO14" s="112"/>
      <c r="BEP14" s="183" t="s">
        <v>38</v>
      </c>
      <c r="BEQ14" s="183"/>
      <c r="BER14" s="183"/>
      <c r="BES14" s="183"/>
      <c r="BET14" s="88"/>
      <c r="BEU14" s="88"/>
      <c r="BEV14" s="88"/>
      <c r="BEW14" s="89"/>
      <c r="BEX14" s="87"/>
      <c r="BEY14" s="88"/>
      <c r="BEZ14" s="88"/>
      <c r="BFA14" s="88"/>
      <c r="BFB14" s="183" t="s">
        <v>34</v>
      </c>
      <c r="BFC14" s="183"/>
      <c r="BFD14" s="183"/>
      <c r="BFE14" s="183"/>
      <c r="BFF14" s="88"/>
      <c r="BFG14" s="88"/>
      <c r="BFH14" s="184" t="s">
        <v>23</v>
      </c>
      <c r="BFI14" s="184"/>
      <c r="BFJ14" s="184"/>
      <c r="BFK14" s="184"/>
      <c r="BFL14" s="112"/>
      <c r="BFM14" s="112"/>
      <c r="BFN14" s="183" t="s">
        <v>35</v>
      </c>
      <c r="BFO14" s="183"/>
      <c r="BFP14" s="183"/>
      <c r="BFQ14" s="183"/>
      <c r="BFR14" s="88"/>
      <c r="BFS14" s="88"/>
      <c r="BFT14" s="184" t="s">
        <v>24</v>
      </c>
      <c r="BFU14" s="184"/>
      <c r="BFV14" s="184"/>
      <c r="BFW14" s="184"/>
      <c r="BFX14" s="112"/>
      <c r="BFY14" s="112"/>
      <c r="BFZ14" s="183" t="s">
        <v>36</v>
      </c>
      <c r="BGA14" s="183"/>
      <c r="BGB14" s="183"/>
      <c r="BGC14" s="183"/>
      <c r="BGD14" s="88"/>
      <c r="BGE14" s="88"/>
      <c r="BGF14" s="184" t="s">
        <v>25</v>
      </c>
      <c r="BGG14" s="184"/>
      <c r="BGH14" s="184"/>
      <c r="BGI14" s="184"/>
      <c r="BGJ14" s="112"/>
      <c r="BGK14" s="112"/>
      <c r="BGL14" s="183" t="s">
        <v>37</v>
      </c>
      <c r="BGM14" s="183"/>
      <c r="BGN14" s="183"/>
      <c r="BGO14" s="183"/>
      <c r="BGP14" s="88"/>
      <c r="BGQ14" s="88"/>
      <c r="BGR14" s="184" t="s">
        <v>26</v>
      </c>
      <c r="BGS14" s="184"/>
      <c r="BGT14" s="184"/>
      <c r="BGU14" s="184"/>
      <c r="BGV14" s="112"/>
      <c r="BGW14" s="112"/>
      <c r="BGX14" s="183" t="s">
        <v>38</v>
      </c>
      <c r="BGY14" s="183"/>
      <c r="BGZ14" s="183"/>
      <c r="BHA14" s="183"/>
      <c r="BHB14" s="88"/>
      <c r="BHC14" s="88"/>
      <c r="BHD14" s="88"/>
      <c r="BHE14" s="89"/>
      <c r="BHF14" s="87"/>
      <c r="BHG14" s="88"/>
      <c r="BHH14" s="88"/>
      <c r="BHI14" s="88"/>
      <c r="BHJ14" s="183" t="s">
        <v>34</v>
      </c>
      <c r="BHK14" s="183"/>
      <c r="BHL14" s="183"/>
      <c r="BHM14" s="183"/>
      <c r="BHN14" s="88"/>
      <c r="BHO14" s="88"/>
      <c r="BHP14" s="184" t="s">
        <v>23</v>
      </c>
      <c r="BHQ14" s="184"/>
      <c r="BHR14" s="184"/>
      <c r="BHS14" s="184"/>
      <c r="BHT14" s="112"/>
      <c r="BHU14" s="112"/>
      <c r="BHV14" s="183" t="s">
        <v>35</v>
      </c>
      <c r="BHW14" s="183"/>
      <c r="BHX14" s="183"/>
      <c r="BHY14" s="183"/>
      <c r="BHZ14" s="88"/>
      <c r="BIA14" s="88"/>
      <c r="BIB14" s="184" t="s">
        <v>24</v>
      </c>
      <c r="BIC14" s="184"/>
      <c r="BID14" s="184"/>
      <c r="BIE14" s="184"/>
      <c r="BIF14" s="112"/>
      <c r="BIG14" s="112"/>
      <c r="BIH14" s="183" t="s">
        <v>36</v>
      </c>
      <c r="BII14" s="183"/>
      <c r="BIJ14" s="183"/>
      <c r="BIK14" s="183"/>
      <c r="BIL14" s="88"/>
      <c r="BIM14" s="88"/>
      <c r="BIN14" s="184" t="s">
        <v>25</v>
      </c>
      <c r="BIO14" s="184"/>
      <c r="BIP14" s="184"/>
      <c r="BIQ14" s="184"/>
      <c r="BIR14" s="112"/>
      <c r="BIS14" s="112"/>
      <c r="BIT14" s="183" t="s">
        <v>37</v>
      </c>
      <c r="BIU14" s="183"/>
      <c r="BIV14" s="183"/>
      <c r="BIW14" s="183"/>
      <c r="BIX14" s="88"/>
      <c r="BIY14" s="88"/>
      <c r="BIZ14" s="184" t="s">
        <v>26</v>
      </c>
      <c r="BJA14" s="184"/>
      <c r="BJB14" s="184"/>
      <c r="BJC14" s="184"/>
      <c r="BJD14" s="112"/>
      <c r="BJE14" s="112"/>
      <c r="BJF14" s="183" t="s">
        <v>38</v>
      </c>
      <c r="BJG14" s="183"/>
      <c r="BJH14" s="183"/>
      <c r="BJI14" s="183"/>
      <c r="BJJ14" s="88"/>
      <c r="BJK14" s="88"/>
      <c r="BJL14" s="88"/>
      <c r="BJM14" s="89"/>
      <c r="BJN14" s="75"/>
    </row>
    <row r="15" spans="1:1652" ht="20.100000000000001" customHeight="1" x14ac:dyDescent="0.25">
      <c r="A15" s="84" t="s">
        <v>19</v>
      </c>
      <c r="B15" s="53" t="str">
        <f>IF(LEN(C15)=0,"",C15)</f>
        <v xml:space="preserve">Absences - imprévus </v>
      </c>
      <c r="C15" s="177" t="s">
        <v>4</v>
      </c>
      <c r="D15" s="132" t="str">
        <f>setValueToTime(E15)</f>
        <v>0h</v>
      </c>
      <c r="E15" s="26">
        <v>0</v>
      </c>
      <c r="F15" s="227"/>
      <c r="G15" s="228"/>
      <c r="H15" s="228"/>
      <c r="I15" s="228"/>
      <c r="J15" s="228"/>
      <c r="K15" s="229"/>
      <c r="L15" s="228"/>
      <c r="M15" s="228"/>
      <c r="N15" s="228"/>
      <c r="O15" s="228"/>
      <c r="P15" s="228"/>
      <c r="Q15" s="230"/>
      <c r="R15" s="228"/>
      <c r="S15" s="228"/>
      <c r="T15" s="228"/>
      <c r="U15" s="228"/>
      <c r="V15" s="228"/>
      <c r="W15" s="231"/>
      <c r="X15" s="228"/>
      <c r="Y15" s="228"/>
      <c r="Z15" s="228"/>
      <c r="AA15" s="228"/>
      <c r="AB15" s="228"/>
      <c r="AC15" s="230"/>
      <c r="AD15" s="228"/>
      <c r="AE15" s="228"/>
      <c r="AF15" s="228"/>
      <c r="AG15" s="228"/>
      <c r="AH15" s="228"/>
      <c r="AI15" s="231"/>
      <c r="AJ15" s="228"/>
      <c r="AK15" s="228"/>
      <c r="AL15" s="228"/>
      <c r="AM15" s="228"/>
      <c r="AN15" s="228"/>
      <c r="AO15" s="230"/>
      <c r="AP15" s="228"/>
      <c r="AQ15" s="228"/>
      <c r="AR15" s="228"/>
      <c r="AS15" s="228"/>
      <c r="AT15" s="228"/>
      <c r="AU15" s="231"/>
      <c r="AV15" s="228"/>
      <c r="AW15" s="228"/>
      <c r="AX15" s="228"/>
      <c r="AY15" s="228"/>
      <c r="AZ15" s="228"/>
      <c r="BA15" s="230"/>
      <c r="BB15" s="228"/>
      <c r="BC15" s="228"/>
      <c r="BD15" s="228"/>
      <c r="BE15" s="228"/>
      <c r="BF15" s="228"/>
      <c r="BG15" s="231"/>
      <c r="BH15" s="228"/>
      <c r="BI15" s="228"/>
      <c r="BJ15" s="228"/>
      <c r="BK15" s="228"/>
      <c r="BL15" s="228"/>
      <c r="BM15" s="232"/>
      <c r="BN15" s="227"/>
      <c r="BO15" s="228"/>
      <c r="BP15" s="228"/>
      <c r="BQ15" s="228"/>
      <c r="BR15" s="228"/>
      <c r="BS15" s="229"/>
      <c r="BT15" s="228"/>
      <c r="BU15" s="228"/>
      <c r="BV15" s="228"/>
      <c r="BW15" s="228"/>
      <c r="BX15" s="228"/>
      <c r="BY15" s="230"/>
      <c r="BZ15" s="228"/>
      <c r="CA15" s="228"/>
      <c r="CB15" s="228"/>
      <c r="CC15" s="228"/>
      <c r="CD15" s="228"/>
      <c r="CE15" s="231"/>
      <c r="CF15" s="228"/>
      <c r="CG15" s="228"/>
      <c r="CH15" s="228"/>
      <c r="CI15" s="228"/>
      <c r="CJ15" s="228"/>
      <c r="CK15" s="230"/>
      <c r="CL15" s="228"/>
      <c r="CM15" s="228"/>
      <c r="CN15" s="228"/>
      <c r="CO15" s="228"/>
      <c r="CP15" s="228"/>
      <c r="CQ15" s="231"/>
      <c r="CR15" s="228"/>
      <c r="CS15" s="228"/>
      <c r="CT15" s="228"/>
      <c r="CU15" s="228"/>
      <c r="CV15" s="228"/>
      <c r="CW15" s="230"/>
      <c r="CX15" s="228"/>
      <c r="CY15" s="228"/>
      <c r="CZ15" s="228"/>
      <c r="DA15" s="228"/>
      <c r="DB15" s="228"/>
      <c r="DC15" s="231"/>
      <c r="DD15" s="228"/>
      <c r="DE15" s="228"/>
      <c r="DF15" s="228"/>
      <c r="DG15" s="228"/>
      <c r="DH15" s="228"/>
      <c r="DI15" s="230"/>
      <c r="DJ15" s="228"/>
      <c r="DK15" s="228"/>
      <c r="DL15" s="228"/>
      <c r="DM15" s="228"/>
      <c r="DN15" s="228"/>
      <c r="DO15" s="231"/>
      <c r="DP15" s="228"/>
      <c r="DQ15" s="228"/>
      <c r="DR15" s="228"/>
      <c r="DS15" s="228"/>
      <c r="DT15" s="228"/>
      <c r="DU15" s="232"/>
      <c r="DV15" s="227"/>
      <c r="DW15" s="228"/>
      <c r="DX15" s="228"/>
      <c r="DY15" s="228"/>
      <c r="DZ15" s="228"/>
      <c r="EA15" s="229"/>
      <c r="EB15" s="228"/>
      <c r="EC15" s="228"/>
      <c r="ED15" s="228"/>
      <c r="EE15" s="228"/>
      <c r="EF15" s="228"/>
      <c r="EG15" s="230"/>
      <c r="EH15" s="228"/>
      <c r="EI15" s="228"/>
      <c r="EJ15" s="228"/>
      <c r="EK15" s="228"/>
      <c r="EL15" s="228"/>
      <c r="EM15" s="231"/>
      <c r="EN15" s="228"/>
      <c r="EO15" s="228"/>
      <c r="EP15" s="228"/>
      <c r="EQ15" s="228"/>
      <c r="ER15" s="228"/>
      <c r="ES15" s="230"/>
      <c r="ET15" s="228"/>
      <c r="EU15" s="228"/>
      <c r="EV15" s="228"/>
      <c r="EW15" s="228"/>
      <c r="EX15" s="228"/>
      <c r="EY15" s="231"/>
      <c r="EZ15" s="228"/>
      <c r="FA15" s="228"/>
      <c r="FB15" s="228"/>
      <c r="FC15" s="228"/>
      <c r="FD15" s="228"/>
      <c r="FE15" s="230"/>
      <c r="FF15" s="228"/>
      <c r="FG15" s="228"/>
      <c r="FH15" s="228"/>
      <c r="FI15" s="228"/>
      <c r="FJ15" s="228"/>
      <c r="FK15" s="231"/>
      <c r="FL15" s="228"/>
      <c r="FM15" s="228"/>
      <c r="FN15" s="228"/>
      <c r="FO15" s="228"/>
      <c r="FP15" s="228"/>
      <c r="FQ15" s="230"/>
      <c r="FR15" s="228"/>
      <c r="FS15" s="228"/>
      <c r="FT15" s="228"/>
      <c r="FU15" s="228"/>
      <c r="FV15" s="228"/>
      <c r="FW15" s="231"/>
      <c r="FX15" s="228"/>
      <c r="FY15" s="228"/>
      <c r="FZ15" s="228"/>
      <c r="GA15" s="228"/>
      <c r="GB15" s="228"/>
      <c r="GC15" s="232"/>
      <c r="GD15" s="227"/>
      <c r="GE15" s="228"/>
      <c r="GF15" s="228"/>
      <c r="GG15" s="228"/>
      <c r="GH15" s="228"/>
      <c r="GI15" s="229"/>
      <c r="GJ15" s="228"/>
      <c r="GK15" s="228"/>
      <c r="GL15" s="228"/>
      <c r="GM15" s="228"/>
      <c r="GN15" s="228"/>
      <c r="GO15" s="230"/>
      <c r="GP15" s="228"/>
      <c r="GQ15" s="228"/>
      <c r="GR15" s="228"/>
      <c r="GS15" s="228"/>
      <c r="GT15" s="228"/>
      <c r="GU15" s="231"/>
      <c r="GV15" s="228"/>
      <c r="GW15" s="228"/>
      <c r="GX15" s="228"/>
      <c r="GY15" s="228"/>
      <c r="GZ15" s="228"/>
      <c r="HA15" s="230"/>
      <c r="HB15" s="228"/>
      <c r="HC15" s="228"/>
      <c r="HD15" s="228"/>
      <c r="HE15" s="228"/>
      <c r="HF15" s="228"/>
      <c r="HG15" s="231"/>
      <c r="HH15" s="228"/>
      <c r="HI15" s="228"/>
      <c r="HJ15" s="228"/>
      <c r="HK15" s="228"/>
      <c r="HL15" s="228"/>
      <c r="HM15" s="230"/>
      <c r="HN15" s="228"/>
      <c r="HO15" s="228"/>
      <c r="HP15" s="228"/>
      <c r="HQ15" s="228"/>
      <c r="HR15" s="228"/>
      <c r="HS15" s="231"/>
      <c r="HT15" s="228"/>
      <c r="HU15" s="228"/>
      <c r="HV15" s="228"/>
      <c r="HW15" s="228"/>
      <c r="HX15" s="228"/>
      <c r="HY15" s="230"/>
      <c r="HZ15" s="228"/>
      <c r="IA15" s="228"/>
      <c r="IB15" s="228"/>
      <c r="IC15" s="228"/>
      <c r="ID15" s="228"/>
      <c r="IE15" s="231"/>
      <c r="IF15" s="228"/>
      <c r="IG15" s="228"/>
      <c r="IH15" s="228"/>
      <c r="II15" s="228"/>
      <c r="IJ15" s="228"/>
      <c r="IK15" s="232"/>
      <c r="IL15" s="227"/>
      <c r="IM15" s="228"/>
      <c r="IN15" s="228"/>
      <c r="IO15" s="228"/>
      <c r="IP15" s="228"/>
      <c r="IQ15" s="229"/>
      <c r="IR15" s="228"/>
      <c r="IS15" s="228"/>
      <c r="IT15" s="228"/>
      <c r="IU15" s="228"/>
      <c r="IV15" s="228"/>
      <c r="IW15" s="230"/>
      <c r="IX15" s="228"/>
      <c r="IY15" s="228"/>
      <c r="IZ15" s="228"/>
      <c r="JA15" s="228"/>
      <c r="JB15" s="228"/>
      <c r="JC15" s="231"/>
      <c r="JD15" s="228"/>
      <c r="JE15" s="228"/>
      <c r="JF15" s="228"/>
      <c r="JG15" s="228"/>
      <c r="JH15" s="228"/>
      <c r="JI15" s="230"/>
      <c r="JJ15" s="228"/>
      <c r="JK15" s="228"/>
      <c r="JL15" s="228"/>
      <c r="JM15" s="228"/>
      <c r="JN15" s="228"/>
      <c r="JO15" s="231"/>
      <c r="JP15" s="228"/>
      <c r="JQ15" s="228"/>
      <c r="JR15" s="228"/>
      <c r="JS15" s="228"/>
      <c r="JT15" s="228"/>
      <c r="JU15" s="230"/>
      <c r="JV15" s="228"/>
      <c r="JW15" s="228"/>
      <c r="JX15" s="228"/>
      <c r="JY15" s="228"/>
      <c r="JZ15" s="228"/>
      <c r="KA15" s="231"/>
      <c r="KB15" s="228"/>
      <c r="KC15" s="228"/>
      <c r="KD15" s="228"/>
      <c r="KE15" s="228"/>
      <c r="KF15" s="228"/>
      <c r="KG15" s="230"/>
      <c r="KH15" s="228"/>
      <c r="KI15" s="228"/>
      <c r="KJ15" s="228"/>
      <c r="KK15" s="228"/>
      <c r="KL15" s="228"/>
      <c r="KM15" s="231"/>
      <c r="KN15" s="228"/>
      <c r="KO15" s="228"/>
      <c r="KP15" s="228"/>
      <c r="KQ15" s="228"/>
      <c r="KR15" s="228"/>
      <c r="KS15" s="232"/>
      <c r="KT15" s="227"/>
      <c r="KU15" s="228"/>
      <c r="KV15" s="228"/>
      <c r="KW15" s="228"/>
      <c r="KX15" s="228"/>
      <c r="KY15" s="229"/>
      <c r="KZ15" s="228"/>
      <c r="LA15" s="228"/>
      <c r="LB15" s="228"/>
      <c r="LC15" s="228"/>
      <c r="LD15" s="228"/>
      <c r="LE15" s="230"/>
      <c r="LF15" s="228"/>
      <c r="LG15" s="228"/>
      <c r="LH15" s="228"/>
      <c r="LI15" s="228"/>
      <c r="LJ15" s="228"/>
      <c r="LK15" s="231"/>
      <c r="LL15" s="228"/>
      <c r="LM15" s="228"/>
      <c r="LN15" s="228"/>
      <c r="LO15" s="228"/>
      <c r="LP15" s="228"/>
      <c r="LQ15" s="230"/>
      <c r="LR15" s="228"/>
      <c r="LS15" s="228"/>
      <c r="LT15" s="228"/>
      <c r="LU15" s="228"/>
      <c r="LV15" s="228"/>
      <c r="LW15" s="231"/>
      <c r="LX15" s="228"/>
      <c r="LY15" s="228"/>
      <c r="LZ15" s="228"/>
      <c r="MA15" s="228"/>
      <c r="MB15" s="228"/>
      <c r="MC15" s="230"/>
      <c r="MD15" s="228"/>
      <c r="ME15" s="228"/>
      <c r="MF15" s="228"/>
      <c r="MG15" s="228"/>
      <c r="MH15" s="228"/>
      <c r="MI15" s="231"/>
      <c r="MJ15" s="228"/>
      <c r="MK15" s="228"/>
      <c r="ML15" s="228"/>
      <c r="MM15" s="228"/>
      <c r="MN15" s="228"/>
      <c r="MO15" s="230"/>
      <c r="MP15" s="228"/>
      <c r="MQ15" s="228"/>
      <c r="MR15" s="228"/>
      <c r="MS15" s="228"/>
      <c r="MT15" s="228"/>
      <c r="MU15" s="231"/>
      <c r="MV15" s="228"/>
      <c r="MW15" s="228"/>
      <c r="MX15" s="228"/>
      <c r="MY15" s="228"/>
      <c r="MZ15" s="228"/>
      <c r="NA15" s="232"/>
      <c r="NB15" s="227"/>
      <c r="NC15" s="228"/>
      <c r="ND15" s="228"/>
      <c r="NE15" s="228"/>
      <c r="NF15" s="228"/>
      <c r="NG15" s="229"/>
      <c r="NH15" s="228"/>
      <c r="NI15" s="228"/>
      <c r="NJ15" s="228"/>
      <c r="NK15" s="228"/>
      <c r="NL15" s="228"/>
      <c r="NM15" s="230"/>
      <c r="NN15" s="228"/>
      <c r="NO15" s="228"/>
      <c r="NP15" s="228"/>
      <c r="NQ15" s="228"/>
      <c r="NR15" s="228"/>
      <c r="NS15" s="231"/>
      <c r="NT15" s="228"/>
      <c r="NU15" s="228"/>
      <c r="NV15" s="228"/>
      <c r="NW15" s="228"/>
      <c r="NX15" s="228"/>
      <c r="NY15" s="230"/>
      <c r="NZ15" s="228"/>
      <c r="OA15" s="228"/>
      <c r="OB15" s="228"/>
      <c r="OC15" s="228"/>
      <c r="OD15" s="228"/>
      <c r="OE15" s="231"/>
      <c r="OF15" s="228"/>
      <c r="OG15" s="228"/>
      <c r="OH15" s="228"/>
      <c r="OI15" s="228"/>
      <c r="OJ15" s="228"/>
      <c r="OK15" s="230"/>
      <c r="OL15" s="228"/>
      <c r="OM15" s="228"/>
      <c r="ON15" s="228"/>
      <c r="OO15" s="228"/>
      <c r="OP15" s="228"/>
      <c r="OQ15" s="231"/>
      <c r="OR15" s="228"/>
      <c r="OS15" s="228"/>
      <c r="OT15" s="228"/>
      <c r="OU15" s="228"/>
      <c r="OV15" s="228"/>
      <c r="OW15" s="230"/>
      <c r="OX15" s="228"/>
      <c r="OY15" s="228"/>
      <c r="OZ15" s="228"/>
      <c r="PA15" s="228"/>
      <c r="PB15" s="228"/>
      <c r="PC15" s="231"/>
      <c r="PD15" s="228"/>
      <c r="PE15" s="228"/>
      <c r="PF15" s="228"/>
      <c r="PG15" s="228"/>
      <c r="PH15" s="228"/>
      <c r="PI15" s="232"/>
      <c r="PJ15" s="227"/>
      <c r="PK15" s="228"/>
      <c r="PL15" s="228"/>
      <c r="PM15" s="228"/>
      <c r="PN15" s="228"/>
      <c r="PO15" s="229"/>
      <c r="PP15" s="228"/>
      <c r="PQ15" s="228"/>
      <c r="PR15" s="228"/>
      <c r="PS15" s="228"/>
      <c r="PT15" s="228"/>
      <c r="PU15" s="230"/>
      <c r="PV15" s="228"/>
      <c r="PW15" s="228"/>
      <c r="PX15" s="228"/>
      <c r="PY15" s="228"/>
      <c r="PZ15" s="228"/>
      <c r="QA15" s="231"/>
      <c r="QB15" s="228"/>
      <c r="QC15" s="228"/>
      <c r="QD15" s="228"/>
      <c r="QE15" s="228"/>
      <c r="QF15" s="228"/>
      <c r="QG15" s="230"/>
      <c r="QH15" s="228"/>
      <c r="QI15" s="228"/>
      <c r="QJ15" s="228"/>
      <c r="QK15" s="228"/>
      <c r="QL15" s="228"/>
      <c r="QM15" s="231"/>
      <c r="QN15" s="228"/>
      <c r="QO15" s="228"/>
      <c r="QP15" s="228"/>
      <c r="QQ15" s="228"/>
      <c r="QR15" s="228"/>
      <c r="QS15" s="230"/>
      <c r="QT15" s="228"/>
      <c r="QU15" s="228"/>
      <c r="QV15" s="228"/>
      <c r="QW15" s="228"/>
      <c r="QX15" s="228"/>
      <c r="QY15" s="231"/>
      <c r="QZ15" s="228"/>
      <c r="RA15" s="228"/>
      <c r="RB15" s="228"/>
      <c r="RC15" s="228"/>
      <c r="RD15" s="228"/>
      <c r="RE15" s="230"/>
      <c r="RF15" s="228"/>
      <c r="RG15" s="228"/>
      <c r="RH15" s="228"/>
      <c r="RI15" s="228"/>
      <c r="RJ15" s="228"/>
      <c r="RK15" s="231"/>
      <c r="RL15" s="228"/>
      <c r="RM15" s="228"/>
      <c r="RN15" s="228"/>
      <c r="RO15" s="228"/>
      <c r="RP15" s="228"/>
      <c r="RQ15" s="232"/>
      <c r="RR15" s="227"/>
      <c r="RS15" s="228"/>
      <c r="RT15" s="228"/>
      <c r="RU15" s="228"/>
      <c r="RV15" s="228"/>
      <c r="RW15" s="229"/>
      <c r="RX15" s="228"/>
      <c r="RY15" s="228"/>
      <c r="RZ15" s="228"/>
      <c r="SA15" s="228"/>
      <c r="SB15" s="228"/>
      <c r="SC15" s="230"/>
      <c r="SD15" s="228"/>
      <c r="SE15" s="228"/>
      <c r="SF15" s="228"/>
      <c r="SG15" s="228"/>
      <c r="SH15" s="228"/>
      <c r="SI15" s="231"/>
      <c r="SJ15" s="228"/>
      <c r="SK15" s="228"/>
      <c r="SL15" s="228"/>
      <c r="SM15" s="228"/>
      <c r="SN15" s="228"/>
      <c r="SO15" s="230"/>
      <c r="SP15" s="228"/>
      <c r="SQ15" s="228"/>
      <c r="SR15" s="228"/>
      <c r="SS15" s="228"/>
      <c r="ST15" s="228"/>
      <c r="SU15" s="231"/>
      <c r="SV15" s="228"/>
      <c r="SW15" s="228"/>
      <c r="SX15" s="228"/>
      <c r="SY15" s="228"/>
      <c r="SZ15" s="228"/>
      <c r="TA15" s="230"/>
      <c r="TB15" s="228"/>
      <c r="TC15" s="228"/>
      <c r="TD15" s="228"/>
      <c r="TE15" s="228"/>
      <c r="TF15" s="228"/>
      <c r="TG15" s="231"/>
      <c r="TH15" s="228"/>
      <c r="TI15" s="228"/>
      <c r="TJ15" s="228"/>
      <c r="TK15" s="228"/>
      <c r="TL15" s="228"/>
      <c r="TM15" s="230"/>
      <c r="TN15" s="228"/>
      <c r="TO15" s="228"/>
      <c r="TP15" s="228"/>
      <c r="TQ15" s="228"/>
      <c r="TR15" s="228"/>
      <c r="TS15" s="231"/>
      <c r="TT15" s="228"/>
      <c r="TU15" s="228"/>
      <c r="TV15" s="228"/>
      <c r="TW15" s="228"/>
      <c r="TX15" s="228"/>
      <c r="TY15" s="232"/>
      <c r="TZ15" s="227"/>
      <c r="UA15" s="228"/>
      <c r="UB15" s="228"/>
      <c r="UC15" s="228"/>
      <c r="UD15" s="228"/>
      <c r="UE15" s="229"/>
      <c r="UF15" s="228"/>
      <c r="UG15" s="228"/>
      <c r="UH15" s="228"/>
      <c r="UI15" s="228"/>
      <c r="UJ15" s="228"/>
      <c r="UK15" s="230"/>
      <c r="UL15" s="228"/>
      <c r="UM15" s="228"/>
      <c r="UN15" s="228"/>
      <c r="UO15" s="228"/>
      <c r="UP15" s="228"/>
      <c r="UQ15" s="231"/>
      <c r="UR15" s="228"/>
      <c r="US15" s="228"/>
      <c r="UT15" s="228"/>
      <c r="UU15" s="228"/>
      <c r="UV15" s="228"/>
      <c r="UW15" s="230"/>
      <c r="UX15" s="228"/>
      <c r="UY15" s="228"/>
      <c r="UZ15" s="228"/>
      <c r="VA15" s="228"/>
      <c r="VB15" s="228"/>
      <c r="VC15" s="231"/>
      <c r="VD15" s="228"/>
      <c r="VE15" s="228"/>
      <c r="VF15" s="228"/>
      <c r="VG15" s="228"/>
      <c r="VH15" s="228"/>
      <c r="VI15" s="230"/>
      <c r="VJ15" s="228"/>
      <c r="VK15" s="228"/>
      <c r="VL15" s="228"/>
      <c r="VM15" s="228"/>
      <c r="VN15" s="228"/>
      <c r="VO15" s="231"/>
      <c r="VP15" s="228"/>
      <c r="VQ15" s="228"/>
      <c r="VR15" s="228"/>
      <c r="VS15" s="228"/>
      <c r="VT15" s="228"/>
      <c r="VU15" s="230"/>
      <c r="VV15" s="228"/>
      <c r="VW15" s="228"/>
      <c r="VX15" s="228"/>
      <c r="VY15" s="228"/>
      <c r="VZ15" s="228"/>
      <c r="WA15" s="231"/>
      <c r="WB15" s="228"/>
      <c r="WC15" s="228"/>
      <c r="WD15" s="228"/>
      <c r="WE15" s="228"/>
      <c r="WF15" s="228"/>
      <c r="WG15" s="232"/>
      <c r="WH15" s="227"/>
      <c r="WI15" s="228"/>
      <c r="WJ15" s="228"/>
      <c r="WK15" s="228"/>
      <c r="WL15" s="228"/>
      <c r="WM15" s="229"/>
      <c r="WN15" s="228"/>
      <c r="WO15" s="228"/>
      <c r="WP15" s="228"/>
      <c r="WQ15" s="228"/>
      <c r="WR15" s="228"/>
      <c r="WS15" s="230"/>
      <c r="WT15" s="228"/>
      <c r="WU15" s="228"/>
      <c r="WV15" s="228"/>
      <c r="WW15" s="228"/>
      <c r="WX15" s="228"/>
      <c r="WY15" s="231"/>
      <c r="WZ15" s="228"/>
      <c r="XA15" s="228"/>
      <c r="XB15" s="228"/>
      <c r="XC15" s="228"/>
      <c r="XD15" s="228"/>
      <c r="XE15" s="230"/>
      <c r="XF15" s="228"/>
      <c r="XG15" s="228"/>
      <c r="XH15" s="228"/>
      <c r="XI15" s="228"/>
      <c r="XJ15" s="228"/>
      <c r="XK15" s="231"/>
      <c r="XL15" s="228"/>
      <c r="XM15" s="228"/>
      <c r="XN15" s="228"/>
      <c r="XO15" s="228"/>
      <c r="XP15" s="228"/>
      <c r="XQ15" s="230"/>
      <c r="XR15" s="228"/>
      <c r="XS15" s="228"/>
      <c r="XT15" s="228"/>
      <c r="XU15" s="228"/>
      <c r="XV15" s="228"/>
      <c r="XW15" s="231"/>
      <c r="XX15" s="228"/>
      <c r="XY15" s="228"/>
      <c r="XZ15" s="228"/>
      <c r="YA15" s="228"/>
      <c r="YB15" s="228"/>
      <c r="YC15" s="230"/>
      <c r="YD15" s="228"/>
      <c r="YE15" s="228"/>
      <c r="YF15" s="228"/>
      <c r="YG15" s="228"/>
      <c r="YH15" s="228"/>
      <c r="YI15" s="231"/>
      <c r="YJ15" s="228"/>
      <c r="YK15" s="228"/>
      <c r="YL15" s="228"/>
      <c r="YM15" s="228"/>
      <c r="YN15" s="228"/>
      <c r="YO15" s="232"/>
      <c r="YP15" s="227"/>
      <c r="YQ15" s="228"/>
      <c r="YR15" s="228"/>
      <c r="YS15" s="228"/>
      <c r="YT15" s="228"/>
      <c r="YU15" s="229"/>
      <c r="YV15" s="228"/>
      <c r="YW15" s="228"/>
      <c r="YX15" s="228"/>
      <c r="YY15" s="228"/>
      <c r="YZ15" s="228"/>
      <c r="ZA15" s="230"/>
      <c r="ZB15" s="228"/>
      <c r="ZC15" s="228"/>
      <c r="ZD15" s="228"/>
      <c r="ZE15" s="228"/>
      <c r="ZF15" s="228"/>
      <c r="ZG15" s="231"/>
      <c r="ZH15" s="228"/>
      <c r="ZI15" s="228"/>
      <c r="ZJ15" s="228"/>
      <c r="ZK15" s="228"/>
      <c r="ZL15" s="228"/>
      <c r="ZM15" s="230"/>
      <c r="ZN15" s="228"/>
      <c r="ZO15" s="228"/>
      <c r="ZP15" s="228"/>
      <c r="ZQ15" s="228"/>
      <c r="ZR15" s="228"/>
      <c r="ZS15" s="231"/>
      <c r="ZT15" s="228"/>
      <c r="ZU15" s="228"/>
      <c r="ZV15" s="228"/>
      <c r="ZW15" s="228"/>
      <c r="ZX15" s="228"/>
      <c r="ZY15" s="230"/>
      <c r="ZZ15" s="228"/>
      <c r="AAA15" s="228"/>
      <c r="AAB15" s="228"/>
      <c r="AAC15" s="228"/>
      <c r="AAD15" s="228"/>
      <c r="AAE15" s="231"/>
      <c r="AAF15" s="228"/>
      <c r="AAG15" s="228"/>
      <c r="AAH15" s="228"/>
      <c r="AAI15" s="228"/>
      <c r="AAJ15" s="228"/>
      <c r="AAK15" s="230"/>
      <c r="AAL15" s="228"/>
      <c r="AAM15" s="228"/>
      <c r="AAN15" s="228"/>
      <c r="AAO15" s="228"/>
      <c r="AAP15" s="228"/>
      <c r="AAQ15" s="231"/>
      <c r="AAR15" s="228"/>
      <c r="AAS15" s="228"/>
      <c r="AAT15" s="228"/>
      <c r="AAU15" s="228"/>
      <c r="AAV15" s="228"/>
      <c r="AAW15" s="232"/>
      <c r="AAX15" s="227"/>
      <c r="AAY15" s="228"/>
      <c r="AAZ15" s="228"/>
      <c r="ABA15" s="228"/>
      <c r="ABB15" s="228"/>
      <c r="ABC15" s="229"/>
      <c r="ABD15" s="228"/>
      <c r="ABE15" s="228"/>
      <c r="ABF15" s="228"/>
      <c r="ABG15" s="228"/>
      <c r="ABH15" s="228"/>
      <c r="ABI15" s="230"/>
      <c r="ABJ15" s="228"/>
      <c r="ABK15" s="228"/>
      <c r="ABL15" s="228"/>
      <c r="ABM15" s="228"/>
      <c r="ABN15" s="228"/>
      <c r="ABO15" s="231"/>
      <c r="ABP15" s="228"/>
      <c r="ABQ15" s="228"/>
      <c r="ABR15" s="228"/>
      <c r="ABS15" s="228"/>
      <c r="ABT15" s="228"/>
      <c r="ABU15" s="230"/>
      <c r="ABV15" s="228"/>
      <c r="ABW15" s="228"/>
      <c r="ABX15" s="228"/>
      <c r="ABY15" s="228"/>
      <c r="ABZ15" s="228"/>
      <c r="ACA15" s="231"/>
      <c r="ACB15" s="228"/>
      <c r="ACC15" s="228"/>
      <c r="ACD15" s="228"/>
      <c r="ACE15" s="228"/>
      <c r="ACF15" s="228"/>
      <c r="ACG15" s="230"/>
      <c r="ACH15" s="228"/>
      <c r="ACI15" s="228"/>
      <c r="ACJ15" s="228"/>
      <c r="ACK15" s="228"/>
      <c r="ACL15" s="228"/>
      <c r="ACM15" s="231"/>
      <c r="ACN15" s="228"/>
      <c r="ACO15" s="228"/>
      <c r="ACP15" s="228"/>
      <c r="ACQ15" s="228"/>
      <c r="ACR15" s="228"/>
      <c r="ACS15" s="230"/>
      <c r="ACT15" s="228"/>
      <c r="ACU15" s="228"/>
      <c r="ACV15" s="228"/>
      <c r="ACW15" s="228"/>
      <c r="ACX15" s="228"/>
      <c r="ACY15" s="231"/>
      <c r="ACZ15" s="228"/>
      <c r="ADA15" s="228"/>
      <c r="ADB15" s="228"/>
      <c r="ADC15" s="228"/>
      <c r="ADD15" s="228"/>
      <c r="ADE15" s="232"/>
      <c r="ADF15" s="227"/>
      <c r="ADG15" s="228"/>
      <c r="ADH15" s="228"/>
      <c r="ADI15" s="228"/>
      <c r="ADJ15" s="228"/>
      <c r="ADK15" s="229"/>
      <c r="ADL15" s="228"/>
      <c r="ADM15" s="228"/>
      <c r="ADN15" s="228"/>
      <c r="ADO15" s="228"/>
      <c r="ADP15" s="228"/>
      <c r="ADQ15" s="230"/>
      <c r="ADR15" s="228"/>
      <c r="ADS15" s="228"/>
      <c r="ADT15" s="228"/>
      <c r="ADU15" s="228"/>
      <c r="ADV15" s="228"/>
      <c r="ADW15" s="231"/>
      <c r="ADX15" s="228"/>
      <c r="ADY15" s="228"/>
      <c r="ADZ15" s="228"/>
      <c r="AEA15" s="228"/>
      <c r="AEB15" s="228"/>
      <c r="AEC15" s="230"/>
      <c r="AED15" s="228"/>
      <c r="AEE15" s="228"/>
      <c r="AEF15" s="228"/>
      <c r="AEG15" s="228"/>
      <c r="AEH15" s="228"/>
      <c r="AEI15" s="231"/>
      <c r="AEJ15" s="228"/>
      <c r="AEK15" s="228"/>
      <c r="AEL15" s="228"/>
      <c r="AEM15" s="228"/>
      <c r="AEN15" s="228"/>
      <c r="AEO15" s="230"/>
      <c r="AEP15" s="228"/>
      <c r="AEQ15" s="228"/>
      <c r="AER15" s="228"/>
      <c r="AES15" s="228"/>
      <c r="AET15" s="228"/>
      <c r="AEU15" s="231"/>
      <c r="AEV15" s="228"/>
      <c r="AEW15" s="228"/>
      <c r="AEX15" s="228"/>
      <c r="AEY15" s="228"/>
      <c r="AEZ15" s="228"/>
      <c r="AFA15" s="230"/>
      <c r="AFB15" s="228"/>
      <c r="AFC15" s="228"/>
      <c r="AFD15" s="228"/>
      <c r="AFE15" s="228"/>
      <c r="AFF15" s="228"/>
      <c r="AFG15" s="231"/>
      <c r="AFH15" s="228"/>
      <c r="AFI15" s="228"/>
      <c r="AFJ15" s="228"/>
      <c r="AFK15" s="228"/>
      <c r="AFL15" s="228"/>
      <c r="AFM15" s="232"/>
      <c r="AFN15" s="227"/>
      <c r="AFO15" s="228"/>
      <c r="AFP15" s="228"/>
      <c r="AFQ15" s="228"/>
      <c r="AFR15" s="228"/>
      <c r="AFS15" s="229"/>
      <c r="AFT15" s="228"/>
      <c r="AFU15" s="228"/>
      <c r="AFV15" s="228"/>
      <c r="AFW15" s="228"/>
      <c r="AFX15" s="228"/>
      <c r="AFY15" s="230"/>
      <c r="AFZ15" s="228"/>
      <c r="AGA15" s="228"/>
      <c r="AGB15" s="228"/>
      <c r="AGC15" s="228"/>
      <c r="AGD15" s="228"/>
      <c r="AGE15" s="231"/>
      <c r="AGF15" s="228"/>
      <c r="AGG15" s="228"/>
      <c r="AGH15" s="228"/>
      <c r="AGI15" s="228"/>
      <c r="AGJ15" s="228"/>
      <c r="AGK15" s="230"/>
      <c r="AGL15" s="228"/>
      <c r="AGM15" s="228"/>
      <c r="AGN15" s="228"/>
      <c r="AGO15" s="228"/>
      <c r="AGP15" s="228"/>
      <c r="AGQ15" s="231"/>
      <c r="AGR15" s="228"/>
      <c r="AGS15" s="228"/>
      <c r="AGT15" s="228"/>
      <c r="AGU15" s="228"/>
      <c r="AGV15" s="228"/>
      <c r="AGW15" s="230"/>
      <c r="AGX15" s="228"/>
      <c r="AGY15" s="228"/>
      <c r="AGZ15" s="228"/>
      <c r="AHA15" s="228"/>
      <c r="AHB15" s="228"/>
      <c r="AHC15" s="231"/>
      <c r="AHD15" s="228"/>
      <c r="AHE15" s="228"/>
      <c r="AHF15" s="228"/>
      <c r="AHG15" s="228"/>
      <c r="AHH15" s="228"/>
      <c r="AHI15" s="230"/>
      <c r="AHJ15" s="228"/>
      <c r="AHK15" s="228"/>
      <c r="AHL15" s="228"/>
      <c r="AHM15" s="228"/>
      <c r="AHN15" s="228"/>
      <c r="AHO15" s="231"/>
      <c r="AHP15" s="228"/>
      <c r="AHQ15" s="228"/>
      <c r="AHR15" s="228"/>
      <c r="AHS15" s="228"/>
      <c r="AHT15" s="228"/>
      <c r="AHU15" s="232"/>
      <c r="AHV15" s="227"/>
      <c r="AHW15" s="228"/>
      <c r="AHX15" s="228"/>
      <c r="AHY15" s="228"/>
      <c r="AHZ15" s="228"/>
      <c r="AIA15" s="229"/>
      <c r="AIB15" s="228"/>
      <c r="AIC15" s="228"/>
      <c r="AID15" s="228"/>
      <c r="AIE15" s="228"/>
      <c r="AIF15" s="228"/>
      <c r="AIG15" s="230"/>
      <c r="AIH15" s="228"/>
      <c r="AII15" s="228"/>
      <c r="AIJ15" s="228"/>
      <c r="AIK15" s="228"/>
      <c r="AIL15" s="228"/>
      <c r="AIM15" s="231"/>
      <c r="AIN15" s="228"/>
      <c r="AIO15" s="228"/>
      <c r="AIP15" s="228"/>
      <c r="AIQ15" s="228"/>
      <c r="AIR15" s="228"/>
      <c r="AIS15" s="230"/>
      <c r="AIT15" s="228"/>
      <c r="AIU15" s="228"/>
      <c r="AIV15" s="228"/>
      <c r="AIW15" s="228"/>
      <c r="AIX15" s="228"/>
      <c r="AIY15" s="231"/>
      <c r="AIZ15" s="228"/>
      <c r="AJA15" s="228"/>
      <c r="AJB15" s="228"/>
      <c r="AJC15" s="228"/>
      <c r="AJD15" s="228"/>
      <c r="AJE15" s="230"/>
      <c r="AJF15" s="228"/>
      <c r="AJG15" s="228"/>
      <c r="AJH15" s="228"/>
      <c r="AJI15" s="228"/>
      <c r="AJJ15" s="228"/>
      <c r="AJK15" s="231"/>
      <c r="AJL15" s="228"/>
      <c r="AJM15" s="228"/>
      <c r="AJN15" s="228"/>
      <c r="AJO15" s="228"/>
      <c r="AJP15" s="228"/>
      <c r="AJQ15" s="230"/>
      <c r="AJR15" s="228"/>
      <c r="AJS15" s="228"/>
      <c r="AJT15" s="228"/>
      <c r="AJU15" s="228"/>
      <c r="AJV15" s="228"/>
      <c r="AJW15" s="231"/>
      <c r="AJX15" s="228"/>
      <c r="AJY15" s="228"/>
      <c r="AJZ15" s="228"/>
      <c r="AKA15" s="228"/>
      <c r="AKB15" s="228"/>
      <c r="AKC15" s="232"/>
      <c r="AKD15" s="227"/>
      <c r="AKE15" s="228"/>
      <c r="AKF15" s="228"/>
      <c r="AKG15" s="228"/>
      <c r="AKH15" s="228"/>
      <c r="AKI15" s="229"/>
      <c r="AKJ15" s="228"/>
      <c r="AKK15" s="228"/>
      <c r="AKL15" s="228"/>
      <c r="AKM15" s="228"/>
      <c r="AKN15" s="228"/>
      <c r="AKO15" s="230"/>
      <c r="AKP15" s="228"/>
      <c r="AKQ15" s="228"/>
      <c r="AKR15" s="228"/>
      <c r="AKS15" s="228"/>
      <c r="AKT15" s="228"/>
      <c r="AKU15" s="231"/>
      <c r="AKV15" s="228"/>
      <c r="AKW15" s="228"/>
      <c r="AKX15" s="228"/>
      <c r="AKY15" s="228"/>
      <c r="AKZ15" s="228"/>
      <c r="ALA15" s="230"/>
      <c r="ALB15" s="228"/>
      <c r="ALC15" s="228"/>
      <c r="ALD15" s="228"/>
      <c r="ALE15" s="228"/>
      <c r="ALF15" s="228"/>
      <c r="ALG15" s="231"/>
      <c r="ALH15" s="228"/>
      <c r="ALI15" s="228"/>
      <c r="ALJ15" s="228"/>
      <c r="ALK15" s="228"/>
      <c r="ALL15" s="228"/>
      <c r="ALM15" s="230"/>
      <c r="ALN15" s="228"/>
      <c r="ALO15" s="228"/>
      <c r="ALP15" s="228"/>
      <c r="ALQ15" s="228"/>
      <c r="ALR15" s="228"/>
      <c r="ALS15" s="231"/>
      <c r="ALT15" s="228"/>
      <c r="ALU15" s="228"/>
      <c r="ALV15" s="228"/>
      <c r="ALW15" s="228"/>
      <c r="ALX15" s="228"/>
      <c r="ALY15" s="230"/>
      <c r="ALZ15" s="228"/>
      <c r="AMA15" s="228"/>
      <c r="AMB15" s="228"/>
      <c r="AMC15" s="228"/>
      <c r="AMD15" s="228"/>
      <c r="AME15" s="231"/>
      <c r="AMF15" s="228"/>
      <c r="AMG15" s="228"/>
      <c r="AMH15" s="228"/>
      <c r="AMI15" s="228"/>
      <c r="AMJ15" s="228"/>
      <c r="AMK15" s="232"/>
      <c r="AML15" s="227"/>
      <c r="AMM15" s="228"/>
      <c r="AMN15" s="228"/>
      <c r="AMO15" s="228"/>
      <c r="AMP15" s="228"/>
      <c r="AMQ15" s="229"/>
      <c r="AMR15" s="228"/>
      <c r="AMS15" s="228"/>
      <c r="AMT15" s="228"/>
      <c r="AMU15" s="228"/>
      <c r="AMV15" s="228"/>
      <c r="AMW15" s="230"/>
      <c r="AMX15" s="228"/>
      <c r="AMY15" s="228"/>
      <c r="AMZ15" s="228"/>
      <c r="ANA15" s="228"/>
      <c r="ANB15" s="228"/>
      <c r="ANC15" s="231"/>
      <c r="AND15" s="228"/>
      <c r="ANE15" s="228"/>
      <c r="ANF15" s="228"/>
      <c r="ANG15" s="228"/>
      <c r="ANH15" s="228"/>
      <c r="ANI15" s="230"/>
      <c r="ANJ15" s="228"/>
      <c r="ANK15" s="228"/>
      <c r="ANL15" s="228"/>
      <c r="ANM15" s="228"/>
      <c r="ANN15" s="228"/>
      <c r="ANO15" s="231"/>
      <c r="ANP15" s="228"/>
      <c r="ANQ15" s="228"/>
      <c r="ANR15" s="228"/>
      <c r="ANS15" s="228"/>
      <c r="ANT15" s="228"/>
      <c r="ANU15" s="230"/>
      <c r="ANV15" s="228"/>
      <c r="ANW15" s="228"/>
      <c r="ANX15" s="228"/>
      <c r="ANY15" s="228"/>
      <c r="ANZ15" s="228"/>
      <c r="AOA15" s="231"/>
      <c r="AOB15" s="228"/>
      <c r="AOC15" s="228"/>
      <c r="AOD15" s="228"/>
      <c r="AOE15" s="228"/>
      <c r="AOF15" s="228"/>
      <c r="AOG15" s="230"/>
      <c r="AOH15" s="228"/>
      <c r="AOI15" s="228"/>
      <c r="AOJ15" s="228"/>
      <c r="AOK15" s="228"/>
      <c r="AOL15" s="228"/>
      <c r="AOM15" s="231"/>
      <c r="AON15" s="228"/>
      <c r="AOO15" s="228"/>
      <c r="AOP15" s="228"/>
      <c r="AOQ15" s="228"/>
      <c r="AOR15" s="228"/>
      <c r="AOS15" s="232"/>
      <c r="AOT15" s="227"/>
      <c r="AOU15" s="228"/>
      <c r="AOV15" s="228"/>
      <c r="AOW15" s="228"/>
      <c r="AOX15" s="228"/>
      <c r="AOY15" s="229"/>
      <c r="AOZ15" s="228"/>
      <c r="APA15" s="228"/>
      <c r="APB15" s="228"/>
      <c r="APC15" s="228"/>
      <c r="APD15" s="228"/>
      <c r="APE15" s="230"/>
      <c r="APF15" s="228"/>
      <c r="APG15" s="228"/>
      <c r="APH15" s="228"/>
      <c r="API15" s="228"/>
      <c r="APJ15" s="228"/>
      <c r="APK15" s="231"/>
      <c r="APL15" s="228"/>
      <c r="APM15" s="228"/>
      <c r="APN15" s="228"/>
      <c r="APO15" s="228"/>
      <c r="APP15" s="228"/>
      <c r="APQ15" s="230"/>
      <c r="APR15" s="228"/>
      <c r="APS15" s="228"/>
      <c r="APT15" s="228"/>
      <c r="APU15" s="228"/>
      <c r="APV15" s="228"/>
      <c r="APW15" s="231"/>
      <c r="APX15" s="228"/>
      <c r="APY15" s="228"/>
      <c r="APZ15" s="228"/>
      <c r="AQA15" s="228"/>
      <c r="AQB15" s="228"/>
      <c r="AQC15" s="230"/>
      <c r="AQD15" s="228"/>
      <c r="AQE15" s="228"/>
      <c r="AQF15" s="228"/>
      <c r="AQG15" s="228"/>
      <c r="AQH15" s="228"/>
      <c r="AQI15" s="231"/>
      <c r="AQJ15" s="228"/>
      <c r="AQK15" s="228"/>
      <c r="AQL15" s="228"/>
      <c r="AQM15" s="228"/>
      <c r="AQN15" s="228"/>
      <c r="AQO15" s="230"/>
      <c r="AQP15" s="228"/>
      <c r="AQQ15" s="228"/>
      <c r="AQR15" s="228"/>
      <c r="AQS15" s="228"/>
      <c r="AQT15" s="228"/>
      <c r="AQU15" s="231"/>
      <c r="AQV15" s="228"/>
      <c r="AQW15" s="228"/>
      <c r="AQX15" s="228"/>
      <c r="AQY15" s="228"/>
      <c r="AQZ15" s="228"/>
      <c r="ARA15" s="232"/>
      <c r="ARB15" s="227"/>
      <c r="ARC15" s="228"/>
      <c r="ARD15" s="228"/>
      <c r="ARE15" s="228"/>
      <c r="ARF15" s="228"/>
      <c r="ARG15" s="229"/>
      <c r="ARH15" s="228"/>
      <c r="ARI15" s="228"/>
      <c r="ARJ15" s="228"/>
      <c r="ARK15" s="228"/>
      <c r="ARL15" s="228"/>
      <c r="ARM15" s="230"/>
      <c r="ARN15" s="228"/>
      <c r="ARO15" s="228"/>
      <c r="ARP15" s="228"/>
      <c r="ARQ15" s="228"/>
      <c r="ARR15" s="228"/>
      <c r="ARS15" s="231"/>
      <c r="ART15" s="228"/>
      <c r="ARU15" s="228"/>
      <c r="ARV15" s="228"/>
      <c r="ARW15" s="228"/>
      <c r="ARX15" s="228"/>
      <c r="ARY15" s="230"/>
      <c r="ARZ15" s="228"/>
      <c r="ASA15" s="228"/>
      <c r="ASB15" s="228"/>
      <c r="ASC15" s="228"/>
      <c r="ASD15" s="228"/>
      <c r="ASE15" s="231"/>
      <c r="ASF15" s="228"/>
      <c r="ASG15" s="228"/>
      <c r="ASH15" s="228"/>
      <c r="ASI15" s="228"/>
      <c r="ASJ15" s="228"/>
      <c r="ASK15" s="230"/>
      <c r="ASL15" s="228"/>
      <c r="ASM15" s="228"/>
      <c r="ASN15" s="228"/>
      <c r="ASO15" s="228"/>
      <c r="ASP15" s="228"/>
      <c r="ASQ15" s="231"/>
      <c r="ASR15" s="228"/>
      <c r="ASS15" s="228"/>
      <c r="AST15" s="228"/>
      <c r="ASU15" s="228"/>
      <c r="ASV15" s="228"/>
      <c r="ASW15" s="230"/>
      <c r="ASX15" s="228"/>
      <c r="ASY15" s="228"/>
      <c r="ASZ15" s="228"/>
      <c r="ATA15" s="228"/>
      <c r="ATB15" s="228"/>
      <c r="ATC15" s="231"/>
      <c r="ATD15" s="228"/>
      <c r="ATE15" s="228"/>
      <c r="ATF15" s="228"/>
      <c r="ATG15" s="228"/>
      <c r="ATH15" s="228"/>
      <c r="ATI15" s="232"/>
      <c r="ATJ15" s="227"/>
      <c r="ATK15" s="228"/>
      <c r="ATL15" s="228"/>
      <c r="ATM15" s="228"/>
      <c r="ATN15" s="228"/>
      <c r="ATO15" s="229"/>
      <c r="ATP15" s="228"/>
      <c r="ATQ15" s="228"/>
      <c r="ATR15" s="228"/>
      <c r="ATS15" s="228"/>
      <c r="ATT15" s="228"/>
      <c r="ATU15" s="230"/>
      <c r="ATV15" s="228"/>
      <c r="ATW15" s="228"/>
      <c r="ATX15" s="228"/>
      <c r="ATY15" s="228"/>
      <c r="ATZ15" s="228"/>
      <c r="AUA15" s="231"/>
      <c r="AUB15" s="228"/>
      <c r="AUC15" s="228"/>
      <c r="AUD15" s="228"/>
      <c r="AUE15" s="228"/>
      <c r="AUF15" s="228"/>
      <c r="AUG15" s="230"/>
      <c r="AUH15" s="228"/>
      <c r="AUI15" s="228"/>
      <c r="AUJ15" s="228"/>
      <c r="AUK15" s="228"/>
      <c r="AUL15" s="228"/>
      <c r="AUM15" s="231"/>
      <c r="AUN15" s="228"/>
      <c r="AUO15" s="228"/>
      <c r="AUP15" s="228"/>
      <c r="AUQ15" s="228"/>
      <c r="AUR15" s="228"/>
      <c r="AUS15" s="230"/>
      <c r="AUT15" s="228"/>
      <c r="AUU15" s="228"/>
      <c r="AUV15" s="228"/>
      <c r="AUW15" s="228"/>
      <c r="AUX15" s="228"/>
      <c r="AUY15" s="231"/>
      <c r="AUZ15" s="228"/>
      <c r="AVA15" s="228"/>
      <c r="AVB15" s="228"/>
      <c r="AVC15" s="228"/>
      <c r="AVD15" s="228"/>
      <c r="AVE15" s="230"/>
      <c r="AVF15" s="228"/>
      <c r="AVG15" s="228"/>
      <c r="AVH15" s="228"/>
      <c r="AVI15" s="228"/>
      <c r="AVJ15" s="228"/>
      <c r="AVK15" s="231"/>
      <c r="AVL15" s="228"/>
      <c r="AVM15" s="228"/>
      <c r="AVN15" s="228"/>
      <c r="AVO15" s="228"/>
      <c r="AVP15" s="228"/>
      <c r="AVQ15" s="232"/>
      <c r="AVR15" s="227"/>
      <c r="AVS15" s="228"/>
      <c r="AVT15" s="228"/>
      <c r="AVU15" s="228"/>
      <c r="AVV15" s="228"/>
      <c r="AVW15" s="229"/>
      <c r="AVX15" s="228"/>
      <c r="AVY15" s="228"/>
      <c r="AVZ15" s="228"/>
      <c r="AWA15" s="228"/>
      <c r="AWB15" s="228"/>
      <c r="AWC15" s="230"/>
      <c r="AWD15" s="228"/>
      <c r="AWE15" s="228"/>
      <c r="AWF15" s="228"/>
      <c r="AWG15" s="228"/>
      <c r="AWH15" s="228"/>
      <c r="AWI15" s="231"/>
      <c r="AWJ15" s="228"/>
      <c r="AWK15" s="228"/>
      <c r="AWL15" s="228"/>
      <c r="AWM15" s="228"/>
      <c r="AWN15" s="228"/>
      <c r="AWO15" s="230"/>
      <c r="AWP15" s="228"/>
      <c r="AWQ15" s="228"/>
      <c r="AWR15" s="228"/>
      <c r="AWS15" s="228"/>
      <c r="AWT15" s="228"/>
      <c r="AWU15" s="231"/>
      <c r="AWV15" s="228"/>
      <c r="AWW15" s="228"/>
      <c r="AWX15" s="228"/>
      <c r="AWY15" s="228"/>
      <c r="AWZ15" s="228"/>
      <c r="AXA15" s="230"/>
      <c r="AXB15" s="228"/>
      <c r="AXC15" s="228"/>
      <c r="AXD15" s="228"/>
      <c r="AXE15" s="228"/>
      <c r="AXF15" s="228"/>
      <c r="AXG15" s="231"/>
      <c r="AXH15" s="228"/>
      <c r="AXI15" s="228"/>
      <c r="AXJ15" s="228"/>
      <c r="AXK15" s="228"/>
      <c r="AXL15" s="228"/>
      <c r="AXM15" s="230"/>
      <c r="AXN15" s="228"/>
      <c r="AXO15" s="228"/>
      <c r="AXP15" s="228"/>
      <c r="AXQ15" s="228"/>
      <c r="AXR15" s="228"/>
      <c r="AXS15" s="231"/>
      <c r="AXT15" s="228"/>
      <c r="AXU15" s="228"/>
      <c r="AXV15" s="228"/>
      <c r="AXW15" s="228"/>
      <c r="AXX15" s="228"/>
      <c r="AXY15" s="232"/>
      <c r="AXZ15" s="227"/>
      <c r="AYA15" s="228"/>
      <c r="AYB15" s="228"/>
      <c r="AYC15" s="228"/>
      <c r="AYD15" s="228"/>
      <c r="AYE15" s="229"/>
      <c r="AYF15" s="228"/>
      <c r="AYG15" s="228"/>
      <c r="AYH15" s="228"/>
      <c r="AYI15" s="228"/>
      <c r="AYJ15" s="228"/>
      <c r="AYK15" s="230"/>
      <c r="AYL15" s="228"/>
      <c r="AYM15" s="228"/>
      <c r="AYN15" s="228"/>
      <c r="AYO15" s="228"/>
      <c r="AYP15" s="228"/>
      <c r="AYQ15" s="231"/>
      <c r="AYR15" s="228"/>
      <c r="AYS15" s="228"/>
      <c r="AYT15" s="228"/>
      <c r="AYU15" s="228"/>
      <c r="AYV15" s="228"/>
      <c r="AYW15" s="230"/>
      <c r="AYX15" s="228"/>
      <c r="AYY15" s="228"/>
      <c r="AYZ15" s="228"/>
      <c r="AZA15" s="228"/>
      <c r="AZB15" s="228"/>
      <c r="AZC15" s="231"/>
      <c r="AZD15" s="228"/>
      <c r="AZE15" s="228"/>
      <c r="AZF15" s="228"/>
      <c r="AZG15" s="228"/>
      <c r="AZH15" s="228"/>
      <c r="AZI15" s="230"/>
      <c r="AZJ15" s="228"/>
      <c r="AZK15" s="228"/>
      <c r="AZL15" s="228"/>
      <c r="AZM15" s="228"/>
      <c r="AZN15" s="228"/>
      <c r="AZO15" s="231"/>
      <c r="AZP15" s="228"/>
      <c r="AZQ15" s="228"/>
      <c r="AZR15" s="228"/>
      <c r="AZS15" s="228"/>
      <c r="AZT15" s="228"/>
      <c r="AZU15" s="230"/>
      <c r="AZV15" s="228"/>
      <c r="AZW15" s="228"/>
      <c r="AZX15" s="228"/>
      <c r="AZY15" s="228"/>
      <c r="AZZ15" s="228"/>
      <c r="BAA15" s="231"/>
      <c r="BAB15" s="228"/>
      <c r="BAC15" s="228"/>
      <c r="BAD15" s="228"/>
      <c r="BAE15" s="228"/>
      <c r="BAF15" s="228"/>
      <c r="BAG15" s="232"/>
      <c r="BAH15" s="227"/>
      <c r="BAI15" s="228"/>
      <c r="BAJ15" s="228"/>
      <c r="BAK15" s="228"/>
      <c r="BAL15" s="228"/>
      <c r="BAM15" s="229"/>
      <c r="BAN15" s="228"/>
      <c r="BAO15" s="228"/>
      <c r="BAP15" s="228"/>
      <c r="BAQ15" s="228"/>
      <c r="BAR15" s="228"/>
      <c r="BAS15" s="230"/>
      <c r="BAT15" s="228"/>
      <c r="BAU15" s="228"/>
      <c r="BAV15" s="228"/>
      <c r="BAW15" s="228"/>
      <c r="BAX15" s="228"/>
      <c r="BAY15" s="231"/>
      <c r="BAZ15" s="228"/>
      <c r="BBA15" s="228"/>
      <c r="BBB15" s="228"/>
      <c r="BBC15" s="228"/>
      <c r="BBD15" s="228"/>
      <c r="BBE15" s="230"/>
      <c r="BBF15" s="228"/>
      <c r="BBG15" s="228"/>
      <c r="BBH15" s="228"/>
      <c r="BBI15" s="228"/>
      <c r="BBJ15" s="228"/>
      <c r="BBK15" s="231"/>
      <c r="BBL15" s="228"/>
      <c r="BBM15" s="228"/>
      <c r="BBN15" s="228"/>
      <c r="BBO15" s="228"/>
      <c r="BBP15" s="228"/>
      <c r="BBQ15" s="230"/>
      <c r="BBR15" s="228"/>
      <c r="BBS15" s="228"/>
      <c r="BBT15" s="228"/>
      <c r="BBU15" s="228"/>
      <c r="BBV15" s="228"/>
      <c r="BBW15" s="231"/>
      <c r="BBX15" s="228"/>
      <c r="BBY15" s="228"/>
      <c r="BBZ15" s="228"/>
      <c r="BCA15" s="228"/>
      <c r="BCB15" s="228"/>
      <c r="BCC15" s="230"/>
      <c r="BCD15" s="228"/>
      <c r="BCE15" s="228"/>
      <c r="BCF15" s="228"/>
      <c r="BCG15" s="228"/>
      <c r="BCH15" s="228"/>
      <c r="BCI15" s="231"/>
      <c r="BCJ15" s="228"/>
      <c r="BCK15" s="228"/>
      <c r="BCL15" s="228"/>
      <c r="BCM15" s="228"/>
      <c r="BCN15" s="228"/>
      <c r="BCO15" s="232"/>
      <c r="BCP15" s="227"/>
      <c r="BCQ15" s="228"/>
      <c r="BCR15" s="228"/>
      <c r="BCS15" s="228"/>
      <c r="BCT15" s="228"/>
      <c r="BCU15" s="229"/>
      <c r="BCV15" s="228"/>
      <c r="BCW15" s="228"/>
      <c r="BCX15" s="228"/>
      <c r="BCY15" s="228"/>
      <c r="BCZ15" s="228"/>
      <c r="BDA15" s="230"/>
      <c r="BDB15" s="228"/>
      <c r="BDC15" s="228"/>
      <c r="BDD15" s="228"/>
      <c r="BDE15" s="228"/>
      <c r="BDF15" s="228"/>
      <c r="BDG15" s="231"/>
      <c r="BDH15" s="228"/>
      <c r="BDI15" s="228"/>
      <c r="BDJ15" s="228"/>
      <c r="BDK15" s="228"/>
      <c r="BDL15" s="228"/>
      <c r="BDM15" s="230"/>
      <c r="BDN15" s="228"/>
      <c r="BDO15" s="228"/>
      <c r="BDP15" s="228"/>
      <c r="BDQ15" s="228"/>
      <c r="BDR15" s="228"/>
      <c r="BDS15" s="231"/>
      <c r="BDT15" s="228"/>
      <c r="BDU15" s="228"/>
      <c r="BDV15" s="228"/>
      <c r="BDW15" s="228"/>
      <c r="BDX15" s="228"/>
      <c r="BDY15" s="230"/>
      <c r="BDZ15" s="228"/>
      <c r="BEA15" s="228"/>
      <c r="BEB15" s="228"/>
      <c r="BEC15" s="228"/>
      <c r="BED15" s="228"/>
      <c r="BEE15" s="231"/>
      <c r="BEF15" s="228"/>
      <c r="BEG15" s="228"/>
      <c r="BEH15" s="228"/>
      <c r="BEI15" s="228"/>
      <c r="BEJ15" s="228"/>
      <c r="BEK15" s="230"/>
      <c r="BEL15" s="228"/>
      <c r="BEM15" s="228"/>
      <c r="BEN15" s="228"/>
      <c r="BEO15" s="228"/>
      <c r="BEP15" s="228"/>
      <c r="BEQ15" s="231"/>
      <c r="BER15" s="228"/>
      <c r="BES15" s="228"/>
      <c r="BET15" s="228"/>
      <c r="BEU15" s="228"/>
      <c r="BEV15" s="228"/>
      <c r="BEW15" s="232"/>
      <c r="BEX15" s="227"/>
      <c r="BEY15" s="228"/>
      <c r="BEZ15" s="228"/>
      <c r="BFA15" s="228"/>
      <c r="BFB15" s="228"/>
      <c r="BFC15" s="229"/>
      <c r="BFD15" s="228"/>
      <c r="BFE15" s="228"/>
      <c r="BFF15" s="228"/>
      <c r="BFG15" s="228"/>
      <c r="BFH15" s="228"/>
      <c r="BFI15" s="230"/>
      <c r="BFJ15" s="228"/>
      <c r="BFK15" s="228"/>
      <c r="BFL15" s="228"/>
      <c r="BFM15" s="228"/>
      <c r="BFN15" s="228"/>
      <c r="BFO15" s="231"/>
      <c r="BFP15" s="228"/>
      <c r="BFQ15" s="228"/>
      <c r="BFR15" s="228"/>
      <c r="BFS15" s="228"/>
      <c r="BFT15" s="228"/>
      <c r="BFU15" s="230"/>
      <c r="BFV15" s="228"/>
      <c r="BFW15" s="228"/>
      <c r="BFX15" s="228"/>
      <c r="BFY15" s="228"/>
      <c r="BFZ15" s="228"/>
      <c r="BGA15" s="231"/>
      <c r="BGB15" s="228"/>
      <c r="BGC15" s="228"/>
      <c r="BGD15" s="228"/>
      <c r="BGE15" s="228"/>
      <c r="BGF15" s="228"/>
      <c r="BGG15" s="230"/>
      <c r="BGH15" s="228"/>
      <c r="BGI15" s="228"/>
      <c r="BGJ15" s="228"/>
      <c r="BGK15" s="228"/>
      <c r="BGL15" s="228"/>
      <c r="BGM15" s="231"/>
      <c r="BGN15" s="228"/>
      <c r="BGO15" s="228"/>
      <c r="BGP15" s="228"/>
      <c r="BGQ15" s="228"/>
      <c r="BGR15" s="228"/>
      <c r="BGS15" s="230"/>
      <c r="BGT15" s="228"/>
      <c r="BGU15" s="228"/>
      <c r="BGV15" s="228"/>
      <c r="BGW15" s="228"/>
      <c r="BGX15" s="228"/>
      <c r="BGY15" s="231"/>
      <c r="BGZ15" s="228"/>
      <c r="BHA15" s="228"/>
      <c r="BHB15" s="228"/>
      <c r="BHC15" s="228"/>
      <c r="BHD15" s="228"/>
      <c r="BHE15" s="232"/>
      <c r="BHF15" s="227"/>
      <c r="BHG15" s="228"/>
      <c r="BHH15" s="228"/>
      <c r="BHI15" s="228"/>
      <c r="BHJ15" s="228"/>
      <c r="BHK15" s="229"/>
      <c r="BHL15" s="228"/>
      <c r="BHM15" s="228"/>
      <c r="BHN15" s="228"/>
      <c r="BHO15" s="228"/>
      <c r="BHP15" s="228"/>
      <c r="BHQ15" s="230"/>
      <c r="BHR15" s="228"/>
      <c r="BHS15" s="228"/>
      <c r="BHT15" s="228"/>
      <c r="BHU15" s="228"/>
      <c r="BHV15" s="228"/>
      <c r="BHW15" s="231"/>
      <c r="BHX15" s="228"/>
      <c r="BHY15" s="228"/>
      <c r="BHZ15" s="228"/>
      <c r="BIA15" s="228"/>
      <c r="BIB15" s="228"/>
      <c r="BIC15" s="230"/>
      <c r="BID15" s="228"/>
      <c r="BIE15" s="228"/>
      <c r="BIF15" s="228"/>
      <c r="BIG15" s="228"/>
      <c r="BIH15" s="228"/>
      <c r="BII15" s="231"/>
      <c r="BIJ15" s="228"/>
      <c r="BIK15" s="228"/>
      <c r="BIL15" s="228"/>
      <c r="BIM15" s="228"/>
      <c r="BIN15" s="228"/>
      <c r="BIO15" s="230"/>
      <c r="BIP15" s="228"/>
      <c r="BIQ15" s="228"/>
      <c r="BIR15" s="228"/>
      <c r="BIS15" s="228"/>
      <c r="BIT15" s="228"/>
      <c r="BIU15" s="231"/>
      <c r="BIV15" s="228"/>
      <c r="BIW15" s="228"/>
      <c r="BIX15" s="228"/>
      <c r="BIY15" s="228"/>
      <c r="BIZ15" s="228"/>
      <c r="BJA15" s="230"/>
      <c r="BJB15" s="228"/>
      <c r="BJC15" s="228"/>
      <c r="BJD15" s="228"/>
      <c r="BJE15" s="228"/>
      <c r="BJF15" s="228"/>
      <c r="BJG15" s="231"/>
      <c r="BJH15" s="228"/>
      <c r="BJI15" s="228"/>
      <c r="BJJ15" s="228"/>
      <c r="BJK15" s="228"/>
      <c r="BJL15" s="228"/>
      <c r="BJM15" s="232"/>
      <c r="BJN15" s="233"/>
      <c r="BJO15" s="234"/>
      <c r="BJP15" s="234"/>
      <c r="BJQ15" s="234"/>
      <c r="BJR15" s="234"/>
      <c r="BJS15" s="234"/>
      <c r="BJT15" s="234"/>
      <c r="BJU15" s="234"/>
      <c r="BJV15" s="234"/>
      <c r="BJW15" s="234"/>
      <c r="BJX15" s="234"/>
      <c r="BJY15" s="234"/>
      <c r="BJZ15" s="234"/>
      <c r="BKA15" s="234"/>
      <c r="BKB15" s="234"/>
      <c r="BKC15" s="234"/>
      <c r="BKD15" s="234"/>
      <c r="BKE15" s="234"/>
      <c r="BKF15" s="234"/>
      <c r="BKG15" s="234"/>
      <c r="BKH15" s="234"/>
      <c r="BKI15" s="234"/>
      <c r="BKJ15" s="234"/>
      <c r="BKK15" s="234"/>
      <c r="BKL15" s="234"/>
      <c r="BKM15" s="234"/>
      <c r="BKN15" s="234"/>
    </row>
    <row r="16" spans="1:1652" ht="20.100000000000001" customHeight="1" x14ac:dyDescent="0.25">
      <c r="A16" s="84" t="s">
        <v>20</v>
      </c>
      <c r="B16" s="53" t="str">
        <f>IF(LEN(C17)=0,"",C17)</f>
        <v>CDC - Validation</v>
      </c>
      <c r="C16" s="189"/>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174"/>
      <c r="BJO16" s="4"/>
      <c r="BJP16" s="4"/>
      <c r="BJQ16" s="4"/>
      <c r="BJR16" s="4"/>
      <c r="BJS16" s="4"/>
      <c r="BJT16" s="4"/>
      <c r="BJU16" s="4"/>
      <c r="BJV16" s="4"/>
      <c r="BJW16" s="4"/>
      <c r="BJX16" s="4"/>
      <c r="BJY16" s="4"/>
      <c r="BJZ16" s="4"/>
      <c r="BKA16" s="4"/>
      <c r="BKB16" s="4"/>
      <c r="BKC16" s="4"/>
      <c r="BKD16" s="4"/>
      <c r="BKE16" s="4"/>
      <c r="BKF16" s="4"/>
      <c r="BKG16" s="4"/>
      <c r="BKH16" s="4"/>
      <c r="BKI16" s="4"/>
      <c r="BKJ16" s="4"/>
      <c r="BKK16" s="4"/>
      <c r="BKL16" s="4"/>
      <c r="BKM16" s="4"/>
      <c r="BKN16" s="4"/>
    </row>
    <row r="17" spans="1:1653" ht="20.100000000000001" customHeight="1" x14ac:dyDescent="0.25">
      <c r="A17" s="84" t="s">
        <v>19</v>
      </c>
      <c r="B17" s="53" t="str">
        <f>IF(LEN(C19)=0,"",C19)</f>
        <v>Doc - Journal de travail</v>
      </c>
      <c r="C17" s="177" t="s">
        <v>48</v>
      </c>
      <c r="D17" s="129" t="str">
        <f t="shared" si="0"/>
        <v>1h</v>
      </c>
      <c r="E17" s="26">
        <v>12</v>
      </c>
      <c r="F17" s="157"/>
      <c r="G17" s="149"/>
      <c r="H17" s="149"/>
      <c r="I17" s="149"/>
      <c r="J17" s="149"/>
      <c r="K17" s="150"/>
      <c r="L17" s="149"/>
      <c r="M17" s="149"/>
      <c r="N17" s="149"/>
      <c r="O17" s="149"/>
      <c r="P17" s="149"/>
      <c r="Q17" s="151"/>
      <c r="R17" s="236"/>
      <c r="S17" s="236"/>
      <c r="T17" s="236"/>
      <c r="U17" s="236"/>
      <c r="V17" s="236"/>
      <c r="W17" s="239"/>
      <c r="X17" s="236"/>
      <c r="Y17" s="236"/>
      <c r="Z17" s="236"/>
      <c r="AA17" s="236"/>
      <c r="AB17" s="236"/>
      <c r="AC17" s="238"/>
      <c r="AD17" s="236"/>
      <c r="AE17" s="236"/>
      <c r="AF17" s="236"/>
      <c r="AG17" s="236"/>
      <c r="AH17" s="236"/>
      <c r="AI17" s="239"/>
      <c r="AJ17" s="236"/>
      <c r="AK17" s="236"/>
      <c r="AL17" s="236"/>
      <c r="AM17" s="236"/>
      <c r="AN17" s="236"/>
      <c r="AO17" s="238"/>
      <c r="AP17" s="236"/>
      <c r="AQ17" s="236"/>
      <c r="AR17" s="236"/>
      <c r="AS17" s="236"/>
      <c r="AT17" s="236"/>
      <c r="AU17" s="239"/>
      <c r="AV17" s="236"/>
      <c r="AW17" s="236"/>
      <c r="AX17" s="236"/>
      <c r="AY17" s="236"/>
      <c r="AZ17" s="236"/>
      <c r="BA17" s="238"/>
      <c r="BB17" s="236"/>
      <c r="BC17" s="236"/>
      <c r="BD17" s="236"/>
      <c r="BE17" s="236"/>
      <c r="BF17" s="236"/>
      <c r="BG17" s="239"/>
      <c r="BH17" s="236"/>
      <c r="BI17" s="236"/>
      <c r="BJ17" s="236"/>
      <c r="BK17" s="236"/>
      <c r="BL17" s="236"/>
      <c r="BM17" s="240"/>
      <c r="BN17" s="235"/>
      <c r="BO17" s="236"/>
      <c r="BP17" s="236"/>
      <c r="BQ17" s="236"/>
      <c r="BR17" s="236"/>
      <c r="BS17" s="237"/>
      <c r="BT17" s="236"/>
      <c r="BU17" s="236"/>
      <c r="BV17" s="236"/>
      <c r="BW17" s="236"/>
      <c r="BX17" s="236"/>
      <c r="BY17" s="238"/>
      <c r="BZ17" s="236"/>
      <c r="CA17" s="236"/>
      <c r="CB17" s="236"/>
      <c r="CC17" s="236"/>
      <c r="CD17" s="236"/>
      <c r="CE17" s="239"/>
      <c r="CF17" s="236"/>
      <c r="CG17" s="236"/>
      <c r="CH17" s="236"/>
      <c r="CI17" s="236"/>
      <c r="CJ17" s="236"/>
      <c r="CK17" s="238"/>
      <c r="CL17" s="236"/>
      <c r="CM17" s="236"/>
      <c r="CN17" s="236"/>
      <c r="CO17" s="236"/>
      <c r="CP17" s="236"/>
      <c r="CQ17" s="239"/>
      <c r="CR17" s="236"/>
      <c r="CS17" s="236"/>
      <c r="CT17" s="236"/>
      <c r="CU17" s="236"/>
      <c r="CV17" s="236"/>
      <c r="CW17" s="238"/>
      <c r="CX17" s="236"/>
      <c r="CY17" s="236"/>
      <c r="CZ17" s="236"/>
      <c r="DA17" s="236"/>
      <c r="DB17" s="236"/>
      <c r="DC17" s="239"/>
      <c r="DD17" s="236"/>
      <c r="DE17" s="236"/>
      <c r="DF17" s="236"/>
      <c r="DG17" s="236"/>
      <c r="DH17" s="236"/>
      <c r="DI17" s="238"/>
      <c r="DJ17" s="236"/>
      <c r="DK17" s="236"/>
      <c r="DL17" s="236"/>
      <c r="DM17" s="236"/>
      <c r="DN17" s="236"/>
      <c r="DO17" s="239"/>
      <c r="DP17" s="236"/>
      <c r="DQ17" s="236"/>
      <c r="DR17" s="236"/>
      <c r="DS17" s="236"/>
      <c r="DT17" s="236"/>
      <c r="DU17" s="240"/>
      <c r="DV17" s="235"/>
      <c r="DW17" s="236"/>
      <c r="DX17" s="236"/>
      <c r="DY17" s="236"/>
      <c r="DZ17" s="236"/>
      <c r="EA17" s="237"/>
      <c r="EB17" s="236"/>
      <c r="EC17" s="236"/>
      <c r="ED17" s="236"/>
      <c r="EE17" s="236"/>
      <c r="EF17" s="236"/>
      <c r="EG17" s="238"/>
      <c r="EH17" s="236"/>
      <c r="EI17" s="236"/>
      <c r="EJ17" s="236"/>
      <c r="EK17" s="236"/>
      <c r="EL17" s="236"/>
      <c r="EM17" s="239"/>
      <c r="EN17" s="236"/>
      <c r="EO17" s="236"/>
      <c r="EP17" s="236"/>
      <c r="EQ17" s="236"/>
      <c r="ER17" s="236"/>
      <c r="ES17" s="238"/>
      <c r="ET17" s="236"/>
      <c r="EU17" s="236"/>
      <c r="EV17" s="236"/>
      <c r="EW17" s="236"/>
      <c r="EX17" s="236"/>
      <c r="EY17" s="239"/>
      <c r="EZ17" s="236"/>
      <c r="FA17" s="236"/>
      <c r="FB17" s="236"/>
      <c r="FC17" s="236"/>
      <c r="FD17" s="236"/>
      <c r="FE17" s="238"/>
      <c r="FF17" s="236"/>
      <c r="FG17" s="236"/>
      <c r="FH17" s="236"/>
      <c r="FI17" s="236"/>
      <c r="FJ17" s="236"/>
      <c r="FK17" s="239"/>
      <c r="FL17" s="236"/>
      <c r="FM17" s="236"/>
      <c r="FN17" s="236"/>
      <c r="FO17" s="236"/>
      <c r="FP17" s="236"/>
      <c r="FQ17" s="238"/>
      <c r="FR17" s="236"/>
      <c r="FS17" s="236"/>
      <c r="FT17" s="236"/>
      <c r="FU17" s="236"/>
      <c r="FV17" s="236"/>
      <c r="FW17" s="239"/>
      <c r="FX17" s="236"/>
      <c r="FY17" s="236"/>
      <c r="FZ17" s="236"/>
      <c r="GA17" s="236"/>
      <c r="GB17" s="236"/>
      <c r="GC17" s="240"/>
      <c r="GD17" s="235"/>
      <c r="GE17" s="236"/>
      <c r="GF17" s="236"/>
      <c r="GG17" s="236"/>
      <c r="GH17" s="236"/>
      <c r="GI17" s="237"/>
      <c r="GJ17" s="236"/>
      <c r="GK17" s="236"/>
      <c r="GL17" s="236"/>
      <c r="GM17" s="236"/>
      <c r="GN17" s="236"/>
      <c r="GO17" s="238"/>
      <c r="GP17" s="236"/>
      <c r="GQ17" s="236"/>
      <c r="GR17" s="236"/>
      <c r="GS17" s="236"/>
      <c r="GT17" s="236"/>
      <c r="GU17" s="239"/>
      <c r="GV17" s="236"/>
      <c r="GW17" s="236"/>
      <c r="GX17" s="236"/>
      <c r="GY17" s="236"/>
      <c r="GZ17" s="236"/>
      <c r="HA17" s="238"/>
      <c r="HB17" s="236"/>
      <c r="HC17" s="236"/>
      <c r="HD17" s="236"/>
      <c r="HE17" s="236"/>
      <c r="HF17" s="236"/>
      <c r="HG17" s="239"/>
      <c r="HH17" s="236"/>
      <c r="HI17" s="236"/>
      <c r="HJ17" s="236"/>
      <c r="HK17" s="236"/>
      <c r="HL17" s="236"/>
      <c r="HM17" s="238"/>
      <c r="HN17" s="236"/>
      <c r="HO17" s="236"/>
      <c r="HP17" s="236"/>
      <c r="HQ17" s="236"/>
      <c r="HR17" s="236"/>
      <c r="HS17" s="239"/>
      <c r="HT17" s="236"/>
      <c r="HU17" s="236"/>
      <c r="HV17" s="236"/>
      <c r="HW17" s="236"/>
      <c r="HX17" s="236"/>
      <c r="HY17" s="238"/>
      <c r="HZ17" s="236"/>
      <c r="IA17" s="236"/>
      <c r="IB17" s="236"/>
      <c r="IC17" s="236"/>
      <c r="ID17" s="236"/>
      <c r="IE17" s="239"/>
      <c r="IF17" s="236"/>
      <c r="IG17" s="236"/>
      <c r="IH17" s="236"/>
      <c r="II17" s="236"/>
      <c r="IJ17" s="236"/>
      <c r="IK17" s="240"/>
      <c r="IL17" s="235"/>
      <c r="IM17" s="236"/>
      <c r="IN17" s="236"/>
      <c r="IO17" s="236"/>
      <c r="IP17" s="236"/>
      <c r="IQ17" s="237"/>
      <c r="IR17" s="236"/>
      <c r="IS17" s="236"/>
      <c r="IT17" s="236"/>
      <c r="IU17" s="236"/>
      <c r="IV17" s="236"/>
      <c r="IW17" s="238"/>
      <c r="IX17" s="236"/>
      <c r="IY17" s="236"/>
      <c r="IZ17" s="236"/>
      <c r="JA17" s="236"/>
      <c r="JB17" s="236"/>
      <c r="JC17" s="239"/>
      <c r="JD17" s="236"/>
      <c r="JE17" s="236"/>
      <c r="JF17" s="236"/>
      <c r="JG17" s="236"/>
      <c r="JH17" s="236"/>
      <c r="JI17" s="238"/>
      <c r="JJ17" s="236"/>
      <c r="JK17" s="236"/>
      <c r="JL17" s="236"/>
      <c r="JM17" s="236"/>
      <c r="JN17" s="236"/>
      <c r="JO17" s="239"/>
      <c r="JP17" s="236"/>
      <c r="JQ17" s="236"/>
      <c r="JR17" s="236"/>
      <c r="JS17" s="236"/>
      <c r="JT17" s="236"/>
      <c r="JU17" s="238"/>
      <c r="JV17" s="236"/>
      <c r="JW17" s="236"/>
      <c r="JX17" s="236"/>
      <c r="JY17" s="236"/>
      <c r="JZ17" s="236"/>
      <c r="KA17" s="239"/>
      <c r="KB17" s="236"/>
      <c r="KC17" s="236"/>
      <c r="KD17" s="236"/>
      <c r="KE17" s="236"/>
      <c r="KF17" s="236"/>
      <c r="KG17" s="238"/>
      <c r="KH17" s="236"/>
      <c r="KI17" s="236"/>
      <c r="KJ17" s="236"/>
      <c r="KK17" s="236"/>
      <c r="KL17" s="236"/>
      <c r="KM17" s="239"/>
      <c r="KN17" s="236"/>
      <c r="KO17" s="236"/>
      <c r="KP17" s="236"/>
      <c r="KQ17" s="236"/>
      <c r="KR17" s="236"/>
      <c r="KS17" s="240"/>
      <c r="KT17" s="235"/>
      <c r="KU17" s="236"/>
      <c r="KV17" s="236"/>
      <c r="KW17" s="236"/>
      <c r="KX17" s="236"/>
      <c r="KY17" s="237"/>
      <c r="KZ17" s="236"/>
      <c r="LA17" s="236"/>
      <c r="LB17" s="236"/>
      <c r="LC17" s="236"/>
      <c r="LD17" s="236"/>
      <c r="LE17" s="238"/>
      <c r="LF17" s="236"/>
      <c r="LG17" s="236"/>
      <c r="LH17" s="236"/>
      <c r="LI17" s="236"/>
      <c r="LJ17" s="236"/>
      <c r="LK17" s="239"/>
      <c r="LL17" s="236"/>
      <c r="LM17" s="236"/>
      <c r="LN17" s="236"/>
      <c r="LO17" s="236"/>
      <c r="LP17" s="236"/>
      <c r="LQ17" s="238"/>
      <c r="LR17" s="236"/>
      <c r="LS17" s="236"/>
      <c r="LT17" s="236"/>
      <c r="LU17" s="236"/>
      <c r="LV17" s="236"/>
      <c r="LW17" s="239"/>
      <c r="LX17" s="236"/>
      <c r="LY17" s="236"/>
      <c r="LZ17" s="236"/>
      <c r="MA17" s="236"/>
      <c r="MB17" s="236"/>
      <c r="MC17" s="238"/>
      <c r="MD17" s="236"/>
      <c r="ME17" s="236"/>
      <c r="MF17" s="236"/>
      <c r="MG17" s="236"/>
      <c r="MH17" s="236"/>
      <c r="MI17" s="239"/>
      <c r="MJ17" s="236"/>
      <c r="MK17" s="236"/>
      <c r="ML17" s="236"/>
      <c r="MM17" s="236"/>
      <c r="MN17" s="236"/>
      <c r="MO17" s="238"/>
      <c r="MP17" s="236"/>
      <c r="MQ17" s="236"/>
      <c r="MR17" s="236"/>
      <c r="MS17" s="236"/>
      <c r="MT17" s="236"/>
      <c r="MU17" s="239"/>
      <c r="MV17" s="236"/>
      <c r="MW17" s="236"/>
      <c r="MX17" s="236"/>
      <c r="MY17" s="236"/>
      <c r="MZ17" s="236"/>
      <c r="NA17" s="240"/>
      <c r="NB17" s="235"/>
      <c r="NC17" s="236"/>
      <c r="ND17" s="236"/>
      <c r="NE17" s="236"/>
      <c r="NF17" s="236"/>
      <c r="NG17" s="237"/>
      <c r="NH17" s="236"/>
      <c r="NI17" s="236"/>
      <c r="NJ17" s="236"/>
      <c r="NK17" s="236"/>
      <c r="NL17" s="236"/>
      <c r="NM17" s="238"/>
      <c r="NN17" s="236"/>
      <c r="NO17" s="236"/>
      <c r="NP17" s="236"/>
      <c r="NQ17" s="236"/>
      <c r="NR17" s="236"/>
      <c r="NS17" s="239"/>
      <c r="NT17" s="236"/>
      <c r="NU17" s="236"/>
      <c r="NV17" s="236"/>
      <c r="NW17" s="236"/>
      <c r="NX17" s="236"/>
      <c r="NY17" s="238"/>
      <c r="NZ17" s="236"/>
      <c r="OA17" s="236"/>
      <c r="OB17" s="236"/>
      <c r="OC17" s="236"/>
      <c r="OD17" s="236"/>
      <c r="OE17" s="239"/>
      <c r="OF17" s="236"/>
      <c r="OG17" s="236"/>
      <c r="OH17" s="236"/>
      <c r="OI17" s="236"/>
      <c r="OJ17" s="236"/>
      <c r="OK17" s="238"/>
      <c r="OL17" s="236"/>
      <c r="OM17" s="236"/>
      <c r="ON17" s="236"/>
      <c r="OO17" s="236"/>
      <c r="OP17" s="236"/>
      <c r="OQ17" s="239"/>
      <c r="OR17" s="236"/>
      <c r="OS17" s="236"/>
      <c r="OT17" s="236"/>
      <c r="OU17" s="236"/>
      <c r="OV17" s="236"/>
      <c r="OW17" s="238"/>
      <c r="OX17" s="236"/>
      <c r="OY17" s="236"/>
      <c r="OZ17" s="236"/>
      <c r="PA17" s="236"/>
      <c r="PB17" s="236"/>
      <c r="PC17" s="239"/>
      <c r="PD17" s="236"/>
      <c r="PE17" s="236"/>
      <c r="PF17" s="236"/>
      <c r="PG17" s="236"/>
      <c r="PH17" s="236"/>
      <c r="PI17" s="240"/>
      <c r="PJ17" s="235"/>
      <c r="PK17" s="236"/>
      <c r="PL17" s="236"/>
      <c r="PM17" s="236"/>
      <c r="PN17" s="236"/>
      <c r="PO17" s="237"/>
      <c r="PP17" s="236"/>
      <c r="PQ17" s="236"/>
      <c r="PR17" s="236"/>
      <c r="PS17" s="236"/>
      <c r="PT17" s="236"/>
      <c r="PU17" s="238"/>
      <c r="PV17" s="236"/>
      <c r="PW17" s="236"/>
      <c r="PX17" s="236"/>
      <c r="PY17" s="236"/>
      <c r="PZ17" s="236"/>
      <c r="QA17" s="239"/>
      <c r="QB17" s="236"/>
      <c r="QC17" s="236"/>
      <c r="QD17" s="236"/>
      <c r="QE17" s="236"/>
      <c r="QF17" s="236"/>
      <c r="QG17" s="238"/>
      <c r="QH17" s="236"/>
      <c r="QI17" s="236"/>
      <c r="QJ17" s="236"/>
      <c r="QK17" s="236"/>
      <c r="QL17" s="236"/>
      <c r="QM17" s="239"/>
      <c r="QN17" s="236"/>
      <c r="QO17" s="236"/>
      <c r="QP17" s="236"/>
      <c r="QQ17" s="236"/>
      <c r="QR17" s="236"/>
      <c r="QS17" s="238"/>
      <c r="QT17" s="236"/>
      <c r="QU17" s="236"/>
      <c r="QV17" s="236"/>
      <c r="QW17" s="236"/>
      <c r="QX17" s="236"/>
      <c r="QY17" s="239"/>
      <c r="QZ17" s="236"/>
      <c r="RA17" s="236"/>
      <c r="RB17" s="236"/>
      <c r="RC17" s="236"/>
      <c r="RD17" s="236"/>
      <c r="RE17" s="238"/>
      <c r="RF17" s="236"/>
      <c r="RG17" s="236"/>
      <c r="RH17" s="236"/>
      <c r="RI17" s="236"/>
      <c r="RJ17" s="236"/>
      <c r="RK17" s="239"/>
      <c r="RL17" s="236"/>
      <c r="RM17" s="236"/>
      <c r="RN17" s="236"/>
      <c r="RO17" s="236"/>
      <c r="RP17" s="236"/>
      <c r="RQ17" s="240"/>
      <c r="RR17" s="235"/>
      <c r="RS17" s="236"/>
      <c r="RT17" s="236"/>
      <c r="RU17" s="236"/>
      <c r="RV17" s="236"/>
      <c r="RW17" s="237"/>
      <c r="RX17" s="236"/>
      <c r="RY17" s="236"/>
      <c r="RZ17" s="236"/>
      <c r="SA17" s="236"/>
      <c r="SB17" s="236"/>
      <c r="SC17" s="238"/>
      <c r="SD17" s="236"/>
      <c r="SE17" s="236"/>
      <c r="SF17" s="236"/>
      <c r="SG17" s="236"/>
      <c r="SH17" s="236"/>
      <c r="SI17" s="239"/>
      <c r="SJ17" s="236"/>
      <c r="SK17" s="236"/>
      <c r="SL17" s="236"/>
      <c r="SM17" s="236"/>
      <c r="SN17" s="236"/>
      <c r="SO17" s="238"/>
      <c r="SP17" s="236"/>
      <c r="SQ17" s="236"/>
      <c r="SR17" s="236"/>
      <c r="SS17" s="236"/>
      <c r="ST17" s="236"/>
      <c r="SU17" s="239"/>
      <c r="SV17" s="236"/>
      <c r="SW17" s="236"/>
      <c r="SX17" s="236"/>
      <c r="SY17" s="236"/>
      <c r="SZ17" s="236"/>
      <c r="TA17" s="238"/>
      <c r="TB17" s="236"/>
      <c r="TC17" s="236"/>
      <c r="TD17" s="236"/>
      <c r="TE17" s="236"/>
      <c r="TF17" s="236"/>
      <c r="TG17" s="239"/>
      <c r="TH17" s="236"/>
      <c r="TI17" s="236"/>
      <c r="TJ17" s="236"/>
      <c r="TK17" s="236"/>
      <c r="TL17" s="236"/>
      <c r="TM17" s="238"/>
      <c r="TN17" s="236"/>
      <c r="TO17" s="236"/>
      <c r="TP17" s="236"/>
      <c r="TQ17" s="236"/>
      <c r="TR17" s="236"/>
      <c r="TS17" s="239"/>
      <c r="TT17" s="236"/>
      <c r="TU17" s="236"/>
      <c r="TV17" s="236"/>
      <c r="TW17" s="236"/>
      <c r="TX17" s="236"/>
      <c r="TY17" s="240"/>
      <c r="TZ17" s="235"/>
      <c r="UA17" s="236"/>
      <c r="UB17" s="236"/>
      <c r="UC17" s="236"/>
      <c r="UD17" s="236"/>
      <c r="UE17" s="237"/>
      <c r="UF17" s="236"/>
      <c r="UG17" s="236"/>
      <c r="UH17" s="236"/>
      <c r="UI17" s="236"/>
      <c r="UJ17" s="236"/>
      <c r="UK17" s="238"/>
      <c r="UL17" s="236"/>
      <c r="UM17" s="236"/>
      <c r="UN17" s="236"/>
      <c r="UO17" s="236"/>
      <c r="UP17" s="236"/>
      <c r="UQ17" s="239"/>
      <c r="UR17" s="236"/>
      <c r="US17" s="236"/>
      <c r="UT17" s="236"/>
      <c r="UU17" s="236"/>
      <c r="UV17" s="236"/>
      <c r="UW17" s="238"/>
      <c r="UX17" s="236"/>
      <c r="UY17" s="236"/>
      <c r="UZ17" s="236"/>
      <c r="VA17" s="236"/>
      <c r="VB17" s="236"/>
      <c r="VC17" s="239"/>
      <c r="VD17" s="236"/>
      <c r="VE17" s="236"/>
      <c r="VF17" s="236"/>
      <c r="VG17" s="236"/>
      <c r="VH17" s="236"/>
      <c r="VI17" s="238"/>
      <c r="VJ17" s="236"/>
      <c r="VK17" s="236"/>
      <c r="VL17" s="236"/>
      <c r="VM17" s="236"/>
      <c r="VN17" s="236"/>
      <c r="VO17" s="239"/>
      <c r="VP17" s="236"/>
      <c r="VQ17" s="236"/>
      <c r="VR17" s="236"/>
      <c r="VS17" s="236"/>
      <c r="VT17" s="236"/>
      <c r="VU17" s="238"/>
      <c r="VV17" s="236"/>
      <c r="VW17" s="236"/>
      <c r="VX17" s="236"/>
      <c r="VY17" s="236"/>
      <c r="VZ17" s="236"/>
      <c r="WA17" s="239"/>
      <c r="WB17" s="236"/>
      <c r="WC17" s="236"/>
      <c r="WD17" s="236"/>
      <c r="WE17" s="236"/>
      <c r="WF17" s="236"/>
      <c r="WG17" s="240"/>
      <c r="WH17" s="235"/>
      <c r="WI17" s="236"/>
      <c r="WJ17" s="236"/>
      <c r="WK17" s="236"/>
      <c r="WL17" s="236"/>
      <c r="WM17" s="237"/>
      <c r="WN17" s="236"/>
      <c r="WO17" s="236"/>
      <c r="WP17" s="236"/>
      <c r="WQ17" s="236"/>
      <c r="WR17" s="236"/>
      <c r="WS17" s="238"/>
      <c r="WT17" s="236"/>
      <c r="WU17" s="236"/>
      <c r="WV17" s="236"/>
      <c r="WW17" s="236"/>
      <c r="WX17" s="236"/>
      <c r="WY17" s="239"/>
      <c r="WZ17" s="236"/>
      <c r="XA17" s="236"/>
      <c r="XB17" s="236"/>
      <c r="XC17" s="236"/>
      <c r="XD17" s="236"/>
      <c r="XE17" s="238"/>
      <c r="XF17" s="236"/>
      <c r="XG17" s="236"/>
      <c r="XH17" s="236"/>
      <c r="XI17" s="236"/>
      <c r="XJ17" s="236"/>
      <c r="XK17" s="239"/>
      <c r="XL17" s="236"/>
      <c r="XM17" s="236"/>
      <c r="XN17" s="236"/>
      <c r="XO17" s="236"/>
      <c r="XP17" s="236"/>
      <c r="XQ17" s="238"/>
      <c r="XR17" s="236"/>
      <c r="XS17" s="236"/>
      <c r="XT17" s="236"/>
      <c r="XU17" s="236"/>
      <c r="XV17" s="236"/>
      <c r="XW17" s="239"/>
      <c r="XX17" s="236"/>
      <c r="XY17" s="236"/>
      <c r="XZ17" s="236"/>
      <c r="YA17" s="236"/>
      <c r="YB17" s="236"/>
      <c r="YC17" s="238"/>
      <c r="YD17" s="236"/>
      <c r="YE17" s="236"/>
      <c r="YF17" s="236"/>
      <c r="YG17" s="236"/>
      <c r="YH17" s="236"/>
      <c r="YI17" s="239"/>
      <c r="YJ17" s="236"/>
      <c r="YK17" s="236"/>
      <c r="YL17" s="236"/>
      <c r="YM17" s="236"/>
      <c r="YN17" s="236"/>
      <c r="YO17" s="240"/>
      <c r="YP17" s="235"/>
      <c r="YQ17" s="236"/>
      <c r="YR17" s="236"/>
      <c r="YS17" s="236"/>
      <c r="YT17" s="236"/>
      <c r="YU17" s="237"/>
      <c r="YV17" s="236"/>
      <c r="YW17" s="236"/>
      <c r="YX17" s="236"/>
      <c r="YY17" s="236"/>
      <c r="YZ17" s="236"/>
      <c r="ZA17" s="238"/>
      <c r="ZB17" s="236"/>
      <c r="ZC17" s="236"/>
      <c r="ZD17" s="236"/>
      <c r="ZE17" s="236"/>
      <c r="ZF17" s="236"/>
      <c r="ZG17" s="239"/>
      <c r="ZH17" s="236"/>
      <c r="ZI17" s="236"/>
      <c r="ZJ17" s="236"/>
      <c r="ZK17" s="236"/>
      <c r="ZL17" s="236"/>
      <c r="ZM17" s="238"/>
      <c r="ZN17" s="236"/>
      <c r="ZO17" s="236"/>
      <c r="ZP17" s="236"/>
      <c r="ZQ17" s="236"/>
      <c r="ZR17" s="236"/>
      <c r="ZS17" s="239"/>
      <c r="ZT17" s="236"/>
      <c r="ZU17" s="236"/>
      <c r="ZV17" s="236"/>
      <c r="ZW17" s="236"/>
      <c r="ZX17" s="236"/>
      <c r="ZY17" s="238"/>
      <c r="ZZ17" s="236"/>
      <c r="AAA17" s="236"/>
      <c r="AAB17" s="236"/>
      <c r="AAC17" s="236"/>
      <c r="AAD17" s="236"/>
      <c r="AAE17" s="239"/>
      <c r="AAF17" s="236"/>
      <c r="AAG17" s="236"/>
      <c r="AAH17" s="236"/>
      <c r="AAI17" s="236"/>
      <c r="AAJ17" s="236"/>
      <c r="AAK17" s="238"/>
      <c r="AAL17" s="236"/>
      <c r="AAM17" s="236"/>
      <c r="AAN17" s="236"/>
      <c r="AAO17" s="236"/>
      <c r="AAP17" s="236"/>
      <c r="AAQ17" s="239"/>
      <c r="AAR17" s="236"/>
      <c r="AAS17" s="236"/>
      <c r="AAT17" s="236"/>
      <c r="AAU17" s="236"/>
      <c r="AAV17" s="236"/>
      <c r="AAW17" s="240"/>
      <c r="AAX17" s="235"/>
      <c r="AAY17" s="236"/>
      <c r="AAZ17" s="236"/>
      <c r="ABA17" s="236"/>
      <c r="ABB17" s="236"/>
      <c r="ABC17" s="237"/>
      <c r="ABD17" s="236"/>
      <c r="ABE17" s="236"/>
      <c r="ABF17" s="236"/>
      <c r="ABG17" s="236"/>
      <c r="ABH17" s="236"/>
      <c r="ABI17" s="238"/>
      <c r="ABJ17" s="236"/>
      <c r="ABK17" s="236"/>
      <c r="ABL17" s="236"/>
      <c r="ABM17" s="236"/>
      <c r="ABN17" s="236"/>
      <c r="ABO17" s="239"/>
      <c r="ABP17" s="236"/>
      <c r="ABQ17" s="236"/>
      <c r="ABR17" s="236"/>
      <c r="ABS17" s="236"/>
      <c r="ABT17" s="236"/>
      <c r="ABU17" s="238"/>
      <c r="ABV17" s="236"/>
      <c r="ABW17" s="236"/>
      <c r="ABX17" s="236"/>
      <c r="ABY17" s="236"/>
      <c r="ABZ17" s="236"/>
      <c r="ACA17" s="239"/>
      <c r="ACB17" s="236"/>
      <c r="ACC17" s="236"/>
      <c r="ACD17" s="236"/>
      <c r="ACE17" s="236"/>
      <c r="ACF17" s="236"/>
      <c r="ACG17" s="238"/>
      <c r="ACH17" s="236"/>
      <c r="ACI17" s="236"/>
      <c r="ACJ17" s="236"/>
      <c r="ACK17" s="236"/>
      <c r="ACL17" s="236"/>
      <c r="ACM17" s="239"/>
      <c r="ACN17" s="236"/>
      <c r="ACO17" s="236"/>
      <c r="ACP17" s="236"/>
      <c r="ACQ17" s="236"/>
      <c r="ACR17" s="236"/>
      <c r="ACS17" s="238"/>
      <c r="ACT17" s="236"/>
      <c r="ACU17" s="236"/>
      <c r="ACV17" s="236"/>
      <c r="ACW17" s="236"/>
      <c r="ACX17" s="236"/>
      <c r="ACY17" s="239"/>
      <c r="ACZ17" s="236"/>
      <c r="ADA17" s="236"/>
      <c r="ADB17" s="236"/>
      <c r="ADC17" s="236"/>
      <c r="ADD17" s="236"/>
      <c r="ADE17" s="240"/>
      <c r="ADF17" s="235"/>
      <c r="ADG17" s="236"/>
      <c r="ADH17" s="236"/>
      <c r="ADI17" s="236"/>
      <c r="ADJ17" s="236"/>
      <c r="ADK17" s="237"/>
      <c r="ADL17" s="236"/>
      <c r="ADM17" s="236"/>
      <c r="ADN17" s="236"/>
      <c r="ADO17" s="236"/>
      <c r="ADP17" s="236"/>
      <c r="ADQ17" s="238"/>
      <c r="ADR17" s="236"/>
      <c r="ADS17" s="236"/>
      <c r="ADT17" s="236"/>
      <c r="ADU17" s="236"/>
      <c r="ADV17" s="236"/>
      <c r="ADW17" s="239"/>
      <c r="ADX17" s="236"/>
      <c r="ADY17" s="236"/>
      <c r="ADZ17" s="236"/>
      <c r="AEA17" s="236"/>
      <c r="AEB17" s="236"/>
      <c r="AEC17" s="238"/>
      <c r="AED17" s="236"/>
      <c r="AEE17" s="236"/>
      <c r="AEF17" s="236"/>
      <c r="AEG17" s="236"/>
      <c r="AEH17" s="236"/>
      <c r="AEI17" s="239"/>
      <c r="AEJ17" s="236"/>
      <c r="AEK17" s="236"/>
      <c r="AEL17" s="236"/>
      <c r="AEM17" s="236"/>
      <c r="AEN17" s="236"/>
      <c r="AEO17" s="238"/>
      <c r="AEP17" s="236"/>
      <c r="AEQ17" s="236"/>
      <c r="AER17" s="236"/>
      <c r="AES17" s="236"/>
      <c r="AET17" s="236"/>
      <c r="AEU17" s="239"/>
      <c r="AEV17" s="236"/>
      <c r="AEW17" s="236"/>
      <c r="AEX17" s="236"/>
      <c r="AEY17" s="236"/>
      <c r="AEZ17" s="236"/>
      <c r="AFA17" s="238"/>
      <c r="AFB17" s="236"/>
      <c r="AFC17" s="236"/>
      <c r="AFD17" s="236"/>
      <c r="AFE17" s="236"/>
      <c r="AFF17" s="236"/>
      <c r="AFG17" s="239"/>
      <c r="AFH17" s="236"/>
      <c r="AFI17" s="236"/>
      <c r="AFJ17" s="236"/>
      <c r="AFK17" s="236"/>
      <c r="AFL17" s="236"/>
      <c r="AFM17" s="240"/>
      <c r="AFN17" s="235"/>
      <c r="AFO17" s="236"/>
      <c r="AFP17" s="236"/>
      <c r="AFQ17" s="236"/>
      <c r="AFR17" s="236"/>
      <c r="AFS17" s="237"/>
      <c r="AFT17" s="236"/>
      <c r="AFU17" s="236"/>
      <c r="AFV17" s="236"/>
      <c r="AFW17" s="236"/>
      <c r="AFX17" s="236"/>
      <c r="AFY17" s="238"/>
      <c r="AFZ17" s="236"/>
      <c r="AGA17" s="236"/>
      <c r="AGB17" s="236"/>
      <c r="AGC17" s="236"/>
      <c r="AGD17" s="236"/>
      <c r="AGE17" s="239"/>
      <c r="AGF17" s="236"/>
      <c r="AGG17" s="236"/>
      <c r="AGH17" s="236"/>
      <c r="AGI17" s="236"/>
      <c r="AGJ17" s="236"/>
      <c r="AGK17" s="238"/>
      <c r="AGL17" s="236"/>
      <c r="AGM17" s="236"/>
      <c r="AGN17" s="236"/>
      <c r="AGO17" s="236"/>
      <c r="AGP17" s="236"/>
      <c r="AGQ17" s="239"/>
      <c r="AGR17" s="236"/>
      <c r="AGS17" s="236"/>
      <c r="AGT17" s="236"/>
      <c r="AGU17" s="236"/>
      <c r="AGV17" s="236"/>
      <c r="AGW17" s="238"/>
      <c r="AGX17" s="236"/>
      <c r="AGY17" s="236"/>
      <c r="AGZ17" s="236"/>
      <c r="AHA17" s="236"/>
      <c r="AHB17" s="236"/>
      <c r="AHC17" s="239"/>
      <c r="AHD17" s="236"/>
      <c r="AHE17" s="236"/>
      <c r="AHF17" s="236"/>
      <c r="AHG17" s="236"/>
      <c r="AHH17" s="236"/>
      <c r="AHI17" s="238"/>
      <c r="AHJ17" s="236"/>
      <c r="AHK17" s="236"/>
      <c r="AHL17" s="236"/>
      <c r="AHM17" s="236"/>
      <c r="AHN17" s="236"/>
      <c r="AHO17" s="239"/>
      <c r="AHP17" s="236"/>
      <c r="AHQ17" s="236"/>
      <c r="AHR17" s="236"/>
      <c r="AHS17" s="236"/>
      <c r="AHT17" s="236"/>
      <c r="AHU17" s="240"/>
      <c r="AHV17" s="235"/>
      <c r="AHW17" s="236"/>
      <c r="AHX17" s="236"/>
      <c r="AHY17" s="236"/>
      <c r="AHZ17" s="236"/>
      <c r="AIA17" s="237"/>
      <c r="AIB17" s="236"/>
      <c r="AIC17" s="236"/>
      <c r="AID17" s="236"/>
      <c r="AIE17" s="236"/>
      <c r="AIF17" s="236"/>
      <c r="AIG17" s="238"/>
      <c r="AIH17" s="236"/>
      <c r="AII17" s="236"/>
      <c r="AIJ17" s="236"/>
      <c r="AIK17" s="236"/>
      <c r="AIL17" s="236"/>
      <c r="AIM17" s="239"/>
      <c r="AIN17" s="236"/>
      <c r="AIO17" s="236"/>
      <c r="AIP17" s="236"/>
      <c r="AIQ17" s="236"/>
      <c r="AIR17" s="236"/>
      <c r="AIS17" s="238"/>
      <c r="AIT17" s="236"/>
      <c r="AIU17" s="236"/>
      <c r="AIV17" s="236"/>
      <c r="AIW17" s="236"/>
      <c r="AIX17" s="236"/>
      <c r="AIY17" s="239"/>
      <c r="AIZ17" s="236"/>
      <c r="AJA17" s="236"/>
      <c r="AJB17" s="236"/>
      <c r="AJC17" s="236"/>
      <c r="AJD17" s="236"/>
      <c r="AJE17" s="238"/>
      <c r="AJF17" s="236"/>
      <c r="AJG17" s="236"/>
      <c r="AJH17" s="236"/>
      <c r="AJI17" s="236"/>
      <c r="AJJ17" s="236"/>
      <c r="AJK17" s="239"/>
      <c r="AJL17" s="236"/>
      <c r="AJM17" s="236"/>
      <c r="AJN17" s="236"/>
      <c r="AJO17" s="236"/>
      <c r="AJP17" s="236"/>
      <c r="AJQ17" s="238"/>
      <c r="AJR17" s="236"/>
      <c r="AJS17" s="236"/>
      <c r="AJT17" s="236"/>
      <c r="AJU17" s="236"/>
      <c r="AJV17" s="236"/>
      <c r="AJW17" s="239"/>
      <c r="AJX17" s="236"/>
      <c r="AJY17" s="236"/>
      <c r="AJZ17" s="236"/>
      <c r="AKA17" s="236"/>
      <c r="AKB17" s="236"/>
      <c r="AKC17" s="240"/>
      <c r="AKD17" s="235"/>
      <c r="AKE17" s="236"/>
      <c r="AKF17" s="236"/>
      <c r="AKG17" s="236"/>
      <c r="AKH17" s="236"/>
      <c r="AKI17" s="237"/>
      <c r="AKJ17" s="236"/>
      <c r="AKK17" s="236"/>
      <c r="AKL17" s="236"/>
      <c r="AKM17" s="236"/>
      <c r="AKN17" s="236"/>
      <c r="AKO17" s="238"/>
      <c r="AKP17" s="236"/>
      <c r="AKQ17" s="236"/>
      <c r="AKR17" s="236"/>
      <c r="AKS17" s="236"/>
      <c r="AKT17" s="236"/>
      <c r="AKU17" s="239"/>
      <c r="AKV17" s="236"/>
      <c r="AKW17" s="236"/>
      <c r="AKX17" s="236"/>
      <c r="AKY17" s="236"/>
      <c r="AKZ17" s="236"/>
      <c r="ALA17" s="238"/>
      <c r="ALB17" s="236"/>
      <c r="ALC17" s="236"/>
      <c r="ALD17" s="236"/>
      <c r="ALE17" s="236"/>
      <c r="ALF17" s="236"/>
      <c r="ALG17" s="239"/>
      <c r="ALH17" s="236"/>
      <c r="ALI17" s="236"/>
      <c r="ALJ17" s="236"/>
      <c r="ALK17" s="236"/>
      <c r="ALL17" s="236"/>
      <c r="ALM17" s="238"/>
      <c r="ALN17" s="236"/>
      <c r="ALO17" s="236"/>
      <c r="ALP17" s="236"/>
      <c r="ALQ17" s="236"/>
      <c r="ALR17" s="236"/>
      <c r="ALS17" s="239"/>
      <c r="ALT17" s="236"/>
      <c r="ALU17" s="236"/>
      <c r="ALV17" s="236"/>
      <c r="ALW17" s="236"/>
      <c r="ALX17" s="236"/>
      <c r="ALY17" s="238"/>
      <c r="ALZ17" s="236"/>
      <c r="AMA17" s="236"/>
      <c r="AMB17" s="236"/>
      <c r="AMC17" s="236"/>
      <c r="AMD17" s="236"/>
      <c r="AME17" s="239"/>
      <c r="AMF17" s="236"/>
      <c r="AMG17" s="236"/>
      <c r="AMH17" s="236"/>
      <c r="AMI17" s="236"/>
      <c r="AMJ17" s="236"/>
      <c r="AMK17" s="240"/>
      <c r="AML17" s="235"/>
      <c r="AMM17" s="236"/>
      <c r="AMN17" s="236"/>
      <c r="AMO17" s="236"/>
      <c r="AMP17" s="236"/>
      <c r="AMQ17" s="237"/>
      <c r="AMR17" s="236"/>
      <c r="AMS17" s="236"/>
      <c r="AMT17" s="236"/>
      <c r="AMU17" s="236"/>
      <c r="AMV17" s="236"/>
      <c r="AMW17" s="238"/>
      <c r="AMX17" s="236"/>
      <c r="AMY17" s="236"/>
      <c r="AMZ17" s="236"/>
      <c r="ANA17" s="236"/>
      <c r="ANB17" s="236"/>
      <c r="ANC17" s="239"/>
      <c r="AND17" s="236"/>
      <c r="ANE17" s="236"/>
      <c r="ANF17" s="236"/>
      <c r="ANG17" s="236"/>
      <c r="ANH17" s="236"/>
      <c r="ANI17" s="238"/>
      <c r="ANJ17" s="236"/>
      <c r="ANK17" s="236"/>
      <c r="ANL17" s="236"/>
      <c r="ANM17" s="236"/>
      <c r="ANN17" s="236"/>
      <c r="ANO17" s="239"/>
      <c r="ANP17" s="236"/>
      <c r="ANQ17" s="236"/>
      <c r="ANR17" s="236"/>
      <c r="ANS17" s="236"/>
      <c r="ANT17" s="236"/>
      <c r="ANU17" s="238"/>
      <c r="ANV17" s="236"/>
      <c r="ANW17" s="236"/>
      <c r="ANX17" s="236"/>
      <c r="ANY17" s="236"/>
      <c r="ANZ17" s="236"/>
      <c r="AOA17" s="239"/>
      <c r="AOB17" s="236"/>
      <c r="AOC17" s="236"/>
      <c r="AOD17" s="236"/>
      <c r="AOE17" s="236"/>
      <c r="AOF17" s="236"/>
      <c r="AOG17" s="238"/>
      <c r="AOH17" s="236"/>
      <c r="AOI17" s="236"/>
      <c r="AOJ17" s="236"/>
      <c r="AOK17" s="236"/>
      <c r="AOL17" s="236"/>
      <c r="AOM17" s="239"/>
      <c r="AON17" s="236"/>
      <c r="AOO17" s="236"/>
      <c r="AOP17" s="236"/>
      <c r="AOQ17" s="236"/>
      <c r="AOR17" s="236"/>
      <c r="AOS17" s="240"/>
      <c r="AOT17" s="235"/>
      <c r="AOU17" s="236"/>
      <c r="AOV17" s="236"/>
      <c r="AOW17" s="236"/>
      <c r="AOX17" s="236"/>
      <c r="AOY17" s="237"/>
      <c r="AOZ17" s="236"/>
      <c r="APA17" s="236"/>
      <c r="APB17" s="236"/>
      <c r="APC17" s="236"/>
      <c r="APD17" s="236"/>
      <c r="APE17" s="238"/>
      <c r="APF17" s="236"/>
      <c r="APG17" s="236"/>
      <c r="APH17" s="236"/>
      <c r="API17" s="236"/>
      <c r="APJ17" s="236"/>
      <c r="APK17" s="239"/>
      <c r="APL17" s="236"/>
      <c r="APM17" s="236"/>
      <c r="APN17" s="236"/>
      <c r="APO17" s="236"/>
      <c r="APP17" s="236"/>
      <c r="APQ17" s="238"/>
      <c r="APR17" s="236"/>
      <c r="APS17" s="236"/>
      <c r="APT17" s="236"/>
      <c r="APU17" s="236"/>
      <c r="APV17" s="236"/>
      <c r="APW17" s="239"/>
      <c r="APX17" s="236"/>
      <c r="APY17" s="236"/>
      <c r="APZ17" s="236"/>
      <c r="AQA17" s="236"/>
      <c r="AQB17" s="236"/>
      <c r="AQC17" s="238"/>
      <c r="AQD17" s="236"/>
      <c r="AQE17" s="236"/>
      <c r="AQF17" s="236"/>
      <c r="AQG17" s="236"/>
      <c r="AQH17" s="236"/>
      <c r="AQI17" s="239"/>
      <c r="AQJ17" s="236"/>
      <c r="AQK17" s="236"/>
      <c r="AQL17" s="236"/>
      <c r="AQM17" s="236"/>
      <c r="AQN17" s="236"/>
      <c r="AQO17" s="238"/>
      <c r="AQP17" s="236"/>
      <c r="AQQ17" s="236"/>
      <c r="AQR17" s="236"/>
      <c r="AQS17" s="236"/>
      <c r="AQT17" s="236"/>
      <c r="AQU17" s="239"/>
      <c r="AQV17" s="236"/>
      <c r="AQW17" s="236"/>
      <c r="AQX17" s="236"/>
      <c r="AQY17" s="236"/>
      <c r="AQZ17" s="236"/>
      <c r="ARA17" s="240"/>
      <c r="ARB17" s="235"/>
      <c r="ARC17" s="236"/>
      <c r="ARD17" s="236"/>
      <c r="ARE17" s="236"/>
      <c r="ARF17" s="236"/>
      <c r="ARG17" s="237"/>
      <c r="ARH17" s="236"/>
      <c r="ARI17" s="236"/>
      <c r="ARJ17" s="236"/>
      <c r="ARK17" s="236"/>
      <c r="ARL17" s="236"/>
      <c r="ARM17" s="238"/>
      <c r="ARN17" s="236"/>
      <c r="ARO17" s="236"/>
      <c r="ARP17" s="236"/>
      <c r="ARQ17" s="236"/>
      <c r="ARR17" s="236"/>
      <c r="ARS17" s="239"/>
      <c r="ART17" s="236"/>
      <c r="ARU17" s="236"/>
      <c r="ARV17" s="236"/>
      <c r="ARW17" s="236"/>
      <c r="ARX17" s="236"/>
      <c r="ARY17" s="238"/>
      <c r="ARZ17" s="236"/>
      <c r="ASA17" s="236"/>
      <c r="ASB17" s="236"/>
      <c r="ASC17" s="236"/>
      <c r="ASD17" s="236"/>
      <c r="ASE17" s="239"/>
      <c r="ASF17" s="236"/>
      <c r="ASG17" s="236"/>
      <c r="ASH17" s="236"/>
      <c r="ASI17" s="236"/>
      <c r="ASJ17" s="236"/>
      <c r="ASK17" s="238"/>
      <c r="ASL17" s="236"/>
      <c r="ASM17" s="236"/>
      <c r="ASN17" s="236"/>
      <c r="ASO17" s="236"/>
      <c r="ASP17" s="236"/>
      <c r="ASQ17" s="239"/>
      <c r="ASR17" s="236"/>
      <c r="ASS17" s="236"/>
      <c r="AST17" s="236"/>
      <c r="ASU17" s="236"/>
      <c r="ASV17" s="236"/>
      <c r="ASW17" s="238"/>
      <c r="ASX17" s="236"/>
      <c r="ASY17" s="236"/>
      <c r="ASZ17" s="236"/>
      <c r="ATA17" s="236"/>
      <c r="ATB17" s="236"/>
      <c r="ATC17" s="239"/>
      <c r="ATD17" s="236"/>
      <c r="ATE17" s="236"/>
      <c r="ATF17" s="236"/>
      <c r="ATG17" s="236"/>
      <c r="ATH17" s="236"/>
      <c r="ATI17" s="240"/>
      <c r="ATJ17" s="235"/>
      <c r="ATK17" s="236"/>
      <c r="ATL17" s="236"/>
      <c r="ATM17" s="236"/>
      <c r="ATN17" s="236"/>
      <c r="ATO17" s="237"/>
      <c r="ATP17" s="236"/>
      <c r="ATQ17" s="236"/>
      <c r="ATR17" s="236"/>
      <c r="ATS17" s="236"/>
      <c r="ATT17" s="236"/>
      <c r="ATU17" s="238"/>
      <c r="ATV17" s="236"/>
      <c r="ATW17" s="236"/>
      <c r="ATX17" s="236"/>
      <c r="ATY17" s="236"/>
      <c r="ATZ17" s="236"/>
      <c r="AUA17" s="239"/>
      <c r="AUB17" s="236"/>
      <c r="AUC17" s="236"/>
      <c r="AUD17" s="236"/>
      <c r="AUE17" s="236"/>
      <c r="AUF17" s="236"/>
      <c r="AUG17" s="238"/>
      <c r="AUH17" s="236"/>
      <c r="AUI17" s="236"/>
      <c r="AUJ17" s="236"/>
      <c r="AUK17" s="236"/>
      <c r="AUL17" s="236"/>
      <c r="AUM17" s="239"/>
      <c r="AUN17" s="236"/>
      <c r="AUO17" s="236"/>
      <c r="AUP17" s="236"/>
      <c r="AUQ17" s="236"/>
      <c r="AUR17" s="236"/>
      <c r="AUS17" s="238"/>
      <c r="AUT17" s="236"/>
      <c r="AUU17" s="236"/>
      <c r="AUV17" s="236"/>
      <c r="AUW17" s="236"/>
      <c r="AUX17" s="236"/>
      <c r="AUY17" s="239"/>
      <c r="AUZ17" s="236"/>
      <c r="AVA17" s="236"/>
      <c r="AVB17" s="236"/>
      <c r="AVC17" s="236"/>
      <c r="AVD17" s="236"/>
      <c r="AVE17" s="238"/>
      <c r="AVF17" s="236"/>
      <c r="AVG17" s="236"/>
      <c r="AVH17" s="236"/>
      <c r="AVI17" s="236"/>
      <c r="AVJ17" s="236"/>
      <c r="AVK17" s="239"/>
      <c r="AVL17" s="236"/>
      <c r="AVM17" s="236"/>
      <c r="AVN17" s="236"/>
      <c r="AVO17" s="236"/>
      <c r="AVP17" s="236"/>
      <c r="AVQ17" s="240"/>
      <c r="AVR17" s="235"/>
      <c r="AVS17" s="236"/>
      <c r="AVT17" s="236"/>
      <c r="AVU17" s="236"/>
      <c r="AVV17" s="236"/>
      <c r="AVW17" s="237"/>
      <c r="AVX17" s="236"/>
      <c r="AVY17" s="236"/>
      <c r="AVZ17" s="236"/>
      <c r="AWA17" s="236"/>
      <c r="AWB17" s="236"/>
      <c r="AWC17" s="238"/>
      <c r="AWD17" s="236"/>
      <c r="AWE17" s="236"/>
      <c r="AWF17" s="236"/>
      <c r="AWG17" s="236"/>
      <c r="AWH17" s="236"/>
      <c r="AWI17" s="239"/>
      <c r="AWJ17" s="236"/>
      <c r="AWK17" s="236"/>
      <c r="AWL17" s="236"/>
      <c r="AWM17" s="236"/>
      <c r="AWN17" s="236"/>
      <c r="AWO17" s="238"/>
      <c r="AWP17" s="236"/>
      <c r="AWQ17" s="236"/>
      <c r="AWR17" s="236"/>
      <c r="AWS17" s="236"/>
      <c r="AWT17" s="236"/>
      <c r="AWU17" s="239"/>
      <c r="AWV17" s="236"/>
      <c r="AWW17" s="236"/>
      <c r="AWX17" s="236"/>
      <c r="AWY17" s="236"/>
      <c r="AWZ17" s="236"/>
      <c r="AXA17" s="238"/>
      <c r="AXB17" s="236"/>
      <c r="AXC17" s="236"/>
      <c r="AXD17" s="236"/>
      <c r="AXE17" s="236"/>
      <c r="AXF17" s="236"/>
      <c r="AXG17" s="239"/>
      <c r="AXH17" s="236"/>
      <c r="AXI17" s="236"/>
      <c r="AXJ17" s="236"/>
      <c r="AXK17" s="236"/>
      <c r="AXL17" s="236"/>
      <c r="AXM17" s="238"/>
      <c r="AXN17" s="236"/>
      <c r="AXO17" s="236"/>
      <c r="AXP17" s="236"/>
      <c r="AXQ17" s="236"/>
      <c r="AXR17" s="236"/>
      <c r="AXS17" s="239"/>
      <c r="AXT17" s="236"/>
      <c r="AXU17" s="236"/>
      <c r="AXV17" s="236"/>
      <c r="AXW17" s="236"/>
      <c r="AXX17" s="236"/>
      <c r="AXY17" s="240"/>
      <c r="AXZ17" s="235"/>
      <c r="AYA17" s="236"/>
      <c r="AYB17" s="236"/>
      <c r="AYC17" s="236"/>
      <c r="AYD17" s="236"/>
      <c r="AYE17" s="237"/>
      <c r="AYF17" s="236"/>
      <c r="AYG17" s="236"/>
      <c r="AYH17" s="236"/>
      <c r="AYI17" s="236"/>
      <c r="AYJ17" s="236"/>
      <c r="AYK17" s="238"/>
      <c r="AYL17" s="236"/>
      <c r="AYM17" s="236"/>
      <c r="AYN17" s="236"/>
      <c r="AYO17" s="236"/>
      <c r="AYP17" s="236"/>
      <c r="AYQ17" s="239"/>
      <c r="AYR17" s="236"/>
      <c r="AYS17" s="236"/>
      <c r="AYT17" s="236"/>
      <c r="AYU17" s="236"/>
      <c r="AYV17" s="236"/>
      <c r="AYW17" s="238"/>
      <c r="AYX17" s="236"/>
      <c r="AYY17" s="236"/>
      <c r="AYZ17" s="236"/>
      <c r="AZA17" s="236"/>
      <c r="AZB17" s="236"/>
      <c r="AZC17" s="239"/>
      <c r="AZD17" s="236"/>
      <c r="AZE17" s="236"/>
      <c r="AZF17" s="236"/>
      <c r="AZG17" s="236"/>
      <c r="AZH17" s="236"/>
      <c r="AZI17" s="238"/>
      <c r="AZJ17" s="236"/>
      <c r="AZK17" s="236"/>
      <c r="AZL17" s="236"/>
      <c r="AZM17" s="236"/>
      <c r="AZN17" s="236"/>
      <c r="AZO17" s="239"/>
      <c r="AZP17" s="236"/>
      <c r="AZQ17" s="236"/>
      <c r="AZR17" s="236"/>
      <c r="AZS17" s="236"/>
      <c r="AZT17" s="236"/>
      <c r="AZU17" s="238"/>
      <c r="AZV17" s="236"/>
      <c r="AZW17" s="236"/>
      <c r="AZX17" s="236"/>
      <c r="AZY17" s="236"/>
      <c r="AZZ17" s="236"/>
      <c r="BAA17" s="239"/>
      <c r="BAB17" s="236"/>
      <c r="BAC17" s="236"/>
      <c r="BAD17" s="236"/>
      <c r="BAE17" s="236"/>
      <c r="BAF17" s="236"/>
      <c r="BAG17" s="240"/>
      <c r="BAH17" s="235"/>
      <c r="BAI17" s="236"/>
      <c r="BAJ17" s="236"/>
      <c r="BAK17" s="236"/>
      <c r="BAL17" s="236"/>
      <c r="BAM17" s="237"/>
      <c r="BAN17" s="236"/>
      <c r="BAO17" s="236"/>
      <c r="BAP17" s="236"/>
      <c r="BAQ17" s="236"/>
      <c r="BAR17" s="236"/>
      <c r="BAS17" s="238"/>
      <c r="BAT17" s="236"/>
      <c r="BAU17" s="236"/>
      <c r="BAV17" s="236"/>
      <c r="BAW17" s="236"/>
      <c r="BAX17" s="236"/>
      <c r="BAY17" s="239"/>
      <c r="BAZ17" s="236"/>
      <c r="BBA17" s="236"/>
      <c r="BBB17" s="236"/>
      <c r="BBC17" s="236"/>
      <c r="BBD17" s="236"/>
      <c r="BBE17" s="238"/>
      <c r="BBF17" s="236"/>
      <c r="BBG17" s="236"/>
      <c r="BBH17" s="236"/>
      <c r="BBI17" s="236"/>
      <c r="BBJ17" s="236"/>
      <c r="BBK17" s="239"/>
      <c r="BBL17" s="236"/>
      <c r="BBM17" s="236"/>
      <c r="BBN17" s="236"/>
      <c r="BBO17" s="236"/>
      <c r="BBP17" s="236"/>
      <c r="BBQ17" s="238"/>
      <c r="BBR17" s="236"/>
      <c r="BBS17" s="236"/>
      <c r="BBT17" s="236"/>
      <c r="BBU17" s="236"/>
      <c r="BBV17" s="236"/>
      <c r="BBW17" s="239"/>
      <c r="BBX17" s="236"/>
      <c r="BBY17" s="236"/>
      <c r="BBZ17" s="236"/>
      <c r="BCA17" s="236"/>
      <c r="BCB17" s="236"/>
      <c r="BCC17" s="238"/>
      <c r="BCD17" s="236"/>
      <c r="BCE17" s="236"/>
      <c r="BCF17" s="236"/>
      <c r="BCG17" s="236"/>
      <c r="BCH17" s="236"/>
      <c r="BCI17" s="239"/>
      <c r="BCJ17" s="236"/>
      <c r="BCK17" s="236"/>
      <c r="BCL17" s="236"/>
      <c r="BCM17" s="236"/>
      <c r="BCN17" s="236"/>
      <c r="BCO17" s="240"/>
      <c r="BCP17" s="235"/>
      <c r="BCQ17" s="236"/>
      <c r="BCR17" s="236"/>
      <c r="BCS17" s="236"/>
      <c r="BCT17" s="236"/>
      <c r="BCU17" s="237"/>
      <c r="BCV17" s="236"/>
      <c r="BCW17" s="236"/>
      <c r="BCX17" s="236"/>
      <c r="BCY17" s="236"/>
      <c r="BCZ17" s="236"/>
      <c r="BDA17" s="238"/>
      <c r="BDB17" s="236"/>
      <c r="BDC17" s="236"/>
      <c r="BDD17" s="236"/>
      <c r="BDE17" s="236"/>
      <c r="BDF17" s="236"/>
      <c r="BDG17" s="239"/>
      <c r="BDH17" s="236"/>
      <c r="BDI17" s="236"/>
      <c r="BDJ17" s="236"/>
      <c r="BDK17" s="236"/>
      <c r="BDL17" s="236"/>
      <c r="BDM17" s="238"/>
      <c r="BDN17" s="236"/>
      <c r="BDO17" s="236"/>
      <c r="BDP17" s="236"/>
      <c r="BDQ17" s="236"/>
      <c r="BDR17" s="236"/>
      <c r="BDS17" s="239"/>
      <c r="BDT17" s="236"/>
      <c r="BDU17" s="236"/>
      <c r="BDV17" s="236"/>
      <c r="BDW17" s="236"/>
      <c r="BDX17" s="236"/>
      <c r="BDY17" s="238"/>
      <c r="BDZ17" s="236"/>
      <c r="BEA17" s="236"/>
      <c r="BEB17" s="236"/>
      <c r="BEC17" s="236"/>
      <c r="BED17" s="236"/>
      <c r="BEE17" s="239"/>
      <c r="BEF17" s="236"/>
      <c r="BEG17" s="236"/>
      <c r="BEH17" s="236"/>
      <c r="BEI17" s="236"/>
      <c r="BEJ17" s="236"/>
      <c r="BEK17" s="238"/>
      <c r="BEL17" s="236"/>
      <c r="BEM17" s="236"/>
      <c r="BEN17" s="236"/>
      <c r="BEO17" s="236"/>
      <c r="BEP17" s="236"/>
      <c r="BEQ17" s="239"/>
      <c r="BER17" s="236"/>
      <c r="BES17" s="236"/>
      <c r="BET17" s="236"/>
      <c r="BEU17" s="236"/>
      <c r="BEV17" s="236"/>
      <c r="BEW17" s="240"/>
      <c r="BEX17" s="235"/>
      <c r="BEY17" s="236"/>
      <c r="BEZ17" s="236"/>
      <c r="BFA17" s="236"/>
      <c r="BFB17" s="236"/>
      <c r="BFC17" s="237"/>
      <c r="BFD17" s="236"/>
      <c r="BFE17" s="236"/>
      <c r="BFF17" s="236"/>
      <c r="BFG17" s="236"/>
      <c r="BFH17" s="236"/>
      <c r="BFI17" s="238"/>
      <c r="BFJ17" s="236"/>
      <c r="BFK17" s="236"/>
      <c r="BFL17" s="236"/>
      <c r="BFM17" s="236"/>
      <c r="BFN17" s="236"/>
      <c r="BFO17" s="239"/>
      <c r="BFP17" s="236"/>
      <c r="BFQ17" s="236"/>
      <c r="BFR17" s="236"/>
      <c r="BFS17" s="236"/>
      <c r="BFT17" s="236"/>
      <c r="BFU17" s="238"/>
      <c r="BFV17" s="236"/>
      <c r="BFW17" s="236"/>
      <c r="BFX17" s="236"/>
      <c r="BFY17" s="236"/>
      <c r="BFZ17" s="236"/>
      <c r="BGA17" s="239"/>
      <c r="BGB17" s="236"/>
      <c r="BGC17" s="236"/>
      <c r="BGD17" s="236"/>
      <c r="BGE17" s="236"/>
      <c r="BGF17" s="236"/>
      <c r="BGG17" s="238"/>
      <c r="BGH17" s="236"/>
      <c r="BGI17" s="236"/>
      <c r="BGJ17" s="236"/>
      <c r="BGK17" s="236"/>
      <c r="BGL17" s="236"/>
      <c r="BGM17" s="239"/>
      <c r="BGN17" s="236"/>
      <c r="BGO17" s="236"/>
      <c r="BGP17" s="236"/>
      <c r="BGQ17" s="236"/>
      <c r="BGR17" s="236"/>
      <c r="BGS17" s="238"/>
      <c r="BGT17" s="236"/>
      <c r="BGU17" s="236"/>
      <c r="BGV17" s="236"/>
      <c r="BGW17" s="236"/>
      <c r="BGX17" s="236"/>
      <c r="BGY17" s="239"/>
      <c r="BGZ17" s="236"/>
      <c r="BHA17" s="236"/>
      <c r="BHB17" s="236"/>
      <c r="BHC17" s="236"/>
      <c r="BHD17" s="236"/>
      <c r="BHE17" s="240"/>
      <c r="BHF17" s="235"/>
      <c r="BHG17" s="236"/>
      <c r="BHH17" s="236"/>
      <c r="BHI17" s="236"/>
      <c r="BHJ17" s="236"/>
      <c r="BHK17" s="237"/>
      <c r="BHL17" s="236"/>
      <c r="BHM17" s="236"/>
      <c r="BHN17" s="236"/>
      <c r="BHO17" s="236"/>
      <c r="BHP17" s="236"/>
      <c r="BHQ17" s="238"/>
      <c r="BHR17" s="236"/>
      <c r="BHS17" s="236"/>
      <c r="BHT17" s="236"/>
      <c r="BHU17" s="236"/>
      <c r="BHV17" s="236"/>
      <c r="BHW17" s="239"/>
      <c r="BHX17" s="236"/>
      <c r="BHY17" s="236"/>
      <c r="BHZ17" s="236"/>
      <c r="BIA17" s="236"/>
      <c r="BIB17" s="236"/>
      <c r="BIC17" s="238"/>
      <c r="BID17" s="236"/>
      <c r="BIE17" s="236"/>
      <c r="BIF17" s="236"/>
      <c r="BIG17" s="236"/>
      <c r="BIH17" s="236"/>
      <c r="BII17" s="239"/>
      <c r="BIJ17" s="236"/>
      <c r="BIK17" s="236"/>
      <c r="BIL17" s="236"/>
      <c r="BIM17" s="236"/>
      <c r="BIN17" s="236"/>
      <c r="BIO17" s="238"/>
      <c r="BIP17" s="236"/>
      <c r="BIQ17" s="236"/>
      <c r="BIR17" s="236"/>
      <c r="BIS17" s="236"/>
      <c r="BIT17" s="236"/>
      <c r="BIU17" s="239"/>
      <c r="BIV17" s="236"/>
      <c r="BIW17" s="236"/>
      <c r="BIX17" s="236"/>
      <c r="BIY17" s="236"/>
      <c r="BIZ17" s="236"/>
      <c r="BJA17" s="238"/>
      <c r="BJB17" s="236"/>
      <c r="BJC17" s="236"/>
      <c r="BJD17" s="236"/>
      <c r="BJE17" s="236"/>
      <c r="BJF17" s="236"/>
      <c r="BJG17" s="239"/>
      <c r="BJH17" s="236"/>
      <c r="BJI17" s="236"/>
      <c r="BJJ17" s="236"/>
      <c r="BJK17" s="236"/>
      <c r="BJL17" s="236"/>
      <c r="BJM17" s="240"/>
      <c r="BJN17" s="233"/>
      <c r="BJO17" s="234"/>
      <c r="BJP17" s="234"/>
      <c r="BJQ17" s="234"/>
      <c r="BJR17" s="234"/>
      <c r="BJS17" s="234"/>
      <c r="BJT17" s="234"/>
      <c r="BJU17" s="234"/>
      <c r="BJV17" s="234"/>
      <c r="BJW17" s="234"/>
      <c r="BJX17" s="234"/>
      <c r="BJY17" s="234"/>
      <c r="BJZ17" s="234"/>
      <c r="BKA17" s="234"/>
      <c r="BKB17" s="234"/>
      <c r="BKC17" s="234"/>
      <c r="BKD17" s="234"/>
      <c r="BKE17" s="234"/>
      <c r="BKF17" s="234"/>
      <c r="BKG17" s="234"/>
      <c r="BKH17" s="234"/>
      <c r="BKI17" s="234"/>
      <c r="BKJ17" s="234"/>
      <c r="BKK17" s="234"/>
      <c r="BKL17" s="234"/>
      <c r="BKM17" s="234"/>
      <c r="BKN17" s="234"/>
    </row>
    <row r="18" spans="1:1653" ht="20.100000000000001" customHeight="1" x14ac:dyDescent="0.3">
      <c r="A18" s="84" t="s">
        <v>20</v>
      </c>
      <c r="B18" s="53" t="str">
        <f>IF(LEN(C21)=0,"",C21)</f>
        <v>Doc - Rapport</v>
      </c>
      <c r="C18" s="178"/>
      <c r="D18" s="131" t="str">
        <f t="shared" si="0"/>
        <v>1h</v>
      </c>
      <c r="E18" s="30">
        <v>12</v>
      </c>
      <c r="F18" s="165"/>
      <c r="G18" s="166"/>
      <c r="H18" s="166"/>
      <c r="I18" s="166"/>
      <c r="J18" s="166"/>
      <c r="K18" s="167"/>
      <c r="L18" s="166"/>
      <c r="M18" s="166"/>
      <c r="N18" s="166"/>
      <c r="O18" s="166"/>
      <c r="P18" s="166"/>
      <c r="Q18" s="168"/>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31"/>
      <c r="BO18" s="32"/>
      <c r="BP18" s="32"/>
      <c r="BQ18" s="32"/>
      <c r="BR18" s="32"/>
      <c r="BS18" s="116"/>
      <c r="BT18" s="32"/>
      <c r="BU18" s="32"/>
      <c r="BV18" s="32"/>
      <c r="BW18" s="32"/>
      <c r="BX18" s="32"/>
      <c r="BY18" s="121"/>
      <c r="BZ18" s="32"/>
      <c r="CA18" s="32"/>
      <c r="CB18" s="32"/>
      <c r="CC18" s="32"/>
      <c r="CD18" s="32"/>
      <c r="CE18" s="60"/>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174"/>
      <c r="BJO18" s="4"/>
      <c r="BJP18" s="4"/>
      <c r="BJQ18" s="4"/>
      <c r="BJR18" s="4"/>
      <c r="BJS18" s="4"/>
      <c r="BJT18" s="4"/>
      <c r="BJU18" s="4"/>
      <c r="BJV18" s="4"/>
      <c r="BJW18" s="4"/>
      <c r="BJX18" s="4"/>
      <c r="BJY18" s="4"/>
      <c r="BJZ18" s="4"/>
      <c r="BKA18" s="4"/>
      <c r="BKB18" s="4"/>
      <c r="BKC18" s="4"/>
      <c r="BKD18" s="4"/>
      <c r="BKE18" s="4"/>
      <c r="BKF18" s="4"/>
      <c r="BKG18" s="4"/>
      <c r="BKH18" s="4"/>
      <c r="BKI18" s="4"/>
      <c r="BKJ18" s="4"/>
      <c r="BKK18" s="4"/>
      <c r="BKL18" s="4"/>
      <c r="BKM18" s="4"/>
      <c r="BKN18" s="4"/>
    </row>
    <row r="19" spans="1:1653" ht="20.100000000000001" customHeight="1" x14ac:dyDescent="0.25">
      <c r="A19" s="84" t="s">
        <v>19</v>
      </c>
      <c r="B19" s="53" t="str">
        <f>IF(LEN(C23)=0,"",C23)</f>
        <v>Analyse - Planification initiale</v>
      </c>
      <c r="C19" s="177" t="s">
        <v>16</v>
      </c>
      <c r="D19" s="129" t="str">
        <f t="shared" si="0"/>
        <v>4h30min</v>
      </c>
      <c r="E19" s="34">
        <v>54</v>
      </c>
      <c r="F19" s="241"/>
      <c r="G19" s="242"/>
      <c r="H19" s="242"/>
      <c r="I19" s="242"/>
      <c r="J19" s="242"/>
      <c r="K19" s="243"/>
      <c r="L19" s="242"/>
      <c r="M19" s="242"/>
      <c r="N19" s="242"/>
      <c r="O19" s="242"/>
      <c r="P19" s="242"/>
      <c r="Q19" s="244"/>
      <c r="R19" s="242"/>
      <c r="S19" s="242"/>
      <c r="T19" s="242"/>
      <c r="U19" s="242"/>
      <c r="V19" s="242"/>
      <c r="W19" s="245"/>
      <c r="X19" s="242"/>
      <c r="Y19" s="242"/>
      <c r="Z19" s="242"/>
      <c r="AA19" s="242"/>
      <c r="AB19" s="242"/>
      <c r="AC19" s="244"/>
      <c r="AD19" s="242"/>
      <c r="AE19" s="242"/>
      <c r="AF19" s="242"/>
      <c r="AG19" s="242"/>
      <c r="AH19" s="242"/>
      <c r="AI19" s="245"/>
      <c r="AJ19" s="242"/>
      <c r="AK19" s="242"/>
      <c r="AL19" s="242"/>
      <c r="AM19" s="242"/>
      <c r="AN19" s="242"/>
      <c r="AO19" s="244"/>
      <c r="AP19" s="242"/>
      <c r="AQ19" s="242"/>
      <c r="AR19" s="242"/>
      <c r="AS19" s="242"/>
      <c r="AT19" s="242"/>
      <c r="AU19" s="245"/>
      <c r="AV19" s="242"/>
      <c r="AW19" s="242"/>
      <c r="AX19" s="242"/>
      <c r="AY19" s="242"/>
      <c r="AZ19" s="153"/>
      <c r="BA19" s="154"/>
      <c r="BB19" s="242"/>
      <c r="BC19" s="242"/>
      <c r="BD19" s="242"/>
      <c r="BE19" s="242"/>
      <c r="BF19" s="242"/>
      <c r="BG19" s="245"/>
      <c r="BH19" s="242"/>
      <c r="BI19" s="242"/>
      <c r="BJ19" s="242"/>
      <c r="BK19" s="242"/>
      <c r="BL19" s="242"/>
      <c r="BM19" s="246"/>
      <c r="BN19" s="241"/>
      <c r="BO19" s="242"/>
      <c r="BP19" s="242"/>
      <c r="BQ19" s="242"/>
      <c r="BR19" s="242"/>
      <c r="BS19" s="243"/>
      <c r="BT19" s="242"/>
      <c r="BU19" s="242"/>
      <c r="BV19" s="242"/>
      <c r="BW19" s="242"/>
      <c r="BX19" s="242"/>
      <c r="BY19" s="244"/>
      <c r="BZ19" s="242"/>
      <c r="CA19" s="242"/>
      <c r="CB19" s="242"/>
      <c r="CC19" s="242"/>
      <c r="CD19" s="242"/>
      <c r="CE19" s="245"/>
      <c r="CF19" s="242"/>
      <c r="CG19" s="242"/>
      <c r="CH19" s="242"/>
      <c r="CI19" s="242"/>
      <c r="CJ19" s="242"/>
      <c r="CK19" s="244"/>
      <c r="CL19" s="242"/>
      <c r="CM19" s="242"/>
      <c r="CN19" s="153"/>
      <c r="CO19" s="153"/>
      <c r="CP19" s="242"/>
      <c r="CQ19" s="245"/>
      <c r="CR19" s="242"/>
      <c r="CS19" s="242"/>
      <c r="CT19" s="242"/>
      <c r="CU19" s="242"/>
      <c r="CV19" s="242"/>
      <c r="CW19" s="244"/>
      <c r="CX19" s="242"/>
      <c r="CY19" s="242"/>
      <c r="CZ19" s="242"/>
      <c r="DA19" s="242"/>
      <c r="DB19" s="242"/>
      <c r="DC19" s="245"/>
      <c r="DD19" s="242"/>
      <c r="DE19" s="242"/>
      <c r="DF19" s="242"/>
      <c r="DG19" s="242"/>
      <c r="DH19" s="242"/>
      <c r="DI19" s="244"/>
      <c r="DJ19" s="242"/>
      <c r="DK19" s="242"/>
      <c r="DL19" s="242"/>
      <c r="DM19" s="242"/>
      <c r="DN19" s="242"/>
      <c r="DO19" s="245"/>
      <c r="DP19" s="242"/>
      <c r="DQ19" s="242"/>
      <c r="DR19" s="242"/>
      <c r="DS19" s="242"/>
      <c r="DT19" s="242"/>
      <c r="DU19" s="246"/>
      <c r="DV19" s="241"/>
      <c r="DW19" s="242"/>
      <c r="DX19" s="242"/>
      <c r="DY19" s="242"/>
      <c r="DZ19" s="242"/>
      <c r="EA19" s="243"/>
      <c r="EB19" s="242"/>
      <c r="EC19" s="242"/>
      <c r="ED19" s="242"/>
      <c r="EE19" s="242"/>
      <c r="EF19" s="242"/>
      <c r="EG19" s="244"/>
      <c r="EH19" s="242"/>
      <c r="EI19" s="242"/>
      <c r="EJ19" s="242"/>
      <c r="EK19" s="242"/>
      <c r="EL19" s="242"/>
      <c r="EM19" s="245"/>
      <c r="EN19" s="242"/>
      <c r="EO19" s="242"/>
      <c r="EP19" s="242"/>
      <c r="EQ19" s="242"/>
      <c r="ER19" s="242"/>
      <c r="ES19" s="244"/>
      <c r="ET19" s="242"/>
      <c r="EU19" s="242"/>
      <c r="EV19" s="242"/>
      <c r="EW19" s="242"/>
      <c r="EX19" s="242"/>
      <c r="EY19" s="245"/>
      <c r="EZ19" s="242"/>
      <c r="FA19" s="242"/>
      <c r="FB19" s="242"/>
      <c r="FC19" s="242"/>
      <c r="FD19" s="242"/>
      <c r="FE19" s="244"/>
      <c r="FF19" s="242"/>
      <c r="FG19" s="242"/>
      <c r="FH19" s="242"/>
      <c r="FI19" s="242"/>
      <c r="FJ19" s="242"/>
      <c r="FK19" s="245"/>
      <c r="FL19" s="242"/>
      <c r="FM19" s="242"/>
      <c r="FN19" s="242"/>
      <c r="FO19" s="242"/>
      <c r="FP19" s="153"/>
      <c r="FQ19" s="154"/>
      <c r="FR19" s="242"/>
      <c r="FS19" s="242"/>
      <c r="FT19" s="242"/>
      <c r="FU19" s="242"/>
      <c r="FV19" s="242"/>
      <c r="FW19" s="245"/>
      <c r="FX19" s="242"/>
      <c r="FY19" s="242"/>
      <c r="FZ19" s="242"/>
      <c r="GA19" s="242"/>
      <c r="GB19" s="242"/>
      <c r="GC19" s="246"/>
      <c r="GD19" s="241"/>
      <c r="GE19" s="242"/>
      <c r="GF19" s="242"/>
      <c r="GG19" s="242"/>
      <c r="GH19" s="242"/>
      <c r="GI19" s="243"/>
      <c r="GJ19" s="242"/>
      <c r="GK19" s="242"/>
      <c r="GL19" s="242"/>
      <c r="GM19" s="242"/>
      <c r="GN19" s="242"/>
      <c r="GO19" s="244"/>
      <c r="GP19" s="242"/>
      <c r="GQ19" s="242"/>
      <c r="GR19" s="242"/>
      <c r="GS19" s="242"/>
      <c r="GT19" s="242"/>
      <c r="GU19" s="245"/>
      <c r="GV19" s="242"/>
      <c r="GW19" s="242"/>
      <c r="GX19" s="242"/>
      <c r="GY19" s="242"/>
      <c r="GZ19" s="242"/>
      <c r="HA19" s="244"/>
      <c r="HB19" s="242"/>
      <c r="HC19" s="242"/>
      <c r="HD19" s="153"/>
      <c r="HE19" s="153"/>
      <c r="HF19" s="242"/>
      <c r="HG19" s="245"/>
      <c r="HH19" s="242"/>
      <c r="HI19" s="242"/>
      <c r="HJ19" s="242"/>
      <c r="HK19" s="242"/>
      <c r="HL19" s="242"/>
      <c r="HM19" s="244"/>
      <c r="HN19" s="242"/>
      <c r="HO19" s="242"/>
      <c r="HP19" s="242"/>
      <c r="HQ19" s="242"/>
      <c r="HR19" s="242"/>
      <c r="HS19" s="245"/>
      <c r="HT19" s="242"/>
      <c r="HU19" s="242"/>
      <c r="HV19" s="242"/>
      <c r="HW19" s="242"/>
      <c r="HX19" s="242"/>
      <c r="HY19" s="244"/>
      <c r="HZ19" s="242"/>
      <c r="IA19" s="242"/>
      <c r="IB19" s="242"/>
      <c r="IC19" s="242"/>
      <c r="ID19" s="242"/>
      <c r="IE19" s="245"/>
      <c r="IF19" s="242"/>
      <c r="IG19" s="242"/>
      <c r="IH19" s="242"/>
      <c r="II19" s="242"/>
      <c r="IJ19" s="242"/>
      <c r="IK19" s="246"/>
      <c r="IL19" s="241"/>
      <c r="IM19" s="242"/>
      <c r="IN19" s="242"/>
      <c r="IO19" s="242"/>
      <c r="IP19" s="242"/>
      <c r="IQ19" s="243"/>
      <c r="IR19" s="242"/>
      <c r="IS19" s="242"/>
      <c r="IT19" s="242"/>
      <c r="IU19" s="242"/>
      <c r="IV19" s="242"/>
      <c r="IW19" s="244"/>
      <c r="IX19" s="242"/>
      <c r="IY19" s="242"/>
      <c r="IZ19" s="242"/>
      <c r="JA19" s="242"/>
      <c r="JB19" s="242"/>
      <c r="JC19" s="245"/>
      <c r="JD19" s="242"/>
      <c r="JE19" s="242"/>
      <c r="JF19" s="242"/>
      <c r="JG19" s="242"/>
      <c r="JH19" s="242"/>
      <c r="JI19" s="244"/>
      <c r="JJ19" s="242"/>
      <c r="JK19" s="242"/>
      <c r="JL19" s="153"/>
      <c r="JM19" s="153"/>
      <c r="JN19" s="242"/>
      <c r="JO19" s="245"/>
      <c r="JP19" s="242"/>
      <c r="JQ19" s="242"/>
      <c r="JR19" s="242"/>
      <c r="JS19" s="242"/>
      <c r="JT19" s="242"/>
      <c r="JU19" s="244"/>
      <c r="JV19" s="242"/>
      <c r="JW19" s="242"/>
      <c r="JX19" s="242"/>
      <c r="JY19" s="242"/>
      <c r="JZ19" s="242"/>
      <c r="KA19" s="245"/>
      <c r="KB19" s="242"/>
      <c r="KC19" s="242"/>
      <c r="KD19" s="242"/>
      <c r="KE19" s="242"/>
      <c r="KF19" s="242"/>
      <c r="KG19" s="244"/>
      <c r="KH19" s="242"/>
      <c r="KI19" s="242"/>
      <c r="KJ19" s="242"/>
      <c r="KK19" s="242"/>
      <c r="KL19" s="242"/>
      <c r="KM19" s="245"/>
      <c r="KN19" s="242"/>
      <c r="KO19" s="242"/>
      <c r="KP19" s="242"/>
      <c r="KQ19" s="242"/>
      <c r="KR19" s="242"/>
      <c r="KS19" s="246"/>
      <c r="KT19" s="241"/>
      <c r="KU19" s="242"/>
      <c r="KV19" s="242"/>
      <c r="KW19" s="242"/>
      <c r="KX19" s="242"/>
      <c r="KY19" s="243"/>
      <c r="KZ19" s="242"/>
      <c r="LA19" s="242"/>
      <c r="LB19" s="242"/>
      <c r="LC19" s="242"/>
      <c r="LD19" s="242"/>
      <c r="LE19" s="244"/>
      <c r="LF19" s="242"/>
      <c r="LG19" s="242"/>
      <c r="LH19" s="242"/>
      <c r="LI19" s="242"/>
      <c r="LJ19" s="242"/>
      <c r="LK19" s="245"/>
      <c r="LL19" s="242"/>
      <c r="LM19" s="242"/>
      <c r="LN19" s="242"/>
      <c r="LO19" s="242"/>
      <c r="LP19" s="242"/>
      <c r="LQ19" s="244"/>
      <c r="LR19" s="242"/>
      <c r="LS19" s="242"/>
      <c r="LT19" s="242"/>
      <c r="LU19" s="242"/>
      <c r="LV19" s="242"/>
      <c r="LW19" s="245"/>
      <c r="LX19" s="242"/>
      <c r="LY19" s="242"/>
      <c r="LZ19" s="242"/>
      <c r="MA19" s="242"/>
      <c r="MB19" s="242"/>
      <c r="MC19" s="244"/>
      <c r="MD19" s="242"/>
      <c r="ME19" s="242"/>
      <c r="MF19" s="242"/>
      <c r="MG19" s="242"/>
      <c r="MH19" s="242"/>
      <c r="MI19" s="245"/>
      <c r="MJ19" s="242"/>
      <c r="MK19" s="242"/>
      <c r="ML19" s="242"/>
      <c r="MM19" s="242"/>
      <c r="MN19" s="153"/>
      <c r="MO19" s="154"/>
      <c r="MP19" s="242"/>
      <c r="MQ19" s="242"/>
      <c r="MR19" s="242"/>
      <c r="MS19" s="242"/>
      <c r="MT19" s="242"/>
      <c r="MU19" s="245"/>
      <c r="MV19" s="242"/>
      <c r="MW19" s="242"/>
      <c r="MX19" s="242"/>
      <c r="MY19" s="242"/>
      <c r="MZ19" s="242"/>
      <c r="NA19" s="246"/>
      <c r="NB19" s="241"/>
      <c r="NC19" s="242"/>
      <c r="ND19" s="242"/>
      <c r="NE19" s="242"/>
      <c r="NF19" s="242"/>
      <c r="NG19" s="243"/>
      <c r="NH19" s="242"/>
      <c r="NI19" s="242"/>
      <c r="NJ19" s="242"/>
      <c r="NK19" s="242"/>
      <c r="NL19" s="242"/>
      <c r="NM19" s="244"/>
      <c r="NN19" s="242"/>
      <c r="NO19" s="242"/>
      <c r="NP19" s="242"/>
      <c r="NQ19" s="242"/>
      <c r="NR19" s="242"/>
      <c r="NS19" s="245"/>
      <c r="NT19" s="242"/>
      <c r="NU19" s="242"/>
      <c r="NV19" s="242"/>
      <c r="NW19" s="242"/>
      <c r="NX19" s="242"/>
      <c r="NY19" s="244"/>
      <c r="NZ19" s="242"/>
      <c r="OA19" s="242"/>
      <c r="OB19" s="242"/>
      <c r="OC19" s="242"/>
      <c r="OD19" s="242"/>
      <c r="OE19" s="245"/>
      <c r="OF19" s="242"/>
      <c r="OG19" s="242"/>
      <c r="OH19" s="242"/>
      <c r="OI19" s="242"/>
      <c r="OJ19" s="242"/>
      <c r="OK19" s="244"/>
      <c r="OL19" s="153"/>
      <c r="OM19" s="153"/>
      <c r="ON19" s="242"/>
      <c r="OO19" s="242"/>
      <c r="OP19" s="242"/>
      <c r="OQ19" s="245"/>
      <c r="OR19" s="242"/>
      <c r="OS19" s="242"/>
      <c r="OT19" s="242"/>
      <c r="OU19" s="242"/>
      <c r="OV19" s="242"/>
      <c r="OW19" s="244"/>
      <c r="OX19" s="242"/>
      <c r="OY19" s="242"/>
      <c r="OZ19" s="242"/>
      <c r="PA19" s="242"/>
      <c r="PB19" s="242"/>
      <c r="PC19" s="245"/>
      <c r="PD19" s="242"/>
      <c r="PE19" s="242"/>
      <c r="PF19" s="242"/>
      <c r="PG19" s="242"/>
      <c r="PH19" s="242"/>
      <c r="PI19" s="246"/>
      <c r="PJ19" s="241"/>
      <c r="PK19" s="242"/>
      <c r="PL19" s="242"/>
      <c r="PM19" s="242"/>
      <c r="PN19" s="242"/>
      <c r="PO19" s="243"/>
      <c r="PP19" s="242"/>
      <c r="PQ19" s="242"/>
      <c r="PR19" s="242"/>
      <c r="PS19" s="242"/>
      <c r="PT19" s="242"/>
      <c r="PU19" s="244"/>
      <c r="PV19" s="242"/>
      <c r="PW19" s="242"/>
      <c r="PX19" s="242"/>
      <c r="PY19" s="242"/>
      <c r="PZ19" s="242"/>
      <c r="QA19" s="245"/>
      <c r="QB19" s="242"/>
      <c r="QC19" s="242"/>
      <c r="QD19" s="242"/>
      <c r="QE19" s="242"/>
      <c r="QF19" s="242"/>
      <c r="QG19" s="244"/>
      <c r="QH19" s="242"/>
      <c r="QI19" s="242"/>
      <c r="QJ19" s="242"/>
      <c r="QK19" s="242"/>
      <c r="QL19" s="242"/>
      <c r="QM19" s="245"/>
      <c r="QN19" s="242"/>
      <c r="QO19" s="242"/>
      <c r="QP19" s="242"/>
      <c r="QQ19" s="242"/>
      <c r="QR19" s="242"/>
      <c r="QS19" s="244"/>
      <c r="QT19" s="242"/>
      <c r="QU19" s="242"/>
      <c r="QV19" s="242"/>
      <c r="QW19" s="242"/>
      <c r="QX19" s="242"/>
      <c r="QY19" s="245"/>
      <c r="QZ19" s="242"/>
      <c r="RA19" s="242"/>
      <c r="RB19" s="242"/>
      <c r="RC19" s="242"/>
      <c r="RD19" s="153"/>
      <c r="RE19" s="154"/>
      <c r="RF19" s="242"/>
      <c r="RG19" s="242"/>
      <c r="RH19" s="242"/>
      <c r="RI19" s="242"/>
      <c r="RJ19" s="242"/>
      <c r="RK19" s="245"/>
      <c r="RL19" s="242"/>
      <c r="RM19" s="242"/>
      <c r="RN19" s="242"/>
      <c r="RO19" s="242"/>
      <c r="RP19" s="242"/>
      <c r="RQ19" s="246"/>
      <c r="RR19" s="241"/>
      <c r="RS19" s="242"/>
      <c r="RT19" s="242"/>
      <c r="RU19" s="242"/>
      <c r="RV19" s="242"/>
      <c r="RW19" s="243"/>
      <c r="RX19" s="242"/>
      <c r="RY19" s="242"/>
      <c r="RZ19" s="242"/>
      <c r="SA19" s="242"/>
      <c r="SB19" s="242"/>
      <c r="SC19" s="244"/>
      <c r="SD19" s="242"/>
      <c r="SE19" s="242"/>
      <c r="SF19" s="242"/>
      <c r="SG19" s="242"/>
      <c r="SH19" s="242"/>
      <c r="SI19" s="245"/>
      <c r="SJ19" s="242"/>
      <c r="SK19" s="242"/>
      <c r="SL19" s="242"/>
      <c r="SM19" s="242"/>
      <c r="SN19" s="242"/>
      <c r="SO19" s="244"/>
      <c r="SP19" s="242"/>
      <c r="SQ19" s="242"/>
      <c r="SR19" s="242"/>
      <c r="SS19" s="242"/>
      <c r="ST19" s="242"/>
      <c r="SU19" s="245"/>
      <c r="SV19" s="242"/>
      <c r="SW19" s="242"/>
      <c r="SX19" s="242"/>
      <c r="SY19" s="242"/>
      <c r="SZ19" s="242"/>
      <c r="TA19" s="244"/>
      <c r="TB19" s="153"/>
      <c r="TC19" s="153"/>
      <c r="TD19" s="242"/>
      <c r="TE19" s="242"/>
      <c r="TF19" s="242"/>
      <c r="TG19" s="245"/>
      <c r="TH19" s="242"/>
      <c r="TI19" s="242"/>
      <c r="TJ19" s="242"/>
      <c r="TK19" s="242"/>
      <c r="TL19" s="242"/>
      <c r="TM19" s="244"/>
      <c r="TN19" s="242"/>
      <c r="TO19" s="242"/>
      <c r="TP19" s="242"/>
      <c r="TQ19" s="242"/>
      <c r="TR19" s="242"/>
      <c r="TS19" s="245"/>
      <c r="TT19" s="242"/>
      <c r="TU19" s="242"/>
      <c r="TV19" s="242"/>
      <c r="TW19" s="242"/>
      <c r="TX19" s="242"/>
      <c r="TY19" s="246"/>
      <c r="TZ19" s="241"/>
      <c r="UA19" s="242"/>
      <c r="UB19" s="242"/>
      <c r="UC19" s="242"/>
      <c r="UD19" s="242"/>
      <c r="UE19" s="243"/>
      <c r="UF19" s="242"/>
      <c r="UG19" s="242"/>
      <c r="UH19" s="242"/>
      <c r="UI19" s="242"/>
      <c r="UJ19" s="242"/>
      <c r="UK19" s="244"/>
      <c r="UL19" s="242"/>
      <c r="UM19" s="242"/>
      <c r="UN19" s="242"/>
      <c r="UO19" s="242"/>
      <c r="UP19" s="242"/>
      <c r="UQ19" s="245"/>
      <c r="UR19" s="242"/>
      <c r="US19" s="242"/>
      <c r="UT19" s="242"/>
      <c r="UU19" s="242"/>
      <c r="UV19" s="242"/>
      <c r="UW19" s="244"/>
      <c r="UX19" s="242"/>
      <c r="UY19" s="242"/>
      <c r="UZ19" s="242"/>
      <c r="VA19" s="242"/>
      <c r="VB19" s="242"/>
      <c r="VC19" s="245"/>
      <c r="VD19" s="242"/>
      <c r="VE19" s="242"/>
      <c r="VF19" s="242"/>
      <c r="VG19" s="242"/>
      <c r="VH19" s="242"/>
      <c r="VI19" s="244"/>
      <c r="VJ19" s="242"/>
      <c r="VK19" s="242"/>
      <c r="VL19" s="242"/>
      <c r="VM19" s="242"/>
      <c r="VN19" s="242"/>
      <c r="VO19" s="245"/>
      <c r="VP19" s="242"/>
      <c r="VQ19" s="242"/>
      <c r="VR19" s="242"/>
      <c r="VS19" s="242"/>
      <c r="VT19" s="153"/>
      <c r="VU19" s="154"/>
      <c r="VV19" s="242"/>
      <c r="VW19" s="242"/>
      <c r="VX19" s="242"/>
      <c r="VY19" s="242"/>
      <c r="VZ19" s="242"/>
      <c r="WA19" s="245"/>
      <c r="WB19" s="242"/>
      <c r="WC19" s="242"/>
      <c r="WD19" s="242"/>
      <c r="WE19" s="242"/>
      <c r="WF19" s="242"/>
      <c r="WG19" s="246"/>
      <c r="WH19" s="241"/>
      <c r="WI19" s="242"/>
      <c r="WJ19" s="242"/>
      <c r="WK19" s="242"/>
      <c r="WL19" s="242"/>
      <c r="WM19" s="243"/>
      <c r="WN19" s="242"/>
      <c r="WO19" s="242"/>
      <c r="WP19" s="242"/>
      <c r="WQ19" s="242"/>
      <c r="WR19" s="242"/>
      <c r="WS19" s="244"/>
      <c r="WT19" s="242"/>
      <c r="WU19" s="242"/>
      <c r="WV19" s="242"/>
      <c r="WW19" s="242"/>
      <c r="WX19" s="242"/>
      <c r="WY19" s="245"/>
      <c r="WZ19" s="242"/>
      <c r="XA19" s="242"/>
      <c r="XB19" s="242"/>
      <c r="XC19" s="242"/>
      <c r="XD19" s="242"/>
      <c r="XE19" s="244"/>
      <c r="XF19" s="242"/>
      <c r="XG19" s="242"/>
      <c r="XH19" s="153"/>
      <c r="XI19" s="153"/>
      <c r="XJ19" s="242"/>
      <c r="XK19" s="245"/>
      <c r="XL19" s="242"/>
      <c r="XM19" s="242"/>
      <c r="XN19" s="242"/>
      <c r="XO19" s="242"/>
      <c r="XP19" s="242"/>
      <c r="XQ19" s="244"/>
      <c r="XR19" s="242"/>
      <c r="XS19" s="242"/>
      <c r="XT19" s="242"/>
      <c r="XU19" s="242"/>
      <c r="XV19" s="242"/>
      <c r="XW19" s="245"/>
      <c r="XX19" s="242"/>
      <c r="XY19" s="242"/>
      <c r="XZ19" s="242"/>
      <c r="YA19" s="242"/>
      <c r="YB19" s="242"/>
      <c r="YC19" s="244"/>
      <c r="YD19" s="242"/>
      <c r="YE19" s="242"/>
      <c r="YF19" s="242"/>
      <c r="YG19" s="242"/>
      <c r="YH19" s="242"/>
      <c r="YI19" s="245"/>
      <c r="YJ19" s="242"/>
      <c r="YK19" s="242"/>
      <c r="YL19" s="242"/>
      <c r="YM19" s="242"/>
      <c r="YN19" s="242"/>
      <c r="YO19" s="246"/>
      <c r="YP19" s="241"/>
      <c r="YQ19" s="242"/>
      <c r="YR19" s="242"/>
      <c r="YS19" s="242"/>
      <c r="YT19" s="242"/>
      <c r="YU19" s="243"/>
      <c r="YV19" s="242"/>
      <c r="YW19" s="242"/>
      <c r="YX19" s="242"/>
      <c r="YY19" s="242"/>
      <c r="YZ19" s="242"/>
      <c r="ZA19" s="244"/>
      <c r="ZB19" s="242"/>
      <c r="ZC19" s="242"/>
      <c r="ZD19" s="242"/>
      <c r="ZE19" s="242"/>
      <c r="ZF19" s="242"/>
      <c r="ZG19" s="245"/>
      <c r="ZH19" s="242"/>
      <c r="ZI19" s="242"/>
      <c r="ZJ19" s="242"/>
      <c r="ZK19" s="242"/>
      <c r="ZL19" s="242"/>
      <c r="ZM19" s="244"/>
      <c r="ZN19" s="242"/>
      <c r="ZO19" s="242"/>
      <c r="ZP19" s="153"/>
      <c r="ZQ19" s="153"/>
      <c r="ZR19" s="242"/>
      <c r="ZS19" s="245"/>
      <c r="ZT19" s="242"/>
      <c r="ZU19" s="242"/>
      <c r="ZV19" s="242"/>
      <c r="ZW19" s="242"/>
      <c r="ZX19" s="242"/>
      <c r="ZY19" s="244"/>
      <c r="ZZ19" s="242"/>
      <c r="AAA19" s="242"/>
      <c r="AAB19" s="242"/>
      <c r="AAC19" s="242"/>
      <c r="AAD19" s="242"/>
      <c r="AAE19" s="245"/>
      <c r="AAF19" s="242"/>
      <c r="AAG19" s="242"/>
      <c r="AAH19" s="242"/>
      <c r="AAI19" s="242"/>
      <c r="AAJ19" s="242"/>
      <c r="AAK19" s="244"/>
      <c r="AAL19" s="242"/>
      <c r="AAM19" s="242"/>
      <c r="AAN19" s="242"/>
      <c r="AAO19" s="242"/>
      <c r="AAP19" s="242"/>
      <c r="AAQ19" s="245"/>
      <c r="AAR19" s="242"/>
      <c r="AAS19" s="242"/>
      <c r="AAT19" s="242"/>
      <c r="AAU19" s="242"/>
      <c r="AAV19" s="242"/>
      <c r="AAW19" s="246"/>
      <c r="AAX19" s="241"/>
      <c r="AAY19" s="242"/>
      <c r="AAZ19" s="242"/>
      <c r="ABA19" s="242"/>
      <c r="ABB19" s="242"/>
      <c r="ABC19" s="243"/>
      <c r="ABD19" s="242"/>
      <c r="ABE19" s="242"/>
      <c r="ABF19" s="242"/>
      <c r="ABG19" s="242"/>
      <c r="ABH19" s="242"/>
      <c r="ABI19" s="244"/>
      <c r="ABJ19" s="242"/>
      <c r="ABK19" s="242"/>
      <c r="ABL19" s="242"/>
      <c r="ABM19" s="242"/>
      <c r="ABN19" s="242"/>
      <c r="ABO19" s="245"/>
      <c r="ABP19" s="242"/>
      <c r="ABQ19" s="242"/>
      <c r="ABR19" s="242"/>
      <c r="ABS19" s="242"/>
      <c r="ABT19" s="242"/>
      <c r="ABU19" s="244"/>
      <c r="ABV19" s="242"/>
      <c r="ABW19" s="242"/>
      <c r="ABX19" s="242"/>
      <c r="ABY19" s="242"/>
      <c r="ABZ19" s="242"/>
      <c r="ACA19" s="245"/>
      <c r="ACB19" s="242"/>
      <c r="ACC19" s="242"/>
      <c r="ACD19" s="242"/>
      <c r="ACE19" s="242"/>
      <c r="ACF19" s="242"/>
      <c r="ACG19" s="244"/>
      <c r="ACH19" s="242"/>
      <c r="ACI19" s="242"/>
      <c r="ACJ19" s="242"/>
      <c r="ACK19" s="242"/>
      <c r="ACL19" s="242"/>
      <c r="ACM19" s="245"/>
      <c r="ACN19" s="242"/>
      <c r="ACO19" s="242"/>
      <c r="ACP19" s="242"/>
      <c r="ACQ19" s="242"/>
      <c r="ACR19" s="153"/>
      <c r="ACS19" s="154"/>
      <c r="ACT19" s="242"/>
      <c r="ACU19" s="242"/>
      <c r="ACV19" s="242"/>
      <c r="ACW19" s="242"/>
      <c r="ACX19" s="242"/>
      <c r="ACY19" s="245"/>
      <c r="ACZ19" s="242"/>
      <c r="ADA19" s="242"/>
      <c r="ADB19" s="242"/>
      <c r="ADC19" s="242"/>
      <c r="ADD19" s="242"/>
      <c r="ADE19" s="246"/>
      <c r="ADF19" s="241"/>
      <c r="ADG19" s="242"/>
      <c r="ADH19" s="242"/>
      <c r="ADI19" s="242"/>
      <c r="ADJ19" s="242"/>
      <c r="ADK19" s="243"/>
      <c r="ADL19" s="242"/>
      <c r="ADM19" s="242"/>
      <c r="ADN19" s="242"/>
      <c r="ADO19" s="242"/>
      <c r="ADP19" s="242"/>
      <c r="ADQ19" s="244"/>
      <c r="ADR19" s="242"/>
      <c r="ADS19" s="242"/>
      <c r="ADT19" s="242"/>
      <c r="ADU19" s="242"/>
      <c r="ADV19" s="242"/>
      <c r="ADW19" s="245"/>
      <c r="ADX19" s="242"/>
      <c r="ADY19" s="242"/>
      <c r="ADZ19" s="242"/>
      <c r="AEA19" s="242"/>
      <c r="AEB19" s="242"/>
      <c r="AEC19" s="244"/>
      <c r="AED19" s="242"/>
      <c r="AEE19" s="242"/>
      <c r="AEF19" s="242"/>
      <c r="AEG19" s="242"/>
      <c r="AEH19" s="242"/>
      <c r="AEI19" s="245"/>
      <c r="AEJ19" s="242"/>
      <c r="AEK19" s="242"/>
      <c r="AEL19" s="242"/>
      <c r="AEM19" s="242"/>
      <c r="AEN19" s="242"/>
      <c r="AEO19" s="244"/>
      <c r="AEP19" s="153"/>
      <c r="AEQ19" s="153"/>
      <c r="AER19" s="242"/>
      <c r="AES19" s="242"/>
      <c r="AET19" s="242"/>
      <c r="AEU19" s="245"/>
      <c r="AEV19" s="242"/>
      <c r="AEW19" s="242"/>
      <c r="AEX19" s="242"/>
      <c r="AEY19" s="242"/>
      <c r="AEZ19" s="242"/>
      <c r="AFA19" s="244"/>
      <c r="AFB19" s="242"/>
      <c r="AFC19" s="242"/>
      <c r="AFD19" s="242"/>
      <c r="AFE19" s="242"/>
      <c r="AFF19" s="242"/>
      <c r="AFG19" s="245"/>
      <c r="AFH19" s="242"/>
      <c r="AFI19" s="242"/>
      <c r="AFJ19" s="242"/>
      <c r="AFK19" s="242"/>
      <c r="AFL19" s="242"/>
      <c r="AFM19" s="246"/>
      <c r="AFN19" s="241"/>
      <c r="AFO19" s="242"/>
      <c r="AFP19" s="242"/>
      <c r="AFQ19" s="242"/>
      <c r="AFR19" s="242"/>
      <c r="AFS19" s="243"/>
      <c r="AFT19" s="242"/>
      <c r="AFU19" s="242"/>
      <c r="AFV19" s="242"/>
      <c r="AFW19" s="242"/>
      <c r="AFX19" s="242"/>
      <c r="AFY19" s="244"/>
      <c r="AFZ19" s="242"/>
      <c r="AGA19" s="242"/>
      <c r="AGB19" s="242"/>
      <c r="AGC19" s="242"/>
      <c r="AGD19" s="242"/>
      <c r="AGE19" s="245"/>
      <c r="AGF19" s="242"/>
      <c r="AGG19" s="242"/>
      <c r="AGH19" s="242"/>
      <c r="AGI19" s="242"/>
      <c r="AGJ19" s="242"/>
      <c r="AGK19" s="244"/>
      <c r="AGL19" s="242"/>
      <c r="AGM19" s="242"/>
      <c r="AGN19" s="242"/>
      <c r="AGO19" s="242"/>
      <c r="AGP19" s="242"/>
      <c r="AGQ19" s="245"/>
      <c r="AGR19" s="242"/>
      <c r="AGS19" s="242"/>
      <c r="AGT19" s="242"/>
      <c r="AGU19" s="242"/>
      <c r="AGV19" s="242"/>
      <c r="AGW19" s="244"/>
      <c r="AGX19" s="242"/>
      <c r="AGY19" s="242"/>
      <c r="AGZ19" s="242"/>
      <c r="AHA19" s="242"/>
      <c r="AHB19" s="242"/>
      <c r="AHC19" s="245"/>
      <c r="AHD19" s="242"/>
      <c r="AHE19" s="242"/>
      <c r="AHF19" s="242"/>
      <c r="AHG19" s="242"/>
      <c r="AHH19" s="153"/>
      <c r="AHI19" s="154"/>
      <c r="AHJ19" s="242"/>
      <c r="AHK19" s="242"/>
      <c r="AHL19" s="242"/>
      <c r="AHM19" s="242"/>
      <c r="AHN19" s="242"/>
      <c r="AHO19" s="245"/>
      <c r="AHP19" s="242"/>
      <c r="AHQ19" s="242"/>
      <c r="AHR19" s="242"/>
      <c r="AHS19" s="242"/>
      <c r="AHT19" s="242"/>
      <c r="AHU19" s="246"/>
      <c r="AHV19" s="241"/>
      <c r="AHW19" s="242"/>
      <c r="AHX19" s="242"/>
      <c r="AHY19" s="242"/>
      <c r="AHZ19" s="242"/>
      <c r="AIA19" s="243"/>
      <c r="AIB19" s="242"/>
      <c r="AIC19" s="242"/>
      <c r="AID19" s="242"/>
      <c r="AIE19" s="242"/>
      <c r="AIF19" s="242"/>
      <c r="AIG19" s="244"/>
      <c r="AIH19" s="242"/>
      <c r="AII19" s="242"/>
      <c r="AIJ19" s="242"/>
      <c r="AIK19" s="242"/>
      <c r="AIL19" s="242"/>
      <c r="AIM19" s="245"/>
      <c r="AIN19" s="242"/>
      <c r="AIO19" s="242"/>
      <c r="AIP19" s="242"/>
      <c r="AIQ19" s="242"/>
      <c r="AIR19" s="242"/>
      <c r="AIS19" s="244"/>
      <c r="AIT19" s="242"/>
      <c r="AIU19" s="242"/>
      <c r="AIV19" s="242"/>
      <c r="AIW19" s="242"/>
      <c r="AIX19" s="242"/>
      <c r="AIY19" s="245"/>
      <c r="AIZ19" s="242"/>
      <c r="AJA19" s="242"/>
      <c r="AJB19" s="242"/>
      <c r="AJC19" s="242"/>
      <c r="AJD19" s="242"/>
      <c r="AJE19" s="244"/>
      <c r="AJF19" s="153"/>
      <c r="AJG19" s="153"/>
      <c r="AJH19" s="242"/>
      <c r="AJI19" s="242"/>
      <c r="AJJ19" s="242"/>
      <c r="AJK19" s="245"/>
      <c r="AJL19" s="242"/>
      <c r="AJM19" s="242"/>
      <c r="AJN19" s="242"/>
      <c r="AJO19" s="242"/>
      <c r="AJP19" s="242"/>
      <c r="AJQ19" s="244"/>
      <c r="AJR19" s="242"/>
      <c r="AJS19" s="242"/>
      <c r="AJT19" s="242"/>
      <c r="AJU19" s="242"/>
      <c r="AJV19" s="242"/>
      <c r="AJW19" s="245"/>
      <c r="AJX19" s="242"/>
      <c r="AJY19" s="242"/>
      <c r="AJZ19" s="242"/>
      <c r="AKA19" s="242"/>
      <c r="AKB19" s="242"/>
      <c r="AKC19" s="246"/>
      <c r="AKD19" s="241"/>
      <c r="AKE19" s="242"/>
      <c r="AKF19" s="242"/>
      <c r="AKG19" s="242"/>
      <c r="AKH19" s="242"/>
      <c r="AKI19" s="243"/>
      <c r="AKJ19" s="242"/>
      <c r="AKK19" s="242"/>
      <c r="AKL19" s="242"/>
      <c r="AKM19" s="242"/>
      <c r="AKN19" s="242"/>
      <c r="AKO19" s="244"/>
      <c r="AKP19" s="242"/>
      <c r="AKQ19" s="242"/>
      <c r="AKR19" s="242"/>
      <c r="AKS19" s="242"/>
      <c r="AKT19" s="242"/>
      <c r="AKU19" s="245"/>
      <c r="AKV19" s="242"/>
      <c r="AKW19" s="242"/>
      <c r="AKX19" s="242"/>
      <c r="AKY19" s="242"/>
      <c r="AKZ19" s="242"/>
      <c r="ALA19" s="244"/>
      <c r="ALB19" s="242"/>
      <c r="ALC19" s="242"/>
      <c r="ALD19" s="242"/>
      <c r="ALE19" s="242"/>
      <c r="ALF19" s="242"/>
      <c r="ALG19" s="245"/>
      <c r="ALH19" s="242"/>
      <c r="ALI19" s="242"/>
      <c r="ALJ19" s="242"/>
      <c r="ALK19" s="242"/>
      <c r="ALL19" s="242"/>
      <c r="ALM19" s="244"/>
      <c r="ALN19" s="242"/>
      <c r="ALO19" s="242"/>
      <c r="ALP19" s="242"/>
      <c r="ALQ19" s="242"/>
      <c r="ALR19" s="242"/>
      <c r="ALS19" s="245"/>
      <c r="ALT19" s="242"/>
      <c r="ALU19" s="242"/>
      <c r="ALV19" s="242"/>
      <c r="ALW19" s="242"/>
      <c r="ALX19" s="153"/>
      <c r="ALY19" s="154"/>
      <c r="ALZ19" s="242"/>
      <c r="AMA19" s="242"/>
      <c r="AMB19" s="242"/>
      <c r="AMC19" s="242"/>
      <c r="AMD19" s="242"/>
      <c r="AME19" s="245"/>
      <c r="AMF19" s="242"/>
      <c r="AMG19" s="242"/>
      <c r="AMH19" s="242"/>
      <c r="AMI19" s="242"/>
      <c r="AMJ19" s="242"/>
      <c r="AMK19" s="246"/>
      <c r="AML19" s="241"/>
      <c r="AMM19" s="242"/>
      <c r="AMN19" s="242"/>
      <c r="AMO19" s="242"/>
      <c r="AMP19" s="242"/>
      <c r="AMQ19" s="243"/>
      <c r="AMR19" s="242"/>
      <c r="AMS19" s="242"/>
      <c r="AMT19" s="242"/>
      <c r="AMU19" s="242"/>
      <c r="AMV19" s="242"/>
      <c r="AMW19" s="244"/>
      <c r="AMX19" s="242"/>
      <c r="AMY19" s="242"/>
      <c r="AMZ19" s="242"/>
      <c r="ANA19" s="242"/>
      <c r="ANB19" s="242"/>
      <c r="ANC19" s="245"/>
      <c r="AND19" s="242"/>
      <c r="ANE19" s="242"/>
      <c r="ANF19" s="242"/>
      <c r="ANG19" s="242"/>
      <c r="ANH19" s="242"/>
      <c r="ANI19" s="244"/>
      <c r="ANJ19" s="242"/>
      <c r="ANK19" s="242"/>
      <c r="ANL19" s="153"/>
      <c r="ANM19" s="153"/>
      <c r="ANN19" s="242"/>
      <c r="ANO19" s="245"/>
      <c r="ANP19" s="242"/>
      <c r="ANQ19" s="242"/>
      <c r="ANR19" s="242"/>
      <c r="ANS19" s="242"/>
      <c r="ANT19" s="242"/>
      <c r="ANU19" s="244"/>
      <c r="ANV19" s="242"/>
      <c r="ANW19" s="242"/>
      <c r="ANX19" s="242"/>
      <c r="ANY19" s="242"/>
      <c r="ANZ19" s="242"/>
      <c r="AOA19" s="245"/>
      <c r="AOB19" s="242"/>
      <c r="AOC19" s="242"/>
      <c r="AOD19" s="242"/>
      <c r="AOE19" s="242"/>
      <c r="AOF19" s="242"/>
      <c r="AOG19" s="244"/>
      <c r="AOH19" s="242"/>
      <c r="AOI19" s="242"/>
      <c r="AOJ19" s="242"/>
      <c r="AOK19" s="242"/>
      <c r="AOL19" s="242"/>
      <c r="AOM19" s="245"/>
      <c r="AON19" s="242"/>
      <c r="AOO19" s="242"/>
      <c r="AOP19" s="242"/>
      <c r="AOQ19" s="242"/>
      <c r="AOR19" s="242"/>
      <c r="AOS19" s="246"/>
      <c r="AOT19" s="241"/>
      <c r="AOU19" s="242"/>
      <c r="AOV19" s="242"/>
      <c r="AOW19" s="242"/>
      <c r="AOX19" s="242"/>
      <c r="AOY19" s="243"/>
      <c r="AOZ19" s="242"/>
      <c r="APA19" s="242"/>
      <c r="APB19" s="242"/>
      <c r="APC19" s="242"/>
      <c r="APD19" s="242"/>
      <c r="APE19" s="244"/>
      <c r="APF19" s="242"/>
      <c r="APG19" s="242"/>
      <c r="APH19" s="242"/>
      <c r="API19" s="242"/>
      <c r="APJ19" s="242"/>
      <c r="APK19" s="245"/>
      <c r="APL19" s="242"/>
      <c r="APM19" s="242"/>
      <c r="APN19" s="242"/>
      <c r="APO19" s="242"/>
      <c r="APP19" s="242"/>
      <c r="APQ19" s="244"/>
      <c r="APR19" s="242"/>
      <c r="APS19" s="242"/>
      <c r="APT19" s="242"/>
      <c r="APU19" s="242"/>
      <c r="APV19" s="242"/>
      <c r="APW19" s="245"/>
      <c r="APX19" s="242"/>
      <c r="APY19" s="242"/>
      <c r="APZ19" s="242"/>
      <c r="AQA19" s="242"/>
      <c r="AQB19" s="242"/>
      <c r="AQC19" s="244"/>
      <c r="AQD19" s="242"/>
      <c r="AQE19" s="242"/>
      <c r="AQF19" s="242"/>
      <c r="AQG19" s="242"/>
      <c r="AQH19" s="242"/>
      <c r="AQI19" s="245"/>
      <c r="AQJ19" s="242"/>
      <c r="AQK19" s="242"/>
      <c r="AQL19" s="242"/>
      <c r="AQM19" s="242"/>
      <c r="AQN19" s="153"/>
      <c r="AQO19" s="154"/>
      <c r="AQP19" s="242"/>
      <c r="AQQ19" s="242"/>
      <c r="AQR19" s="242"/>
      <c r="AQS19" s="242"/>
      <c r="AQT19" s="242"/>
      <c r="AQU19" s="245"/>
      <c r="AQV19" s="242"/>
      <c r="AQW19" s="242"/>
      <c r="AQX19" s="242"/>
      <c r="AQY19" s="242"/>
      <c r="AQZ19" s="242"/>
      <c r="ARA19" s="246"/>
      <c r="ARB19" s="241"/>
      <c r="ARC19" s="242"/>
      <c r="ARD19" s="242"/>
      <c r="ARE19" s="242"/>
      <c r="ARF19" s="242"/>
      <c r="ARG19" s="243"/>
      <c r="ARH19" s="242"/>
      <c r="ARI19" s="242"/>
      <c r="ARJ19" s="242"/>
      <c r="ARK19" s="242"/>
      <c r="ARL19" s="242"/>
      <c r="ARM19" s="244"/>
      <c r="ARN19" s="242"/>
      <c r="ARO19" s="242"/>
      <c r="ARP19" s="242"/>
      <c r="ARQ19" s="242"/>
      <c r="ARR19" s="242"/>
      <c r="ARS19" s="245"/>
      <c r="ART19" s="242"/>
      <c r="ARU19" s="242"/>
      <c r="ARV19" s="242"/>
      <c r="ARW19" s="242"/>
      <c r="ARX19" s="242"/>
      <c r="ARY19" s="244"/>
      <c r="ARZ19" s="242"/>
      <c r="ASA19" s="242"/>
      <c r="ASB19" s="153"/>
      <c r="ASC19" s="153"/>
      <c r="ASD19" s="242"/>
      <c r="ASE19" s="245"/>
      <c r="ASF19" s="242"/>
      <c r="ASG19" s="242"/>
      <c r="ASH19" s="242"/>
      <c r="ASI19" s="242"/>
      <c r="ASJ19" s="242"/>
      <c r="ASK19" s="244"/>
      <c r="ASL19" s="242"/>
      <c r="ASM19" s="242"/>
      <c r="ASN19" s="242"/>
      <c r="ASO19" s="242"/>
      <c r="ASP19" s="242"/>
      <c r="ASQ19" s="245"/>
      <c r="ASR19" s="242"/>
      <c r="ASS19" s="242"/>
      <c r="AST19" s="242"/>
      <c r="ASU19" s="242"/>
      <c r="ASV19" s="242"/>
      <c r="ASW19" s="244"/>
      <c r="ASX19" s="242"/>
      <c r="ASY19" s="242"/>
      <c r="ASZ19" s="242"/>
      <c r="ATA19" s="242"/>
      <c r="ATB19" s="242"/>
      <c r="ATC19" s="245"/>
      <c r="ATD19" s="242"/>
      <c r="ATE19" s="242"/>
      <c r="ATF19" s="242"/>
      <c r="ATG19" s="242"/>
      <c r="ATH19" s="242"/>
      <c r="ATI19" s="246"/>
      <c r="ATJ19" s="241"/>
      <c r="ATK19" s="242"/>
      <c r="ATL19" s="242"/>
      <c r="ATM19" s="242"/>
      <c r="ATN19" s="242"/>
      <c r="ATO19" s="243"/>
      <c r="ATP19" s="242"/>
      <c r="ATQ19" s="242"/>
      <c r="ATR19" s="242"/>
      <c r="ATS19" s="242"/>
      <c r="ATT19" s="242"/>
      <c r="ATU19" s="244"/>
      <c r="ATV19" s="242"/>
      <c r="ATW19" s="242"/>
      <c r="ATX19" s="242"/>
      <c r="ATY19" s="242"/>
      <c r="ATZ19" s="242"/>
      <c r="AUA19" s="245"/>
      <c r="AUB19" s="242"/>
      <c r="AUC19" s="242"/>
      <c r="AUD19" s="242"/>
      <c r="AUE19" s="242"/>
      <c r="AUF19" s="242"/>
      <c r="AUG19" s="244"/>
      <c r="AUH19" s="242"/>
      <c r="AUI19" s="242"/>
      <c r="AUJ19" s="153"/>
      <c r="AUK19" s="153"/>
      <c r="AUL19" s="242"/>
      <c r="AUM19" s="245"/>
      <c r="AUN19" s="242"/>
      <c r="AUO19" s="242"/>
      <c r="AUP19" s="242"/>
      <c r="AUQ19" s="242"/>
      <c r="AUR19" s="242"/>
      <c r="AUS19" s="244"/>
      <c r="AUT19" s="242"/>
      <c r="AUU19" s="242"/>
      <c r="AUV19" s="242"/>
      <c r="AUW19" s="242"/>
      <c r="AUX19" s="242"/>
      <c r="AUY19" s="245"/>
      <c r="AUZ19" s="242"/>
      <c r="AVA19" s="242"/>
      <c r="AVB19" s="242"/>
      <c r="AVC19" s="242"/>
      <c r="AVD19" s="242"/>
      <c r="AVE19" s="244"/>
      <c r="AVF19" s="242"/>
      <c r="AVG19" s="242"/>
      <c r="AVH19" s="242"/>
      <c r="AVI19" s="242"/>
      <c r="AVJ19" s="242"/>
      <c r="AVK19" s="245"/>
      <c r="AVL19" s="242"/>
      <c r="AVM19" s="242"/>
      <c r="AVN19" s="242"/>
      <c r="AVO19" s="242"/>
      <c r="AVP19" s="242"/>
      <c r="AVQ19" s="246"/>
      <c r="AVR19" s="241"/>
      <c r="AVS19" s="242"/>
      <c r="AVT19" s="242"/>
      <c r="AVU19" s="242"/>
      <c r="AVV19" s="242"/>
      <c r="AVW19" s="243"/>
      <c r="AVX19" s="242"/>
      <c r="AVY19" s="242"/>
      <c r="AVZ19" s="242"/>
      <c r="AWA19" s="242"/>
      <c r="AWB19" s="242"/>
      <c r="AWC19" s="244"/>
      <c r="AWD19" s="242"/>
      <c r="AWE19" s="242"/>
      <c r="AWF19" s="242"/>
      <c r="AWG19" s="242"/>
      <c r="AWH19" s="242"/>
      <c r="AWI19" s="245"/>
      <c r="AWJ19" s="242"/>
      <c r="AWK19" s="242"/>
      <c r="AWL19" s="242"/>
      <c r="AWM19" s="242"/>
      <c r="AWN19" s="242"/>
      <c r="AWO19" s="244"/>
      <c r="AWP19" s="242"/>
      <c r="AWQ19" s="242"/>
      <c r="AWR19" s="242"/>
      <c r="AWS19" s="242"/>
      <c r="AWT19" s="242"/>
      <c r="AWU19" s="245"/>
      <c r="AWV19" s="242"/>
      <c r="AWW19" s="242"/>
      <c r="AWX19" s="242"/>
      <c r="AWY19" s="242"/>
      <c r="AWZ19" s="242"/>
      <c r="AXA19" s="244"/>
      <c r="AXB19" s="242"/>
      <c r="AXC19" s="242"/>
      <c r="AXD19" s="242"/>
      <c r="AXE19" s="242"/>
      <c r="AXF19" s="242"/>
      <c r="AXG19" s="245"/>
      <c r="AXH19" s="242"/>
      <c r="AXI19" s="242"/>
      <c r="AXJ19" s="242"/>
      <c r="AXK19" s="242"/>
      <c r="AXL19" s="153"/>
      <c r="AXM19" s="154"/>
      <c r="AXN19" s="242"/>
      <c r="AXO19" s="242"/>
      <c r="AXP19" s="242"/>
      <c r="AXQ19" s="242"/>
      <c r="AXR19" s="242"/>
      <c r="AXS19" s="245"/>
      <c r="AXT19" s="242"/>
      <c r="AXU19" s="242"/>
      <c r="AXV19" s="242"/>
      <c r="AXW19" s="242"/>
      <c r="AXX19" s="242"/>
      <c r="AXY19" s="246"/>
      <c r="AXZ19" s="241"/>
      <c r="AYA19" s="242"/>
      <c r="AYB19" s="242"/>
      <c r="AYC19" s="242"/>
      <c r="AYD19" s="242"/>
      <c r="AYE19" s="243"/>
      <c r="AYF19" s="242"/>
      <c r="AYG19" s="242"/>
      <c r="AYH19" s="242"/>
      <c r="AYI19" s="242"/>
      <c r="AYJ19" s="242"/>
      <c r="AYK19" s="244"/>
      <c r="AYL19" s="242"/>
      <c r="AYM19" s="242"/>
      <c r="AYN19" s="242"/>
      <c r="AYO19" s="242"/>
      <c r="AYP19" s="242"/>
      <c r="AYQ19" s="245"/>
      <c r="AYR19" s="242"/>
      <c r="AYS19" s="242"/>
      <c r="AYT19" s="242"/>
      <c r="AYU19" s="242"/>
      <c r="AYV19" s="242"/>
      <c r="AYW19" s="244"/>
      <c r="AYX19" s="242"/>
      <c r="AYY19" s="242"/>
      <c r="AYZ19" s="242"/>
      <c r="AZA19" s="242"/>
      <c r="AZB19" s="242"/>
      <c r="AZC19" s="245"/>
      <c r="AZD19" s="242"/>
      <c r="AZE19" s="242"/>
      <c r="AZF19" s="242"/>
      <c r="AZG19" s="242"/>
      <c r="AZH19" s="242"/>
      <c r="AZI19" s="244"/>
      <c r="AZJ19" s="153"/>
      <c r="AZK19" s="153"/>
      <c r="AZL19" s="242"/>
      <c r="AZM19" s="242"/>
      <c r="AZN19" s="242"/>
      <c r="AZO19" s="245"/>
      <c r="AZP19" s="242"/>
      <c r="AZQ19" s="242"/>
      <c r="AZR19" s="242"/>
      <c r="AZS19" s="242"/>
      <c r="AZT19" s="242"/>
      <c r="AZU19" s="244"/>
      <c r="AZV19" s="242"/>
      <c r="AZW19" s="242"/>
      <c r="AZX19" s="242"/>
      <c r="AZY19" s="242"/>
      <c r="AZZ19" s="242"/>
      <c r="BAA19" s="245"/>
      <c r="BAB19" s="242"/>
      <c r="BAC19" s="242"/>
      <c r="BAD19" s="242"/>
      <c r="BAE19" s="242"/>
      <c r="BAF19" s="242"/>
      <c r="BAG19" s="246"/>
      <c r="BAH19" s="241"/>
      <c r="BAI19" s="242"/>
      <c r="BAJ19" s="242"/>
      <c r="BAK19" s="242"/>
      <c r="BAL19" s="242"/>
      <c r="BAM19" s="243"/>
      <c r="BAN19" s="242"/>
      <c r="BAO19" s="242"/>
      <c r="BAP19" s="242"/>
      <c r="BAQ19" s="242"/>
      <c r="BAR19" s="242"/>
      <c r="BAS19" s="244"/>
      <c r="BAT19" s="242"/>
      <c r="BAU19" s="242"/>
      <c r="BAV19" s="242"/>
      <c r="BAW19" s="242"/>
      <c r="BAX19" s="242"/>
      <c r="BAY19" s="245"/>
      <c r="BAZ19" s="242"/>
      <c r="BBA19" s="242"/>
      <c r="BBB19" s="242"/>
      <c r="BBC19" s="242"/>
      <c r="BBD19" s="242"/>
      <c r="BBE19" s="244"/>
      <c r="BBF19" s="242"/>
      <c r="BBG19" s="242"/>
      <c r="BBH19" s="242"/>
      <c r="BBI19" s="242"/>
      <c r="BBJ19" s="242"/>
      <c r="BBK19" s="245"/>
      <c r="BBL19" s="242"/>
      <c r="BBM19" s="242"/>
      <c r="BBN19" s="242"/>
      <c r="BBO19" s="242"/>
      <c r="BBP19" s="242"/>
      <c r="BBQ19" s="244"/>
      <c r="BBR19" s="242"/>
      <c r="BBS19" s="242"/>
      <c r="BBT19" s="242"/>
      <c r="BBU19" s="242"/>
      <c r="BBV19" s="242"/>
      <c r="BBW19" s="245"/>
      <c r="BBX19" s="242"/>
      <c r="BBY19" s="242"/>
      <c r="BBZ19" s="242"/>
      <c r="BCA19" s="242"/>
      <c r="BCB19" s="153"/>
      <c r="BCC19" s="154"/>
      <c r="BCD19" s="242"/>
      <c r="BCE19" s="242"/>
      <c r="BCF19" s="242"/>
      <c r="BCG19" s="242"/>
      <c r="BCH19" s="242"/>
      <c r="BCI19" s="245"/>
      <c r="BCJ19" s="242"/>
      <c r="BCK19" s="242"/>
      <c r="BCL19" s="242"/>
      <c r="BCM19" s="242"/>
      <c r="BCN19" s="242"/>
      <c r="BCO19" s="246"/>
      <c r="BCP19" s="241"/>
      <c r="BCQ19" s="242"/>
      <c r="BCR19" s="242"/>
      <c r="BCS19" s="242"/>
      <c r="BCT19" s="242"/>
      <c r="BCU19" s="243"/>
      <c r="BCV19" s="242"/>
      <c r="BCW19" s="242"/>
      <c r="BCX19" s="242"/>
      <c r="BCY19" s="242"/>
      <c r="BCZ19" s="242"/>
      <c r="BDA19" s="244"/>
      <c r="BDB19" s="242"/>
      <c r="BDC19" s="242"/>
      <c r="BDD19" s="242"/>
      <c r="BDE19" s="242"/>
      <c r="BDF19" s="242"/>
      <c r="BDG19" s="245"/>
      <c r="BDH19" s="242"/>
      <c r="BDI19" s="242"/>
      <c r="BDJ19" s="242"/>
      <c r="BDK19" s="242"/>
      <c r="BDL19" s="242"/>
      <c r="BDM19" s="244"/>
      <c r="BDN19" s="242"/>
      <c r="BDO19" s="242"/>
      <c r="BDP19" s="242"/>
      <c r="BDQ19" s="242"/>
      <c r="BDR19" s="242"/>
      <c r="BDS19" s="245"/>
      <c r="BDT19" s="242"/>
      <c r="BDU19" s="242"/>
      <c r="BDV19" s="242"/>
      <c r="BDW19" s="242"/>
      <c r="BDX19" s="242"/>
      <c r="BDY19" s="244"/>
      <c r="BDZ19" s="153"/>
      <c r="BEA19" s="153"/>
      <c r="BEB19" s="242"/>
      <c r="BEC19" s="242"/>
      <c r="BED19" s="242"/>
      <c r="BEE19" s="245"/>
      <c r="BEF19" s="242"/>
      <c r="BEG19" s="242"/>
      <c r="BEH19" s="242"/>
      <c r="BEI19" s="242"/>
      <c r="BEJ19" s="242"/>
      <c r="BEK19" s="244"/>
      <c r="BEL19" s="242"/>
      <c r="BEM19" s="242"/>
      <c r="BEN19" s="242"/>
      <c r="BEO19" s="242"/>
      <c r="BEP19" s="242"/>
      <c r="BEQ19" s="245"/>
      <c r="BER19" s="242"/>
      <c r="BES19" s="242"/>
      <c r="BET19" s="242"/>
      <c r="BEU19" s="242"/>
      <c r="BEV19" s="242"/>
      <c r="BEW19" s="246"/>
      <c r="BEX19" s="241"/>
      <c r="BEY19" s="242"/>
      <c r="BEZ19" s="242"/>
      <c r="BFA19" s="242"/>
      <c r="BFB19" s="242"/>
      <c r="BFC19" s="243"/>
      <c r="BFD19" s="242"/>
      <c r="BFE19" s="242"/>
      <c r="BFF19" s="242"/>
      <c r="BFG19" s="242"/>
      <c r="BFH19" s="242"/>
      <c r="BFI19" s="244"/>
      <c r="BFJ19" s="242"/>
      <c r="BFK19" s="242"/>
      <c r="BFL19" s="242"/>
      <c r="BFM19" s="242"/>
      <c r="BFN19" s="242"/>
      <c r="BFO19" s="245"/>
      <c r="BFP19" s="242"/>
      <c r="BFQ19" s="242"/>
      <c r="BFR19" s="242"/>
      <c r="BFS19" s="242"/>
      <c r="BFT19" s="242"/>
      <c r="BFU19" s="244"/>
      <c r="BFV19" s="242"/>
      <c r="BFW19" s="242"/>
      <c r="BFX19" s="242"/>
      <c r="BFY19" s="242"/>
      <c r="BFZ19" s="242"/>
      <c r="BGA19" s="245"/>
      <c r="BGB19" s="242"/>
      <c r="BGC19" s="242"/>
      <c r="BGD19" s="242"/>
      <c r="BGE19" s="242"/>
      <c r="BGF19" s="242"/>
      <c r="BGG19" s="244"/>
      <c r="BGH19" s="242"/>
      <c r="BGI19" s="242"/>
      <c r="BGJ19" s="242"/>
      <c r="BGK19" s="242"/>
      <c r="BGL19" s="242"/>
      <c r="BGM19" s="245"/>
      <c r="BGN19" s="242"/>
      <c r="BGO19" s="242"/>
      <c r="BGP19" s="242"/>
      <c r="BGQ19" s="242"/>
      <c r="BGR19" s="153"/>
      <c r="BGS19" s="154"/>
      <c r="BGT19" s="242"/>
      <c r="BGU19" s="242"/>
      <c r="BGV19" s="242"/>
      <c r="BGW19" s="242"/>
      <c r="BGX19" s="242"/>
      <c r="BGY19" s="245"/>
      <c r="BGZ19" s="242"/>
      <c r="BHA19" s="242"/>
      <c r="BHB19" s="242"/>
      <c r="BHC19" s="242"/>
      <c r="BHD19" s="242"/>
      <c r="BHE19" s="246"/>
      <c r="BHF19" s="241"/>
      <c r="BHG19" s="242"/>
      <c r="BHH19" s="242"/>
      <c r="BHI19" s="242"/>
      <c r="BHJ19" s="242"/>
      <c r="BHK19" s="243"/>
      <c r="BHL19" s="242"/>
      <c r="BHM19" s="242"/>
      <c r="BHN19" s="242"/>
      <c r="BHO19" s="242"/>
      <c r="BHP19" s="242"/>
      <c r="BHQ19" s="244"/>
      <c r="BHR19" s="242"/>
      <c r="BHS19" s="242"/>
      <c r="BHT19" s="242"/>
      <c r="BHU19" s="242"/>
      <c r="BHV19" s="242"/>
      <c r="BHW19" s="245"/>
      <c r="BHX19" s="242"/>
      <c r="BHY19" s="242"/>
      <c r="BHZ19" s="242"/>
      <c r="BIA19" s="242"/>
      <c r="BIB19" s="242"/>
      <c r="BIC19" s="244"/>
      <c r="BID19" s="242"/>
      <c r="BIE19" s="242"/>
      <c r="BIF19" s="153"/>
      <c r="BIG19" s="153"/>
      <c r="BIH19" s="242"/>
      <c r="BII19" s="245"/>
      <c r="BIJ19" s="242"/>
      <c r="BIK19" s="242"/>
      <c r="BIL19" s="242"/>
      <c r="BIM19" s="242"/>
      <c r="BIN19" s="242"/>
      <c r="BIO19" s="244"/>
      <c r="BIP19" s="242"/>
      <c r="BIQ19" s="242"/>
      <c r="BIR19" s="242"/>
      <c r="BIS19" s="242"/>
      <c r="BIT19" s="242"/>
      <c r="BIU19" s="245"/>
      <c r="BIV19" s="242"/>
      <c r="BIW19" s="242"/>
      <c r="BIX19" s="242"/>
      <c r="BIY19" s="242"/>
      <c r="BIZ19" s="242"/>
      <c r="BJA19" s="244"/>
      <c r="BJB19" s="242"/>
      <c r="BJC19" s="242"/>
      <c r="BJD19" s="242"/>
      <c r="BJE19" s="242"/>
      <c r="BJF19" s="242"/>
      <c r="BJG19" s="245"/>
      <c r="BJH19" s="242"/>
      <c r="BJI19" s="242"/>
      <c r="BJJ19" s="242"/>
      <c r="BJK19" s="242"/>
      <c r="BJL19" s="242"/>
      <c r="BJM19" s="246"/>
      <c r="BJN19" s="233"/>
      <c r="BJO19" s="234"/>
      <c r="BJP19" s="234"/>
      <c r="BJQ19" s="234"/>
      <c r="BJR19" s="234"/>
      <c r="BJS19" s="234"/>
      <c r="BJT19" s="234"/>
      <c r="BJU19" s="234"/>
      <c r="BJV19" s="234"/>
      <c r="BJW19" s="234"/>
      <c r="BJX19" s="234"/>
      <c r="BJY19" s="234"/>
      <c r="BJZ19" s="234"/>
      <c r="BKA19" s="234"/>
      <c r="BKB19" s="234"/>
      <c r="BKC19" s="234"/>
      <c r="BKD19" s="234"/>
      <c r="BKE19" s="234"/>
      <c r="BKF19" s="234"/>
      <c r="BKG19" s="234"/>
      <c r="BKH19" s="234"/>
      <c r="BKI19" s="234"/>
      <c r="BKJ19" s="234"/>
      <c r="BKK19" s="234"/>
      <c r="BKL19" s="234"/>
      <c r="BKM19" s="234"/>
      <c r="BKN19" s="234"/>
    </row>
    <row r="20" spans="1:1653" ht="20.100000000000001" customHeight="1" x14ac:dyDescent="0.25">
      <c r="A20" s="84" t="s">
        <v>20</v>
      </c>
      <c r="B20" s="53" t="str">
        <f>IF(LEN(C25)=0,"",C25)</f>
        <v>Analyse - Maquette du site web</v>
      </c>
      <c r="C20" s="178"/>
      <c r="D20" s="130" t="str">
        <f t="shared" si="0"/>
        <v>5h20min</v>
      </c>
      <c r="E20" s="22">
        <v>64</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161"/>
      <c r="BA20" s="163"/>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161"/>
      <c r="CO20" s="161"/>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161"/>
      <c r="FQ20" s="163"/>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161"/>
      <c r="HE20" s="161"/>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161"/>
      <c r="JK20" s="161"/>
      <c r="JL20" s="161"/>
      <c r="JM20" s="161"/>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161"/>
      <c r="MO20" s="163"/>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161"/>
      <c r="OM20" s="161"/>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161"/>
      <c r="RC20" s="161"/>
      <c r="RD20" s="161"/>
      <c r="RE20" s="163"/>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161"/>
      <c r="TA20" s="163"/>
      <c r="TB20" s="161"/>
      <c r="TC20" s="161"/>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161"/>
      <c r="VU20" s="163"/>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161"/>
      <c r="XI20" s="161"/>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161"/>
      <c r="ZQ20" s="161"/>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161"/>
      <c r="ACS20" s="163"/>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161"/>
      <c r="AEQ20" s="161"/>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161"/>
      <c r="AHI20" s="163"/>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161"/>
      <c r="AJE20" s="163"/>
      <c r="AJF20" s="161"/>
      <c r="AJG20" s="161"/>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161"/>
      <c r="ALY20" s="163"/>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161"/>
      <c r="ANM20" s="161"/>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161"/>
      <c r="AQO20" s="163"/>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161"/>
      <c r="ASC20" s="161"/>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161"/>
      <c r="AUK20" s="161"/>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161"/>
      <c r="AXM20" s="163"/>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161"/>
      <c r="AZK20" s="161"/>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161"/>
      <c r="BCC20" s="163"/>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161"/>
      <c r="BEA20" s="161"/>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161"/>
      <c r="BGG20" s="163"/>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161"/>
      <c r="BJA20" s="163"/>
      <c r="BJB20" s="161"/>
      <c r="BJC20" s="24"/>
      <c r="BJD20" s="24"/>
      <c r="BJE20" s="24"/>
      <c r="BJF20" s="24"/>
      <c r="BJG20" s="60"/>
      <c r="BJH20" s="24"/>
      <c r="BJI20" s="24"/>
      <c r="BJJ20" s="24"/>
      <c r="BJK20" s="24"/>
      <c r="BJL20" s="24"/>
      <c r="BJM20" s="25"/>
      <c r="BJN20" s="174"/>
      <c r="BJO20" s="4"/>
      <c r="BJP20" s="4"/>
      <c r="BJQ20" s="4"/>
      <c r="BJR20" s="4"/>
      <c r="BJS20" s="4"/>
      <c r="BJT20" s="4"/>
      <c r="BJU20" s="4"/>
      <c r="BJV20" s="4"/>
      <c r="BJW20" s="4"/>
      <c r="BJX20" s="4"/>
      <c r="BJY20" s="4"/>
      <c r="BJZ20" s="4"/>
      <c r="BKA20" s="4"/>
      <c r="BKB20" s="4"/>
      <c r="BKC20" s="4"/>
      <c r="BKD20" s="4"/>
      <c r="BKE20" s="4"/>
      <c r="BKF20" s="4"/>
      <c r="BKG20" s="4"/>
      <c r="BKH20" s="4"/>
      <c r="BKI20" s="4"/>
      <c r="BKJ20" s="4"/>
      <c r="BKK20" s="4"/>
      <c r="BKL20" s="4"/>
      <c r="BKM20" s="4"/>
      <c r="BKN20" s="173"/>
      <c r="BKO20" s="173"/>
    </row>
    <row r="21" spans="1:1653" ht="20.100000000000001" customHeight="1" x14ac:dyDescent="0.25">
      <c r="A21" s="84" t="s">
        <v>19</v>
      </c>
      <c r="B21" s="53" t="str">
        <f>IF(LEN(C27)=0,"",C27)</f>
        <v>Analyse - Schéma de la base de donnée</v>
      </c>
      <c r="C21" s="177" t="s">
        <v>15</v>
      </c>
      <c r="D21" s="129" t="str">
        <f t="shared" si="0"/>
        <v>28h20min</v>
      </c>
      <c r="E21" s="26">
        <v>340</v>
      </c>
      <c r="F21" s="235"/>
      <c r="G21" s="236"/>
      <c r="H21" s="236"/>
      <c r="I21" s="236"/>
      <c r="J21" s="236"/>
      <c r="K21" s="237"/>
      <c r="L21" s="236"/>
      <c r="M21" s="236"/>
      <c r="N21" s="236"/>
      <c r="O21" s="236"/>
      <c r="P21" s="236"/>
      <c r="Q21" s="238"/>
      <c r="R21" s="236"/>
      <c r="S21" s="236"/>
      <c r="T21" s="236"/>
      <c r="U21" s="236"/>
      <c r="V21" s="236"/>
      <c r="W21" s="239"/>
      <c r="X21" s="236"/>
      <c r="Y21" s="236"/>
      <c r="Z21" s="236"/>
      <c r="AA21" s="236"/>
      <c r="AB21" s="236"/>
      <c r="AC21" s="238"/>
      <c r="AD21" s="236"/>
      <c r="AE21" s="236"/>
      <c r="AF21" s="236"/>
      <c r="AG21" s="236"/>
      <c r="AH21" s="236"/>
      <c r="AI21" s="239"/>
      <c r="AJ21" s="236"/>
      <c r="AK21" s="236"/>
      <c r="AL21" s="236"/>
      <c r="AM21" s="236"/>
      <c r="AN21" s="236"/>
      <c r="AO21" s="238"/>
      <c r="AP21" s="236"/>
      <c r="AQ21" s="236"/>
      <c r="AR21" s="236"/>
      <c r="AS21" s="236"/>
      <c r="AT21" s="236"/>
      <c r="AU21" s="239"/>
      <c r="AV21" s="236"/>
      <c r="AW21" s="236"/>
      <c r="AX21" s="236"/>
      <c r="AY21" s="236"/>
      <c r="AZ21" s="236"/>
      <c r="BA21" s="238"/>
      <c r="BB21" s="236"/>
      <c r="BC21" s="236"/>
      <c r="BD21" s="236"/>
      <c r="BE21" s="236"/>
      <c r="BF21" s="236"/>
      <c r="BG21" s="239"/>
      <c r="BH21" s="236"/>
      <c r="BI21" s="236"/>
      <c r="BJ21" s="236"/>
      <c r="BK21" s="236"/>
      <c r="BL21" s="236"/>
      <c r="BM21" s="240"/>
      <c r="BN21" s="235"/>
      <c r="BO21" s="236"/>
      <c r="BP21" s="236"/>
      <c r="BQ21" s="236"/>
      <c r="BR21" s="236"/>
      <c r="BS21" s="237"/>
      <c r="BT21" s="236"/>
      <c r="BU21" s="236"/>
      <c r="BV21" s="236"/>
      <c r="BW21" s="236"/>
      <c r="BX21" s="236"/>
      <c r="BY21" s="238"/>
      <c r="BZ21" s="236"/>
      <c r="CA21" s="236"/>
      <c r="CB21" s="236"/>
      <c r="CC21" s="236"/>
      <c r="CD21" s="236"/>
      <c r="CE21" s="239"/>
      <c r="CF21" s="236"/>
      <c r="CG21" s="236"/>
      <c r="CH21" s="236"/>
      <c r="CI21" s="236"/>
      <c r="CJ21" s="236"/>
      <c r="CK21" s="238"/>
      <c r="CL21" s="236"/>
      <c r="CM21" s="236"/>
      <c r="CN21" s="236"/>
      <c r="CO21" s="236"/>
      <c r="CP21" s="236"/>
      <c r="CQ21" s="239"/>
      <c r="CR21" s="236"/>
      <c r="CS21" s="236"/>
      <c r="CT21" s="236"/>
      <c r="CU21" s="236"/>
      <c r="CV21" s="236"/>
      <c r="CW21" s="238"/>
      <c r="CX21" s="236"/>
      <c r="CY21" s="236"/>
      <c r="CZ21" s="236"/>
      <c r="DA21" s="236"/>
      <c r="DB21" s="236"/>
      <c r="DC21" s="239"/>
      <c r="DD21" s="236"/>
      <c r="DE21" s="236"/>
      <c r="DF21" s="236"/>
      <c r="DG21" s="236"/>
      <c r="DH21" s="236"/>
      <c r="DI21" s="238"/>
      <c r="DJ21" s="236"/>
      <c r="DK21" s="236"/>
      <c r="DL21" s="236"/>
      <c r="DM21" s="236"/>
      <c r="DN21" s="236"/>
      <c r="DO21" s="239"/>
      <c r="DP21" s="236"/>
      <c r="DQ21" s="236"/>
      <c r="DR21" s="236"/>
      <c r="DS21" s="236"/>
      <c r="DT21" s="236"/>
      <c r="DU21" s="240"/>
      <c r="DV21" s="235"/>
      <c r="DW21" s="236"/>
      <c r="DX21" s="236"/>
      <c r="DY21" s="236"/>
      <c r="DZ21" s="236"/>
      <c r="EA21" s="237"/>
      <c r="EB21" s="236"/>
      <c r="EC21" s="236"/>
      <c r="ED21" s="236"/>
      <c r="EE21" s="236"/>
      <c r="EF21" s="236"/>
      <c r="EG21" s="238"/>
      <c r="EH21" s="236"/>
      <c r="EI21" s="236"/>
      <c r="EJ21" s="236"/>
      <c r="EK21" s="236"/>
      <c r="EL21" s="236"/>
      <c r="EM21" s="239"/>
      <c r="EN21" s="236"/>
      <c r="EO21" s="236"/>
      <c r="EP21" s="236"/>
      <c r="EQ21" s="236"/>
      <c r="ER21" s="236"/>
      <c r="ES21" s="238"/>
      <c r="ET21" s="236"/>
      <c r="EU21" s="236"/>
      <c r="EV21" s="236"/>
      <c r="EW21" s="236"/>
      <c r="EX21" s="236"/>
      <c r="EY21" s="239"/>
      <c r="EZ21" s="236"/>
      <c r="FA21" s="236"/>
      <c r="FB21" s="236"/>
      <c r="FC21" s="236"/>
      <c r="FD21" s="236"/>
      <c r="FE21" s="238"/>
      <c r="FF21" s="236"/>
      <c r="FG21" s="236"/>
      <c r="FH21" s="236"/>
      <c r="FI21" s="236"/>
      <c r="FJ21" s="236"/>
      <c r="FK21" s="239"/>
      <c r="FL21" s="236"/>
      <c r="FM21" s="236"/>
      <c r="FN21" s="236"/>
      <c r="FO21" s="236"/>
      <c r="FP21" s="236"/>
      <c r="FQ21" s="238"/>
      <c r="FR21" s="236"/>
      <c r="FS21" s="236"/>
      <c r="FT21" s="236"/>
      <c r="FU21" s="236"/>
      <c r="FV21" s="236"/>
      <c r="FW21" s="239"/>
      <c r="FX21" s="236"/>
      <c r="FY21" s="236"/>
      <c r="FZ21" s="236"/>
      <c r="GA21" s="236"/>
      <c r="GB21" s="236"/>
      <c r="GC21" s="240"/>
      <c r="GD21" s="235"/>
      <c r="GE21" s="236"/>
      <c r="GF21" s="236"/>
      <c r="GG21" s="236"/>
      <c r="GH21" s="236"/>
      <c r="GI21" s="237"/>
      <c r="GJ21" s="236"/>
      <c r="GK21" s="236"/>
      <c r="GL21" s="236"/>
      <c r="GM21" s="236"/>
      <c r="GN21" s="236"/>
      <c r="GO21" s="238"/>
      <c r="GP21" s="236"/>
      <c r="GQ21" s="236"/>
      <c r="GR21" s="236"/>
      <c r="GS21" s="236"/>
      <c r="GT21" s="236"/>
      <c r="GU21" s="239"/>
      <c r="GV21" s="236"/>
      <c r="GW21" s="236"/>
      <c r="GX21" s="236"/>
      <c r="GY21" s="236"/>
      <c r="GZ21" s="236"/>
      <c r="HA21" s="238"/>
      <c r="HB21" s="236"/>
      <c r="HC21" s="236"/>
      <c r="HD21" s="236"/>
      <c r="HE21" s="236"/>
      <c r="HF21" s="236"/>
      <c r="HG21" s="239"/>
      <c r="HH21" s="236"/>
      <c r="HI21" s="236"/>
      <c r="HJ21" s="236"/>
      <c r="HK21" s="236"/>
      <c r="HL21" s="236"/>
      <c r="HM21" s="238"/>
      <c r="HN21" s="236"/>
      <c r="HO21" s="236"/>
      <c r="HP21" s="236"/>
      <c r="HQ21" s="236"/>
      <c r="HR21" s="236"/>
      <c r="HS21" s="239"/>
      <c r="HT21" s="236"/>
      <c r="HU21" s="236"/>
      <c r="HV21" s="236"/>
      <c r="HW21" s="236"/>
      <c r="HX21" s="236"/>
      <c r="HY21" s="238"/>
      <c r="HZ21" s="236"/>
      <c r="IA21" s="236"/>
      <c r="IB21" s="236"/>
      <c r="IC21" s="236"/>
      <c r="ID21" s="236"/>
      <c r="IE21" s="239"/>
      <c r="IF21" s="236"/>
      <c r="IG21" s="236"/>
      <c r="IH21" s="236"/>
      <c r="II21" s="236"/>
      <c r="IJ21" s="236"/>
      <c r="IK21" s="240"/>
      <c r="IL21" s="235"/>
      <c r="IM21" s="236"/>
      <c r="IN21" s="236"/>
      <c r="IO21" s="236"/>
      <c r="IP21" s="236"/>
      <c r="IQ21" s="237"/>
      <c r="IR21" s="236"/>
      <c r="IS21" s="236"/>
      <c r="IT21" s="236"/>
      <c r="IU21" s="236"/>
      <c r="IV21" s="236"/>
      <c r="IW21" s="238"/>
      <c r="IX21" s="236"/>
      <c r="IY21" s="236"/>
      <c r="IZ21" s="236"/>
      <c r="JA21" s="236"/>
      <c r="JB21" s="236"/>
      <c r="JC21" s="239"/>
      <c r="JD21" s="236"/>
      <c r="JE21" s="236"/>
      <c r="JF21" s="236"/>
      <c r="JG21" s="236"/>
      <c r="JH21" s="149"/>
      <c r="JI21" s="151"/>
      <c r="JJ21" s="149"/>
      <c r="JK21" s="149"/>
      <c r="JL21" s="236"/>
      <c r="JM21" s="236"/>
      <c r="JN21" s="236"/>
      <c r="JO21" s="239"/>
      <c r="JP21" s="236"/>
      <c r="JQ21" s="236"/>
      <c r="JR21" s="236"/>
      <c r="JS21" s="236"/>
      <c r="JT21" s="236"/>
      <c r="JU21" s="238"/>
      <c r="JV21" s="236"/>
      <c r="JW21" s="236"/>
      <c r="JX21" s="236"/>
      <c r="JY21" s="236"/>
      <c r="JZ21" s="236"/>
      <c r="KA21" s="239"/>
      <c r="KB21" s="236"/>
      <c r="KC21" s="236"/>
      <c r="KD21" s="236"/>
      <c r="KE21" s="236"/>
      <c r="KF21" s="236"/>
      <c r="KG21" s="238"/>
      <c r="KH21" s="236"/>
      <c r="KI21" s="236"/>
      <c r="KJ21" s="236"/>
      <c r="KK21" s="236"/>
      <c r="KL21" s="236"/>
      <c r="KM21" s="239"/>
      <c r="KN21" s="236"/>
      <c r="KO21" s="236"/>
      <c r="KP21" s="236"/>
      <c r="KQ21" s="236"/>
      <c r="KR21" s="236"/>
      <c r="KS21" s="240"/>
      <c r="KT21" s="235"/>
      <c r="KU21" s="236"/>
      <c r="KV21" s="236"/>
      <c r="KW21" s="236"/>
      <c r="KX21" s="236"/>
      <c r="KY21" s="237"/>
      <c r="KZ21" s="236"/>
      <c r="LA21" s="236"/>
      <c r="LB21" s="236"/>
      <c r="LC21" s="236"/>
      <c r="LD21" s="236"/>
      <c r="LE21" s="238"/>
      <c r="LF21" s="236"/>
      <c r="LG21" s="236"/>
      <c r="LH21" s="236"/>
      <c r="LI21" s="236"/>
      <c r="LJ21" s="236"/>
      <c r="LK21" s="239"/>
      <c r="LL21" s="236"/>
      <c r="LM21" s="236"/>
      <c r="LN21" s="236"/>
      <c r="LO21" s="236"/>
      <c r="LP21" s="236"/>
      <c r="LQ21" s="238"/>
      <c r="LR21" s="236"/>
      <c r="LS21" s="236"/>
      <c r="LT21" s="236"/>
      <c r="LU21" s="236"/>
      <c r="LV21" s="236"/>
      <c r="LW21" s="239"/>
      <c r="LX21" s="236"/>
      <c r="LY21" s="236"/>
      <c r="LZ21" s="236"/>
      <c r="MA21" s="236"/>
      <c r="MB21" s="236"/>
      <c r="MC21" s="238"/>
      <c r="MD21" s="236"/>
      <c r="ME21" s="236"/>
      <c r="MF21" s="236"/>
      <c r="MG21" s="236"/>
      <c r="MH21" s="236"/>
      <c r="MI21" s="239"/>
      <c r="MJ21" s="236"/>
      <c r="MK21" s="236"/>
      <c r="ML21" s="236"/>
      <c r="MM21" s="236"/>
      <c r="MN21" s="236"/>
      <c r="MO21" s="238"/>
      <c r="MP21" s="236"/>
      <c r="MQ21" s="236"/>
      <c r="MR21" s="236"/>
      <c r="MS21" s="236"/>
      <c r="MT21" s="236"/>
      <c r="MU21" s="239"/>
      <c r="MV21" s="236"/>
      <c r="MW21" s="236"/>
      <c r="MX21" s="236"/>
      <c r="MY21" s="236"/>
      <c r="MZ21" s="236"/>
      <c r="NA21" s="240"/>
      <c r="NB21" s="235"/>
      <c r="NC21" s="236"/>
      <c r="ND21" s="236"/>
      <c r="NE21" s="236"/>
      <c r="NF21" s="236"/>
      <c r="NG21" s="237"/>
      <c r="NH21" s="236"/>
      <c r="NI21" s="236"/>
      <c r="NJ21" s="236"/>
      <c r="NK21" s="236"/>
      <c r="NL21" s="236"/>
      <c r="NM21" s="238"/>
      <c r="NN21" s="236"/>
      <c r="NO21" s="236"/>
      <c r="NP21" s="236"/>
      <c r="NQ21" s="236"/>
      <c r="NR21" s="236"/>
      <c r="NS21" s="239"/>
      <c r="NT21" s="236"/>
      <c r="NU21" s="236"/>
      <c r="NV21" s="236"/>
      <c r="NW21" s="236"/>
      <c r="NX21" s="236"/>
      <c r="NY21" s="238"/>
      <c r="NZ21" s="236"/>
      <c r="OA21" s="236"/>
      <c r="OB21" s="236"/>
      <c r="OC21" s="236"/>
      <c r="OD21" s="236"/>
      <c r="OE21" s="239"/>
      <c r="OF21" s="236"/>
      <c r="OG21" s="236"/>
      <c r="OH21" s="236"/>
      <c r="OI21" s="236"/>
      <c r="OJ21" s="236"/>
      <c r="OK21" s="238"/>
      <c r="OL21" s="236"/>
      <c r="OM21" s="236"/>
      <c r="ON21" s="236"/>
      <c r="OO21" s="236"/>
      <c r="OP21" s="236"/>
      <c r="OQ21" s="239"/>
      <c r="OR21" s="236"/>
      <c r="OS21" s="236"/>
      <c r="OT21" s="236"/>
      <c r="OU21" s="236"/>
      <c r="OV21" s="236"/>
      <c r="OW21" s="238"/>
      <c r="OX21" s="236"/>
      <c r="OY21" s="236"/>
      <c r="OZ21" s="236"/>
      <c r="PA21" s="236"/>
      <c r="PB21" s="236"/>
      <c r="PC21" s="239"/>
      <c r="PD21" s="236"/>
      <c r="PE21" s="236"/>
      <c r="PF21" s="236"/>
      <c r="PG21" s="236"/>
      <c r="PH21" s="236"/>
      <c r="PI21" s="240"/>
      <c r="PJ21" s="235"/>
      <c r="PK21" s="236"/>
      <c r="PL21" s="236"/>
      <c r="PM21" s="236"/>
      <c r="PN21" s="236"/>
      <c r="PO21" s="237"/>
      <c r="PP21" s="236"/>
      <c r="PQ21" s="236"/>
      <c r="PR21" s="236"/>
      <c r="PS21" s="236"/>
      <c r="PT21" s="236"/>
      <c r="PU21" s="238"/>
      <c r="PV21" s="149"/>
      <c r="PW21" s="149"/>
      <c r="PX21" s="149"/>
      <c r="PY21" s="149"/>
      <c r="PZ21" s="149"/>
      <c r="QA21" s="152"/>
      <c r="QB21" s="236"/>
      <c r="QC21" s="236"/>
      <c r="QD21" s="236"/>
      <c r="QE21" s="236"/>
      <c r="QF21" s="236"/>
      <c r="QG21" s="238"/>
      <c r="QH21" s="236"/>
      <c r="QI21" s="236"/>
      <c r="QJ21" s="236"/>
      <c r="QK21" s="236"/>
      <c r="QL21" s="236"/>
      <c r="QM21" s="239"/>
      <c r="QN21" s="236"/>
      <c r="QO21" s="236"/>
      <c r="QP21" s="236"/>
      <c r="QQ21" s="236"/>
      <c r="QR21" s="236"/>
      <c r="QS21" s="238"/>
      <c r="QT21" s="236"/>
      <c r="QU21" s="236"/>
      <c r="QV21" s="236"/>
      <c r="QW21" s="236"/>
      <c r="QX21" s="236"/>
      <c r="QY21" s="239"/>
      <c r="QZ21" s="236"/>
      <c r="RA21" s="236"/>
      <c r="RB21" s="236"/>
      <c r="RC21" s="236"/>
      <c r="RD21" s="236"/>
      <c r="RE21" s="238"/>
      <c r="RF21" s="236"/>
      <c r="RG21" s="236"/>
      <c r="RH21" s="236"/>
      <c r="RI21" s="236"/>
      <c r="RJ21" s="236"/>
      <c r="RK21" s="239"/>
      <c r="RL21" s="236"/>
      <c r="RM21" s="236"/>
      <c r="RN21" s="236"/>
      <c r="RO21" s="236"/>
      <c r="RP21" s="236"/>
      <c r="RQ21" s="240"/>
      <c r="RR21" s="235"/>
      <c r="RS21" s="236"/>
      <c r="RT21" s="236"/>
      <c r="RU21" s="236"/>
      <c r="RV21" s="236"/>
      <c r="RW21" s="237"/>
      <c r="RX21" s="236"/>
      <c r="RY21" s="236"/>
      <c r="RZ21" s="236"/>
      <c r="SA21" s="236"/>
      <c r="SB21" s="236"/>
      <c r="SC21" s="238"/>
      <c r="SD21" s="236"/>
      <c r="SE21" s="236"/>
      <c r="SF21" s="236"/>
      <c r="SG21" s="236"/>
      <c r="SH21" s="236"/>
      <c r="SI21" s="239"/>
      <c r="SJ21" s="236"/>
      <c r="SK21" s="236"/>
      <c r="SL21" s="236"/>
      <c r="SM21" s="236"/>
      <c r="SN21" s="236"/>
      <c r="SO21" s="238"/>
      <c r="SP21" s="236"/>
      <c r="SQ21" s="236"/>
      <c r="SR21" s="236"/>
      <c r="SS21" s="236"/>
      <c r="ST21" s="236"/>
      <c r="SU21" s="239"/>
      <c r="SV21" s="236"/>
      <c r="SW21" s="236"/>
      <c r="SX21" s="236"/>
      <c r="SY21" s="236"/>
      <c r="SZ21" s="236"/>
      <c r="TA21" s="238"/>
      <c r="TB21" s="236"/>
      <c r="TC21" s="236"/>
      <c r="TD21" s="236"/>
      <c r="TE21" s="236"/>
      <c r="TF21" s="236"/>
      <c r="TG21" s="239"/>
      <c r="TH21" s="236"/>
      <c r="TI21" s="236"/>
      <c r="TJ21" s="236"/>
      <c r="TK21" s="236"/>
      <c r="TL21" s="236"/>
      <c r="TM21" s="238"/>
      <c r="TN21" s="236"/>
      <c r="TO21" s="236"/>
      <c r="TP21" s="236"/>
      <c r="TQ21" s="236"/>
      <c r="TR21" s="236"/>
      <c r="TS21" s="239"/>
      <c r="TT21" s="236"/>
      <c r="TU21" s="236"/>
      <c r="TV21" s="236"/>
      <c r="TW21" s="236"/>
      <c r="TX21" s="236"/>
      <c r="TY21" s="240"/>
      <c r="TZ21" s="157"/>
      <c r="UA21" s="149"/>
      <c r="UB21" s="149"/>
      <c r="UC21" s="149"/>
      <c r="UD21" s="149"/>
      <c r="UE21" s="150"/>
      <c r="UF21" s="149"/>
      <c r="UG21" s="149"/>
      <c r="UH21" s="149"/>
      <c r="UI21" s="149"/>
      <c r="UJ21" s="149"/>
      <c r="UK21" s="151"/>
      <c r="UL21" s="149"/>
      <c r="UM21" s="149"/>
      <c r="UN21" s="149"/>
      <c r="UO21" s="149"/>
      <c r="UP21" s="149"/>
      <c r="UQ21" s="152"/>
      <c r="UR21" s="149"/>
      <c r="US21" s="236"/>
      <c r="UT21" s="236"/>
      <c r="UU21" s="236"/>
      <c r="UV21" s="236"/>
      <c r="UW21" s="238"/>
      <c r="UX21" s="236"/>
      <c r="UY21" s="236"/>
      <c r="UZ21" s="236"/>
      <c r="VA21" s="236"/>
      <c r="VB21" s="236"/>
      <c r="VC21" s="239"/>
      <c r="VD21" s="236"/>
      <c r="VE21" s="236"/>
      <c r="VF21" s="236"/>
      <c r="VG21" s="236"/>
      <c r="VH21" s="236"/>
      <c r="VI21" s="238"/>
      <c r="VJ21" s="236"/>
      <c r="VK21" s="236"/>
      <c r="VL21" s="236"/>
      <c r="VM21" s="236"/>
      <c r="VN21" s="236"/>
      <c r="VO21" s="239"/>
      <c r="VP21" s="236"/>
      <c r="VQ21" s="236"/>
      <c r="VR21" s="236"/>
      <c r="VS21" s="236"/>
      <c r="VT21" s="236"/>
      <c r="VU21" s="238"/>
      <c r="VV21" s="236"/>
      <c r="VW21" s="236"/>
      <c r="VX21" s="236"/>
      <c r="VY21" s="236"/>
      <c r="VZ21" s="236"/>
      <c r="WA21" s="239"/>
      <c r="WB21" s="236"/>
      <c r="WC21" s="236"/>
      <c r="WD21" s="236"/>
      <c r="WE21" s="236"/>
      <c r="WF21" s="236"/>
      <c r="WG21" s="240"/>
      <c r="WH21" s="235"/>
      <c r="WI21" s="236"/>
      <c r="WJ21" s="236"/>
      <c r="WK21" s="236"/>
      <c r="WL21" s="236"/>
      <c r="WM21" s="237"/>
      <c r="WN21" s="236"/>
      <c r="WO21" s="236"/>
      <c r="WP21" s="236"/>
      <c r="WQ21" s="236"/>
      <c r="WR21" s="236"/>
      <c r="WS21" s="238"/>
      <c r="WT21" s="236"/>
      <c r="WU21" s="236"/>
      <c r="WV21" s="236"/>
      <c r="WW21" s="236"/>
      <c r="WX21" s="236"/>
      <c r="WY21" s="239"/>
      <c r="WZ21" s="236"/>
      <c r="XA21" s="236"/>
      <c r="XB21" s="236"/>
      <c r="XC21" s="236"/>
      <c r="XD21" s="236"/>
      <c r="XE21" s="238"/>
      <c r="XF21" s="236"/>
      <c r="XG21" s="236"/>
      <c r="XH21" s="236"/>
      <c r="XI21" s="236"/>
      <c r="XJ21" s="236"/>
      <c r="XK21" s="239"/>
      <c r="XL21" s="236"/>
      <c r="XM21" s="236"/>
      <c r="XN21" s="236"/>
      <c r="XO21" s="236"/>
      <c r="XP21" s="236"/>
      <c r="XQ21" s="238"/>
      <c r="XR21" s="236"/>
      <c r="XS21" s="236"/>
      <c r="XT21" s="236"/>
      <c r="XU21" s="236"/>
      <c r="XV21" s="236"/>
      <c r="XW21" s="239"/>
      <c r="XX21" s="236"/>
      <c r="XY21" s="236"/>
      <c r="XZ21" s="236"/>
      <c r="YA21" s="236"/>
      <c r="YB21" s="236"/>
      <c r="YC21" s="238"/>
      <c r="YD21" s="236"/>
      <c r="YE21" s="236"/>
      <c r="YF21" s="236"/>
      <c r="YG21" s="236"/>
      <c r="YH21" s="236"/>
      <c r="YI21" s="239"/>
      <c r="YJ21" s="236"/>
      <c r="YK21" s="236"/>
      <c r="YL21" s="236"/>
      <c r="YM21" s="236"/>
      <c r="YN21" s="236"/>
      <c r="YO21" s="240"/>
      <c r="YP21" s="157"/>
      <c r="YQ21" s="149"/>
      <c r="YR21" s="149"/>
      <c r="YS21" s="149"/>
      <c r="YT21" s="149"/>
      <c r="YU21" s="150"/>
      <c r="YV21" s="149"/>
      <c r="YW21" s="149"/>
      <c r="YX21" s="149"/>
      <c r="YY21" s="149"/>
      <c r="YZ21" s="149"/>
      <c r="ZA21" s="151"/>
      <c r="ZB21" s="149"/>
      <c r="ZC21" s="149"/>
      <c r="ZD21" s="149"/>
      <c r="ZE21" s="149"/>
      <c r="ZF21" s="149"/>
      <c r="ZG21" s="152"/>
      <c r="ZH21" s="149"/>
      <c r="ZI21" s="236"/>
      <c r="ZJ21" s="236"/>
      <c r="ZK21" s="236"/>
      <c r="ZL21" s="236"/>
      <c r="ZM21" s="238"/>
      <c r="ZN21" s="236"/>
      <c r="ZO21" s="236"/>
      <c r="ZP21" s="236"/>
      <c r="ZQ21" s="236"/>
      <c r="ZR21" s="236"/>
      <c r="ZS21" s="239"/>
      <c r="ZT21" s="236"/>
      <c r="ZU21" s="236"/>
      <c r="ZV21" s="236"/>
      <c r="ZW21" s="236"/>
      <c r="ZX21" s="236"/>
      <c r="ZY21" s="238"/>
      <c r="ZZ21" s="236"/>
      <c r="AAA21" s="236"/>
      <c r="AAB21" s="236"/>
      <c r="AAC21" s="236"/>
      <c r="AAD21" s="236"/>
      <c r="AAE21" s="239"/>
      <c r="AAF21" s="236"/>
      <c r="AAG21" s="236"/>
      <c r="AAH21" s="236"/>
      <c r="AAI21" s="236"/>
      <c r="AAJ21" s="236"/>
      <c r="AAK21" s="238"/>
      <c r="AAL21" s="236"/>
      <c r="AAM21" s="236"/>
      <c r="AAN21" s="236"/>
      <c r="AAO21" s="236"/>
      <c r="AAP21" s="236"/>
      <c r="AAQ21" s="239"/>
      <c r="AAR21" s="236"/>
      <c r="AAS21" s="236"/>
      <c r="AAT21" s="236"/>
      <c r="AAU21" s="236"/>
      <c r="AAV21" s="236"/>
      <c r="AAW21" s="240"/>
      <c r="AAX21" s="235"/>
      <c r="AAY21" s="236"/>
      <c r="AAZ21" s="236"/>
      <c r="ABA21" s="236"/>
      <c r="ABB21" s="236"/>
      <c r="ABC21" s="237"/>
      <c r="ABD21" s="236"/>
      <c r="ABE21" s="236"/>
      <c r="ABF21" s="236"/>
      <c r="ABG21" s="236"/>
      <c r="ABH21" s="236"/>
      <c r="ABI21" s="238"/>
      <c r="ABJ21" s="236"/>
      <c r="ABK21" s="236"/>
      <c r="ABL21" s="236"/>
      <c r="ABM21" s="236"/>
      <c r="ABN21" s="236"/>
      <c r="ABO21" s="239"/>
      <c r="ABP21" s="236"/>
      <c r="ABQ21" s="236"/>
      <c r="ABR21" s="236"/>
      <c r="ABS21" s="236"/>
      <c r="ABT21" s="236"/>
      <c r="ABU21" s="238"/>
      <c r="ABV21" s="236"/>
      <c r="ABW21" s="236"/>
      <c r="ABX21" s="236"/>
      <c r="ABY21" s="236"/>
      <c r="ABZ21" s="236"/>
      <c r="ACA21" s="239"/>
      <c r="ACB21" s="236"/>
      <c r="ACC21" s="236"/>
      <c r="ACD21" s="236"/>
      <c r="ACE21" s="236"/>
      <c r="ACF21" s="236"/>
      <c r="ACG21" s="238"/>
      <c r="ACH21" s="236"/>
      <c r="ACI21" s="236"/>
      <c r="ACJ21" s="236"/>
      <c r="ACK21" s="236"/>
      <c r="ACL21" s="149"/>
      <c r="ACM21" s="152"/>
      <c r="ACN21" s="149"/>
      <c r="ACO21" s="149"/>
      <c r="ACP21" s="149"/>
      <c r="ACQ21" s="149"/>
      <c r="ACR21" s="236"/>
      <c r="ACS21" s="238"/>
      <c r="ACT21" s="236"/>
      <c r="ACU21" s="236"/>
      <c r="ACV21" s="236"/>
      <c r="ACW21" s="236"/>
      <c r="ACX21" s="236"/>
      <c r="ACY21" s="239"/>
      <c r="ACZ21" s="236"/>
      <c r="ADA21" s="236"/>
      <c r="ADB21" s="236"/>
      <c r="ADC21" s="236"/>
      <c r="ADD21" s="236"/>
      <c r="ADE21" s="240"/>
      <c r="ADF21" s="235"/>
      <c r="ADG21" s="236"/>
      <c r="ADH21" s="236"/>
      <c r="ADI21" s="236"/>
      <c r="ADJ21" s="236"/>
      <c r="ADK21" s="237"/>
      <c r="ADL21" s="236"/>
      <c r="ADM21" s="236"/>
      <c r="ADN21" s="236"/>
      <c r="ADO21" s="236"/>
      <c r="ADP21" s="236"/>
      <c r="ADQ21" s="238"/>
      <c r="ADR21" s="236"/>
      <c r="ADS21" s="236"/>
      <c r="ADT21" s="236"/>
      <c r="ADU21" s="236"/>
      <c r="ADV21" s="236"/>
      <c r="ADW21" s="239"/>
      <c r="ADX21" s="236"/>
      <c r="ADY21" s="236"/>
      <c r="ADZ21" s="236"/>
      <c r="AEA21" s="236"/>
      <c r="AEB21" s="236"/>
      <c r="AEC21" s="238"/>
      <c r="AED21" s="236"/>
      <c r="AEE21" s="236"/>
      <c r="AEF21" s="236"/>
      <c r="AEG21" s="236"/>
      <c r="AEH21" s="236"/>
      <c r="AEI21" s="239"/>
      <c r="AEJ21" s="236"/>
      <c r="AEK21" s="236"/>
      <c r="AEL21" s="236"/>
      <c r="AEM21" s="236"/>
      <c r="AEN21" s="236"/>
      <c r="AEO21" s="238"/>
      <c r="AEP21" s="236"/>
      <c r="AEQ21" s="236"/>
      <c r="AER21" s="236"/>
      <c r="AES21" s="236"/>
      <c r="AET21" s="236"/>
      <c r="AEU21" s="239"/>
      <c r="AEV21" s="236"/>
      <c r="AEW21" s="236"/>
      <c r="AEX21" s="236"/>
      <c r="AEY21" s="236"/>
      <c r="AEZ21" s="236"/>
      <c r="AFA21" s="238"/>
      <c r="AFB21" s="236"/>
      <c r="AFC21" s="236"/>
      <c r="AFD21" s="236"/>
      <c r="AFE21" s="236"/>
      <c r="AFF21" s="236"/>
      <c r="AFG21" s="239"/>
      <c r="AFH21" s="236"/>
      <c r="AFI21" s="236"/>
      <c r="AFJ21" s="236"/>
      <c r="AFK21" s="236"/>
      <c r="AFL21" s="236"/>
      <c r="AFM21" s="240"/>
      <c r="AFN21" s="235"/>
      <c r="AFO21" s="236"/>
      <c r="AFP21" s="236"/>
      <c r="AFQ21" s="236"/>
      <c r="AFR21" s="236"/>
      <c r="AFS21" s="237"/>
      <c r="AFT21" s="236"/>
      <c r="AFU21" s="236"/>
      <c r="AFV21" s="236"/>
      <c r="AFW21" s="236"/>
      <c r="AFX21" s="236"/>
      <c r="AFY21" s="238"/>
      <c r="AFZ21" s="236"/>
      <c r="AGA21" s="236"/>
      <c r="AGB21" s="236"/>
      <c r="AGC21" s="236"/>
      <c r="AGD21" s="236"/>
      <c r="AGE21" s="239"/>
      <c r="AGF21" s="236"/>
      <c r="AGG21" s="236"/>
      <c r="AGH21" s="236"/>
      <c r="AGI21" s="236"/>
      <c r="AGJ21" s="236"/>
      <c r="AGK21" s="238"/>
      <c r="AGL21" s="236"/>
      <c r="AGM21" s="236"/>
      <c r="AGN21" s="236"/>
      <c r="AGO21" s="236"/>
      <c r="AGP21" s="236"/>
      <c r="AGQ21" s="239"/>
      <c r="AGR21" s="236"/>
      <c r="AGS21" s="236"/>
      <c r="AGT21" s="236"/>
      <c r="AGU21" s="236"/>
      <c r="AGV21" s="236"/>
      <c r="AGW21" s="238"/>
      <c r="AGX21" s="236"/>
      <c r="AGY21" s="236"/>
      <c r="AGZ21" s="236"/>
      <c r="AHA21" s="236"/>
      <c r="AHB21" s="236"/>
      <c r="AHC21" s="239"/>
      <c r="AHD21" s="236"/>
      <c r="AHE21" s="236"/>
      <c r="AHF21" s="236"/>
      <c r="AHG21" s="236"/>
      <c r="AHH21" s="236"/>
      <c r="AHI21" s="238"/>
      <c r="AHJ21" s="236"/>
      <c r="AHK21" s="236"/>
      <c r="AHL21" s="236"/>
      <c r="AHM21" s="236"/>
      <c r="AHN21" s="236"/>
      <c r="AHO21" s="239"/>
      <c r="AHP21" s="236"/>
      <c r="AHQ21" s="236"/>
      <c r="AHR21" s="236"/>
      <c r="AHS21" s="236"/>
      <c r="AHT21" s="236"/>
      <c r="AHU21" s="240"/>
      <c r="AHV21" s="157"/>
      <c r="AHW21" s="149"/>
      <c r="AHX21" s="149"/>
      <c r="AHY21" s="149"/>
      <c r="AHZ21" s="149"/>
      <c r="AIA21" s="150"/>
      <c r="AIB21" s="149"/>
      <c r="AIC21" s="149"/>
      <c r="AID21" s="149"/>
      <c r="AIE21" s="149"/>
      <c r="AIF21" s="236"/>
      <c r="AIG21" s="238"/>
      <c r="AIH21" s="236"/>
      <c r="AII21" s="236"/>
      <c r="AIJ21" s="236"/>
      <c r="AIK21" s="236"/>
      <c r="AIL21" s="236"/>
      <c r="AIM21" s="239"/>
      <c r="AIN21" s="236"/>
      <c r="AIO21" s="236"/>
      <c r="AIP21" s="236"/>
      <c r="AIQ21" s="236"/>
      <c r="AIR21" s="236"/>
      <c r="AIS21" s="238"/>
      <c r="AIT21" s="236"/>
      <c r="AIU21" s="236"/>
      <c r="AIV21" s="236"/>
      <c r="AIW21" s="236"/>
      <c r="AIX21" s="236"/>
      <c r="AIY21" s="239"/>
      <c r="AIZ21" s="236"/>
      <c r="AJA21" s="236"/>
      <c r="AJB21" s="236"/>
      <c r="AJC21" s="236"/>
      <c r="AJD21" s="236"/>
      <c r="AJE21" s="238"/>
      <c r="AJF21" s="236"/>
      <c r="AJG21" s="236"/>
      <c r="AJH21" s="236"/>
      <c r="AJI21" s="236"/>
      <c r="AJJ21" s="236"/>
      <c r="AJK21" s="239"/>
      <c r="AJL21" s="236"/>
      <c r="AJM21" s="236"/>
      <c r="AJN21" s="236"/>
      <c r="AJO21" s="236"/>
      <c r="AJP21" s="236"/>
      <c r="AJQ21" s="238"/>
      <c r="AJR21" s="236"/>
      <c r="AJS21" s="236"/>
      <c r="AJT21" s="236"/>
      <c r="AJU21" s="236"/>
      <c r="AJV21" s="236"/>
      <c r="AJW21" s="239"/>
      <c r="AJX21" s="236"/>
      <c r="AJY21" s="236"/>
      <c r="AJZ21" s="236"/>
      <c r="AKA21" s="236"/>
      <c r="AKB21" s="236"/>
      <c r="AKC21" s="240"/>
      <c r="AKD21" s="235"/>
      <c r="AKE21" s="236"/>
      <c r="AKF21" s="236"/>
      <c r="AKG21" s="236"/>
      <c r="AKH21" s="236"/>
      <c r="AKI21" s="237"/>
      <c r="AKJ21" s="236"/>
      <c r="AKK21" s="236"/>
      <c r="AKL21" s="236"/>
      <c r="AKM21" s="236"/>
      <c r="AKN21" s="236"/>
      <c r="AKO21" s="238"/>
      <c r="AKP21" s="236"/>
      <c r="AKQ21" s="236"/>
      <c r="AKR21" s="236"/>
      <c r="AKS21" s="236"/>
      <c r="AKT21" s="236"/>
      <c r="AKU21" s="239"/>
      <c r="AKV21" s="236"/>
      <c r="AKW21" s="236"/>
      <c r="AKX21" s="236"/>
      <c r="AKY21" s="236"/>
      <c r="AKZ21" s="236"/>
      <c r="ALA21" s="238"/>
      <c r="ALB21" s="236"/>
      <c r="ALC21" s="236"/>
      <c r="ALD21" s="236"/>
      <c r="ALE21" s="236"/>
      <c r="ALF21" s="236"/>
      <c r="ALG21" s="239"/>
      <c r="ALH21" s="236"/>
      <c r="ALI21" s="236"/>
      <c r="ALJ21" s="236"/>
      <c r="ALK21" s="236"/>
      <c r="ALL21" s="236"/>
      <c r="ALM21" s="238"/>
      <c r="ALN21" s="236"/>
      <c r="ALO21" s="236"/>
      <c r="ALP21" s="236"/>
      <c r="ALQ21" s="236"/>
      <c r="ALR21" s="236"/>
      <c r="ALS21" s="239"/>
      <c r="ALT21" s="236"/>
      <c r="ALU21" s="236"/>
      <c r="ALV21" s="236"/>
      <c r="ALW21" s="236"/>
      <c r="ALX21" s="236"/>
      <c r="ALY21" s="238"/>
      <c r="ALZ21" s="236"/>
      <c r="AMA21" s="236"/>
      <c r="AMB21" s="236"/>
      <c r="AMC21" s="236"/>
      <c r="AMD21" s="236"/>
      <c r="AME21" s="239"/>
      <c r="AMF21" s="236"/>
      <c r="AMG21" s="236"/>
      <c r="AMH21" s="236"/>
      <c r="AMI21" s="236"/>
      <c r="AMJ21" s="236"/>
      <c r="AMK21" s="240"/>
      <c r="AML21" s="235"/>
      <c r="AMM21" s="236"/>
      <c r="AMN21" s="236"/>
      <c r="AMO21" s="236"/>
      <c r="AMP21" s="236"/>
      <c r="AMQ21" s="237"/>
      <c r="AMR21" s="236"/>
      <c r="AMS21" s="236"/>
      <c r="AMT21" s="236"/>
      <c r="AMU21" s="236"/>
      <c r="AMV21" s="236"/>
      <c r="AMW21" s="238"/>
      <c r="AMX21" s="236"/>
      <c r="AMY21" s="236"/>
      <c r="AMZ21" s="236"/>
      <c r="ANA21" s="236"/>
      <c r="ANB21" s="236"/>
      <c r="ANC21" s="239"/>
      <c r="AND21" s="236"/>
      <c r="ANE21" s="236"/>
      <c r="ANF21" s="236"/>
      <c r="ANG21" s="236"/>
      <c r="ANH21" s="236"/>
      <c r="ANI21" s="238"/>
      <c r="ANJ21" s="236"/>
      <c r="ANK21" s="236"/>
      <c r="ANL21" s="236"/>
      <c r="ANM21" s="236"/>
      <c r="ANN21" s="236"/>
      <c r="ANO21" s="239"/>
      <c r="ANP21" s="236"/>
      <c r="ANQ21" s="236"/>
      <c r="ANR21" s="236"/>
      <c r="ANS21" s="236"/>
      <c r="ANT21" s="236"/>
      <c r="ANU21" s="238"/>
      <c r="ANV21" s="236"/>
      <c r="ANW21" s="236"/>
      <c r="ANX21" s="236"/>
      <c r="ANY21" s="236"/>
      <c r="ANZ21" s="236"/>
      <c r="AOA21" s="239"/>
      <c r="AOB21" s="236"/>
      <c r="AOC21" s="236"/>
      <c r="AOD21" s="236"/>
      <c r="AOE21" s="236"/>
      <c r="AOF21" s="236"/>
      <c r="AOG21" s="238"/>
      <c r="AOH21" s="236"/>
      <c r="AOI21" s="236"/>
      <c r="AOJ21" s="236"/>
      <c r="AOK21" s="236"/>
      <c r="AOL21" s="236"/>
      <c r="AOM21" s="239"/>
      <c r="AON21" s="236"/>
      <c r="AOO21" s="236"/>
      <c r="AOP21" s="236"/>
      <c r="AOQ21" s="236"/>
      <c r="AOR21" s="236"/>
      <c r="AOS21" s="240"/>
      <c r="AOT21" s="235"/>
      <c r="AOU21" s="236"/>
      <c r="AOV21" s="236"/>
      <c r="AOW21" s="236"/>
      <c r="AOX21" s="236"/>
      <c r="AOY21" s="237"/>
      <c r="AOZ21" s="236"/>
      <c r="APA21" s="236"/>
      <c r="APB21" s="236"/>
      <c r="APC21" s="236"/>
      <c r="APD21" s="236"/>
      <c r="APE21" s="238"/>
      <c r="APF21" s="236"/>
      <c r="APG21" s="236"/>
      <c r="APH21" s="236"/>
      <c r="API21" s="236"/>
      <c r="APJ21" s="236"/>
      <c r="APK21" s="239"/>
      <c r="APL21" s="236"/>
      <c r="APM21" s="236"/>
      <c r="APN21" s="236"/>
      <c r="APO21" s="236"/>
      <c r="APP21" s="236"/>
      <c r="APQ21" s="238"/>
      <c r="APR21" s="236"/>
      <c r="APS21" s="236"/>
      <c r="APT21" s="236"/>
      <c r="APU21" s="236"/>
      <c r="APV21" s="236"/>
      <c r="APW21" s="239"/>
      <c r="APX21" s="236"/>
      <c r="APY21" s="236"/>
      <c r="APZ21" s="236"/>
      <c r="AQA21" s="236"/>
      <c r="AQB21" s="236"/>
      <c r="AQC21" s="238"/>
      <c r="AQD21" s="236"/>
      <c r="AQE21" s="236"/>
      <c r="AQF21" s="236"/>
      <c r="AQG21" s="236"/>
      <c r="AQH21" s="236"/>
      <c r="AQI21" s="239"/>
      <c r="AQJ21" s="236"/>
      <c r="AQK21" s="236"/>
      <c r="AQL21" s="236"/>
      <c r="AQM21" s="236"/>
      <c r="AQN21" s="236"/>
      <c r="AQO21" s="238"/>
      <c r="AQP21" s="236"/>
      <c r="AQQ21" s="236"/>
      <c r="AQR21" s="236"/>
      <c r="AQS21" s="236"/>
      <c r="AQT21" s="236"/>
      <c r="AQU21" s="239"/>
      <c r="AQV21" s="236"/>
      <c r="AQW21" s="236"/>
      <c r="AQX21" s="236"/>
      <c r="AQY21" s="236"/>
      <c r="AQZ21" s="236"/>
      <c r="ARA21" s="240"/>
      <c r="ARB21" s="157"/>
      <c r="ARC21" s="149"/>
      <c r="ARD21" s="149"/>
      <c r="ARE21" s="149"/>
      <c r="ARF21" s="149"/>
      <c r="ARG21" s="150"/>
      <c r="ARH21" s="149"/>
      <c r="ARI21" s="149"/>
      <c r="ARJ21" s="149"/>
      <c r="ARK21" s="149"/>
      <c r="ARL21" s="149"/>
      <c r="ARM21" s="151"/>
      <c r="ARN21" s="149"/>
      <c r="ARO21" s="149"/>
      <c r="ARP21" s="149"/>
      <c r="ARQ21" s="149"/>
      <c r="ARR21" s="149"/>
      <c r="ARS21" s="152"/>
      <c r="ART21" s="149"/>
      <c r="ARU21" s="149"/>
      <c r="ARV21" s="149"/>
      <c r="ARW21" s="149"/>
      <c r="ARX21" s="149"/>
      <c r="ARY21" s="151"/>
      <c r="ARZ21" s="149"/>
      <c r="ASA21" s="149"/>
      <c r="ASB21" s="236"/>
      <c r="ASC21" s="236"/>
      <c r="ASD21" s="236"/>
      <c r="ASE21" s="239"/>
      <c r="ASF21" s="236"/>
      <c r="ASG21" s="236"/>
      <c r="ASH21" s="236"/>
      <c r="ASI21" s="236"/>
      <c r="ASJ21" s="236"/>
      <c r="ASK21" s="238"/>
      <c r="ASL21" s="236"/>
      <c r="ASM21" s="236"/>
      <c r="ASN21" s="236"/>
      <c r="ASO21" s="236"/>
      <c r="ASP21" s="236"/>
      <c r="ASQ21" s="239"/>
      <c r="ASR21" s="236"/>
      <c r="ASS21" s="236"/>
      <c r="AST21" s="236"/>
      <c r="ASU21" s="236"/>
      <c r="ASV21" s="236"/>
      <c r="ASW21" s="238"/>
      <c r="ASX21" s="236"/>
      <c r="ASY21" s="236"/>
      <c r="ASZ21" s="236"/>
      <c r="ATA21" s="236"/>
      <c r="ATB21" s="236"/>
      <c r="ATC21" s="239"/>
      <c r="ATD21" s="236"/>
      <c r="ATE21" s="236"/>
      <c r="ATF21" s="236"/>
      <c r="ATG21" s="236"/>
      <c r="ATH21" s="236"/>
      <c r="ATI21" s="240"/>
      <c r="ATJ21" s="157"/>
      <c r="ATK21" s="149"/>
      <c r="ATL21" s="149"/>
      <c r="ATM21" s="149"/>
      <c r="ATN21" s="149"/>
      <c r="ATO21" s="150"/>
      <c r="ATP21" s="149"/>
      <c r="ATQ21" s="149"/>
      <c r="ATR21" s="149"/>
      <c r="ATS21" s="149"/>
      <c r="ATT21" s="149"/>
      <c r="ATU21" s="151"/>
      <c r="ATV21" s="149"/>
      <c r="ATW21" s="149"/>
      <c r="ATX21" s="149"/>
      <c r="ATY21" s="149"/>
      <c r="ATZ21" s="149"/>
      <c r="AUA21" s="152"/>
      <c r="AUB21" s="149"/>
      <c r="AUC21" s="149"/>
      <c r="AUD21" s="149"/>
      <c r="AUE21" s="149"/>
      <c r="AUF21" s="149"/>
      <c r="AUG21" s="151"/>
      <c r="AUH21" s="149"/>
      <c r="AUI21" s="149"/>
      <c r="AUJ21" s="236"/>
      <c r="AUK21" s="236"/>
      <c r="AUL21" s="236"/>
      <c r="AUM21" s="239"/>
      <c r="AUN21" s="236"/>
      <c r="AUO21" s="236"/>
      <c r="AUP21" s="236"/>
      <c r="AUQ21" s="236"/>
      <c r="AUR21" s="236"/>
      <c r="AUS21" s="238"/>
      <c r="AUT21" s="236"/>
      <c r="AUU21" s="236"/>
      <c r="AUV21" s="236"/>
      <c r="AUW21" s="236"/>
      <c r="AUX21" s="236"/>
      <c r="AUY21" s="239"/>
      <c r="AUZ21" s="236"/>
      <c r="AVA21" s="236"/>
      <c r="AVB21" s="236"/>
      <c r="AVC21" s="236"/>
      <c r="AVD21" s="236"/>
      <c r="AVE21" s="238"/>
      <c r="AVF21" s="236"/>
      <c r="AVG21" s="236"/>
      <c r="AVH21" s="236"/>
      <c r="AVI21" s="236"/>
      <c r="AVJ21" s="236"/>
      <c r="AVK21" s="239"/>
      <c r="AVL21" s="236"/>
      <c r="AVM21" s="236"/>
      <c r="AVN21" s="236"/>
      <c r="AVO21" s="236"/>
      <c r="AVP21" s="236"/>
      <c r="AVQ21" s="240"/>
      <c r="AVR21" s="157"/>
      <c r="AVS21" s="149"/>
      <c r="AVT21" s="149"/>
      <c r="AVU21" s="149"/>
      <c r="AVV21" s="149"/>
      <c r="AVW21" s="150"/>
      <c r="AVX21" s="149"/>
      <c r="AVY21" s="149"/>
      <c r="AVZ21" s="149"/>
      <c r="AWA21" s="149"/>
      <c r="AWB21" s="149"/>
      <c r="AWC21" s="151"/>
      <c r="AWD21" s="149"/>
      <c r="AWE21" s="149"/>
      <c r="AWF21" s="149"/>
      <c r="AWG21" s="149"/>
      <c r="AWH21" s="149"/>
      <c r="AWI21" s="152"/>
      <c r="AWJ21" s="149"/>
      <c r="AWK21" s="149"/>
      <c r="AWL21" s="149"/>
      <c r="AWM21" s="149"/>
      <c r="AWN21" s="149"/>
      <c r="AWO21" s="151"/>
      <c r="AWP21" s="149"/>
      <c r="AWQ21" s="149"/>
      <c r="AWR21" s="149"/>
      <c r="AWS21" s="149"/>
      <c r="AWT21" s="149"/>
      <c r="AWU21" s="152"/>
      <c r="AWV21" s="149"/>
      <c r="AWW21" s="149"/>
      <c r="AWX21" s="149"/>
      <c r="AWY21" s="149"/>
      <c r="AWZ21" s="149"/>
      <c r="AXA21" s="151"/>
      <c r="AXB21" s="149"/>
      <c r="AXC21" s="149"/>
      <c r="AXD21" s="149"/>
      <c r="AXE21" s="149"/>
      <c r="AXF21" s="149"/>
      <c r="AXG21" s="152"/>
      <c r="AXH21" s="149"/>
      <c r="AXI21" s="149"/>
      <c r="AXJ21" s="149"/>
      <c r="AXK21" s="149"/>
      <c r="AXL21" s="236"/>
      <c r="AXM21" s="238"/>
      <c r="AXN21" s="236"/>
      <c r="AXO21" s="236"/>
      <c r="AXP21" s="236"/>
      <c r="AXQ21" s="236"/>
      <c r="AXR21" s="236"/>
      <c r="AXS21" s="239"/>
      <c r="AXT21" s="236"/>
      <c r="AXU21" s="236"/>
      <c r="AXV21" s="236"/>
      <c r="AXW21" s="236"/>
      <c r="AXX21" s="236"/>
      <c r="AXY21" s="240"/>
      <c r="AXZ21" s="157"/>
      <c r="AYA21" s="149"/>
      <c r="AYB21" s="149"/>
      <c r="AYC21" s="149"/>
      <c r="AYD21" s="149"/>
      <c r="AYE21" s="150"/>
      <c r="AYF21" s="149"/>
      <c r="AYG21" s="149"/>
      <c r="AYH21" s="149"/>
      <c r="AYI21" s="149"/>
      <c r="AYJ21" s="149"/>
      <c r="AYK21" s="151"/>
      <c r="AYL21" s="149"/>
      <c r="AYM21" s="149"/>
      <c r="AYN21" s="149"/>
      <c r="AYO21" s="149"/>
      <c r="AYP21" s="149"/>
      <c r="AYQ21" s="152"/>
      <c r="AYR21" s="149"/>
      <c r="AYS21" s="149"/>
      <c r="AYT21" s="149"/>
      <c r="AYU21" s="149"/>
      <c r="AYV21" s="149"/>
      <c r="AYW21" s="151"/>
      <c r="AYX21" s="149"/>
      <c r="AYY21" s="149"/>
      <c r="AYZ21" s="149"/>
      <c r="AZA21" s="149"/>
      <c r="AZB21" s="149"/>
      <c r="AZC21" s="152"/>
      <c r="AZD21" s="149"/>
      <c r="AZE21" s="149"/>
      <c r="AZF21" s="149"/>
      <c r="AZG21" s="149"/>
      <c r="AZH21" s="149"/>
      <c r="AZI21" s="151"/>
      <c r="AZJ21" s="236"/>
      <c r="AZK21" s="236"/>
      <c r="AZL21" s="236"/>
      <c r="AZM21" s="236"/>
      <c r="AZN21" s="236"/>
      <c r="AZO21" s="239"/>
      <c r="AZP21" s="236"/>
      <c r="AZQ21" s="236"/>
      <c r="AZR21" s="236"/>
      <c r="AZS21" s="236"/>
      <c r="AZT21" s="236"/>
      <c r="AZU21" s="238"/>
      <c r="AZV21" s="236"/>
      <c r="AZW21" s="236"/>
      <c r="AZX21" s="236"/>
      <c r="AZY21" s="236"/>
      <c r="AZZ21" s="236"/>
      <c r="BAA21" s="239"/>
      <c r="BAB21" s="236"/>
      <c r="BAC21" s="236"/>
      <c r="BAD21" s="236"/>
      <c r="BAE21" s="236"/>
      <c r="BAF21" s="236"/>
      <c r="BAG21" s="240"/>
      <c r="BAH21" s="157"/>
      <c r="BAI21" s="149"/>
      <c r="BAJ21" s="149"/>
      <c r="BAK21" s="149"/>
      <c r="BAL21" s="149"/>
      <c r="BAM21" s="150"/>
      <c r="BAN21" s="149"/>
      <c r="BAO21" s="149"/>
      <c r="BAP21" s="149"/>
      <c r="BAQ21" s="149"/>
      <c r="BAR21" s="149"/>
      <c r="BAS21" s="151"/>
      <c r="BAT21" s="149"/>
      <c r="BAU21" s="149"/>
      <c r="BAV21" s="149"/>
      <c r="BAW21" s="149"/>
      <c r="BAX21" s="149"/>
      <c r="BAY21" s="152"/>
      <c r="BAZ21" s="149"/>
      <c r="BBA21" s="149"/>
      <c r="BBB21" s="149"/>
      <c r="BBC21" s="149"/>
      <c r="BBD21" s="149"/>
      <c r="BBE21" s="151"/>
      <c r="BBF21" s="149"/>
      <c r="BBG21" s="149"/>
      <c r="BBH21" s="149"/>
      <c r="BBI21" s="149"/>
      <c r="BBJ21" s="149"/>
      <c r="BBK21" s="152"/>
      <c r="BBL21" s="149"/>
      <c r="BBM21" s="149"/>
      <c r="BBN21" s="149"/>
      <c r="BBO21" s="149"/>
      <c r="BBP21" s="149"/>
      <c r="BBQ21" s="151"/>
      <c r="BBR21" s="149"/>
      <c r="BBS21" s="149"/>
      <c r="BBT21" s="149"/>
      <c r="BBU21" s="149"/>
      <c r="BBV21" s="149"/>
      <c r="BBW21" s="152"/>
      <c r="BBX21" s="149"/>
      <c r="BBY21" s="149"/>
      <c r="BBZ21" s="149"/>
      <c r="BCA21" s="149"/>
      <c r="BCB21" s="236"/>
      <c r="BCC21" s="238"/>
      <c r="BCD21" s="236"/>
      <c r="BCE21" s="236"/>
      <c r="BCF21" s="236"/>
      <c r="BCG21" s="236"/>
      <c r="BCH21" s="236"/>
      <c r="BCI21" s="239"/>
      <c r="BCJ21" s="236"/>
      <c r="BCK21" s="236"/>
      <c r="BCL21" s="236"/>
      <c r="BCM21" s="236"/>
      <c r="BCN21" s="236"/>
      <c r="BCO21" s="240"/>
      <c r="BCP21" s="157"/>
      <c r="BCQ21" s="149"/>
      <c r="BCR21" s="149"/>
      <c r="BCS21" s="149"/>
      <c r="BCT21" s="149"/>
      <c r="BCU21" s="150"/>
      <c r="BCV21" s="149"/>
      <c r="BCW21" s="149"/>
      <c r="BCX21" s="149"/>
      <c r="BCY21" s="149"/>
      <c r="BCZ21" s="149"/>
      <c r="BDA21" s="151"/>
      <c r="BDB21" s="149"/>
      <c r="BDC21" s="149"/>
      <c r="BDD21" s="149"/>
      <c r="BDE21" s="149"/>
      <c r="BDF21" s="149"/>
      <c r="BDG21" s="152"/>
      <c r="BDH21" s="149"/>
      <c r="BDI21" s="149"/>
      <c r="BDJ21" s="149"/>
      <c r="BDK21" s="149"/>
      <c r="BDL21" s="149"/>
      <c r="BDM21" s="151"/>
      <c r="BDN21" s="149"/>
      <c r="BDO21" s="149"/>
      <c r="BDP21" s="149"/>
      <c r="BDQ21" s="149"/>
      <c r="BDR21" s="149"/>
      <c r="BDS21" s="152"/>
      <c r="BDT21" s="149"/>
      <c r="BDU21" s="149"/>
      <c r="BDV21" s="149"/>
      <c r="BDW21" s="149"/>
      <c r="BDX21" s="149"/>
      <c r="BDY21" s="151"/>
      <c r="BDZ21" s="236"/>
      <c r="BEA21" s="236"/>
      <c r="BEB21" s="236"/>
      <c r="BEC21" s="236"/>
      <c r="BED21" s="236"/>
      <c r="BEE21" s="239"/>
      <c r="BEF21" s="236"/>
      <c r="BEG21" s="236"/>
      <c r="BEH21" s="236"/>
      <c r="BEI21" s="236"/>
      <c r="BEJ21" s="236"/>
      <c r="BEK21" s="238"/>
      <c r="BEL21" s="236"/>
      <c r="BEM21" s="236"/>
      <c r="BEN21" s="236"/>
      <c r="BEO21" s="236"/>
      <c r="BEP21" s="236"/>
      <c r="BEQ21" s="239"/>
      <c r="BER21" s="236"/>
      <c r="BES21" s="236"/>
      <c r="BET21" s="236"/>
      <c r="BEU21" s="236"/>
      <c r="BEV21" s="236"/>
      <c r="BEW21" s="240"/>
      <c r="BEX21" s="235"/>
      <c r="BEY21" s="236"/>
      <c r="BEZ21" s="236"/>
      <c r="BFA21" s="236"/>
      <c r="BFB21" s="236"/>
      <c r="BFC21" s="237"/>
      <c r="BFD21" s="236"/>
      <c r="BFE21" s="236"/>
      <c r="BFF21" s="236"/>
      <c r="BFG21" s="236"/>
      <c r="BFH21" s="236"/>
      <c r="BFI21" s="238"/>
      <c r="BFJ21" s="149"/>
      <c r="BFK21" s="149"/>
      <c r="BFL21" s="149"/>
      <c r="BFM21" s="149"/>
      <c r="BFN21" s="149"/>
      <c r="BFO21" s="152"/>
      <c r="BFP21" s="149"/>
      <c r="BFQ21" s="149"/>
      <c r="BFR21" s="149"/>
      <c r="BFS21" s="149"/>
      <c r="BFT21" s="149"/>
      <c r="BFU21" s="151"/>
      <c r="BFV21" s="149"/>
      <c r="BFW21" s="149"/>
      <c r="BFX21" s="149"/>
      <c r="BFY21" s="149"/>
      <c r="BFZ21" s="149"/>
      <c r="BGA21" s="152"/>
      <c r="BGB21" s="149"/>
      <c r="BGC21" s="149"/>
      <c r="BGD21" s="149"/>
      <c r="BGE21" s="149"/>
      <c r="BGF21" s="149"/>
      <c r="BGG21" s="151"/>
      <c r="BGH21" s="149"/>
      <c r="BGI21" s="149"/>
      <c r="BGJ21" s="149"/>
      <c r="BGK21" s="149"/>
      <c r="BGL21" s="149"/>
      <c r="BGM21" s="152"/>
      <c r="BGN21" s="149"/>
      <c r="BGO21" s="149"/>
      <c r="BGP21" s="149"/>
      <c r="BGQ21" s="149"/>
      <c r="BGR21" s="236"/>
      <c r="BGS21" s="238"/>
      <c r="BGT21" s="236"/>
      <c r="BGU21" s="236"/>
      <c r="BGV21" s="236"/>
      <c r="BGW21" s="236"/>
      <c r="BGX21" s="236"/>
      <c r="BGY21" s="239"/>
      <c r="BGZ21" s="236"/>
      <c r="BHA21" s="236"/>
      <c r="BHB21" s="236"/>
      <c r="BHC21" s="236"/>
      <c r="BHD21" s="236"/>
      <c r="BHE21" s="240"/>
      <c r="BHF21" s="157"/>
      <c r="BHG21" s="149"/>
      <c r="BHH21" s="149"/>
      <c r="BHI21" s="149"/>
      <c r="BHJ21" s="149"/>
      <c r="BHK21" s="150"/>
      <c r="BHL21" s="149"/>
      <c r="BHM21" s="149"/>
      <c r="BHN21" s="149"/>
      <c r="BHO21" s="149"/>
      <c r="BHP21" s="149"/>
      <c r="BHQ21" s="151"/>
      <c r="BHR21" s="149"/>
      <c r="BHS21" s="149"/>
      <c r="BHT21" s="149"/>
      <c r="BHU21" s="149"/>
      <c r="BHV21" s="149"/>
      <c r="BHW21" s="152"/>
      <c r="BHX21" s="149"/>
      <c r="BHY21" s="149"/>
      <c r="BHZ21" s="149"/>
      <c r="BIA21" s="149"/>
      <c r="BIB21" s="149"/>
      <c r="BIC21" s="151"/>
      <c r="BID21" s="149"/>
      <c r="BIE21" s="149"/>
      <c r="BIF21" s="236"/>
      <c r="BIG21" s="236"/>
      <c r="BIH21" s="236"/>
      <c r="BII21" s="239"/>
      <c r="BIJ21" s="236"/>
      <c r="BIK21" s="236"/>
      <c r="BIL21" s="236"/>
      <c r="BIM21" s="236"/>
      <c r="BIN21" s="236"/>
      <c r="BIO21" s="238"/>
      <c r="BIP21" s="236"/>
      <c r="BIQ21" s="236"/>
      <c r="BIR21" s="236"/>
      <c r="BIS21" s="236"/>
      <c r="BIT21" s="236"/>
      <c r="BIU21" s="239"/>
      <c r="BIV21" s="236"/>
      <c r="BIW21" s="236"/>
      <c r="BIX21" s="236"/>
      <c r="BIY21" s="236"/>
      <c r="BIZ21" s="236"/>
      <c r="BJA21" s="238"/>
      <c r="BJB21" s="236"/>
      <c r="BJC21" s="236"/>
      <c r="BJD21" s="236"/>
      <c r="BJE21" s="236"/>
      <c r="BJF21" s="236"/>
      <c r="BJG21" s="239"/>
      <c r="BJH21" s="236"/>
      <c r="BJI21" s="236"/>
      <c r="BJJ21" s="236"/>
      <c r="BJK21" s="236"/>
      <c r="BJL21" s="236"/>
      <c r="BJM21" s="240"/>
      <c r="BJN21" s="233"/>
      <c r="BJO21" s="234"/>
      <c r="BJP21" s="234"/>
      <c r="BJQ21" s="234"/>
      <c r="BJR21" s="234"/>
      <c r="BJS21" s="234"/>
      <c r="BJT21" s="234"/>
      <c r="BJU21" s="234"/>
      <c r="BJV21" s="234"/>
      <c r="BJW21" s="234"/>
      <c r="BJX21" s="234"/>
      <c r="BJY21" s="234"/>
      <c r="BJZ21" s="234"/>
      <c r="BKA21" s="234"/>
      <c r="BKB21" s="234"/>
      <c r="BKC21" s="234"/>
      <c r="BKD21" s="234"/>
      <c r="BKE21" s="234"/>
      <c r="BKF21" s="234"/>
      <c r="BKG21" s="234"/>
      <c r="BKH21" s="234"/>
      <c r="BKI21" s="234"/>
      <c r="BKJ21" s="234"/>
      <c r="BKK21" s="234"/>
      <c r="BKL21" s="234"/>
      <c r="BKM21" s="234"/>
      <c r="BKN21" s="234"/>
    </row>
    <row r="22" spans="1:1653" ht="20.100000000000001" customHeight="1" x14ac:dyDescent="0.25">
      <c r="A22" s="84" t="s">
        <v>20</v>
      </c>
      <c r="B22" s="53" t="str">
        <f>IF(LEN(C29)=0,"",C29)</f>
        <v>Réalisation - Base de donnée</v>
      </c>
      <c r="C22" s="178"/>
      <c r="D22" s="130" t="str">
        <f t="shared" si="0"/>
        <v>35h5min</v>
      </c>
      <c r="E22" s="30">
        <v>421</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67"/>
      <c r="GJ22" s="166"/>
      <c r="GK22" s="166"/>
      <c r="GL22" s="166"/>
      <c r="GM22" s="166"/>
      <c r="GN22" s="166"/>
      <c r="GO22" s="168"/>
      <c r="GP22" s="166"/>
      <c r="GQ22" s="166"/>
      <c r="GR22" s="166"/>
      <c r="GS22" s="166"/>
      <c r="GT22" s="166"/>
      <c r="GU22" s="169"/>
      <c r="GV22" s="166"/>
      <c r="GW22" s="166"/>
      <c r="GX22" s="166"/>
      <c r="GY22" s="166"/>
      <c r="GZ22" s="166"/>
      <c r="HA22" s="168"/>
      <c r="HB22" s="166"/>
      <c r="HC22" s="166"/>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166"/>
      <c r="IY22" s="166"/>
      <c r="IZ22" s="166"/>
      <c r="JA22" s="166"/>
      <c r="JB22" s="166"/>
      <c r="JC22" s="169"/>
      <c r="JD22" s="166"/>
      <c r="JE22" s="166"/>
      <c r="JF22" s="166"/>
      <c r="JG22" s="166"/>
      <c r="JH22" s="166"/>
      <c r="JI22" s="168"/>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166"/>
      <c r="NU22" s="166"/>
      <c r="NV22" s="166"/>
      <c r="NW22" s="166"/>
      <c r="NX22" s="166"/>
      <c r="NY22" s="168"/>
      <c r="NZ22" s="166"/>
      <c r="OA22" s="166"/>
      <c r="OB22" s="166"/>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169"/>
      <c r="QB22" s="166"/>
      <c r="QC22" s="166"/>
      <c r="QD22" s="166"/>
      <c r="QE22" s="166"/>
      <c r="QF22" s="166"/>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166"/>
      <c r="SQ22" s="166"/>
      <c r="SR22" s="166"/>
      <c r="SS22" s="166"/>
      <c r="ST22" s="166"/>
      <c r="SU22" s="169"/>
      <c r="SV22" s="166"/>
      <c r="SW22" s="166"/>
      <c r="SX22" s="166"/>
      <c r="SY22" s="166"/>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166"/>
      <c r="XB22" s="166"/>
      <c r="XC22" s="166"/>
      <c r="XD22" s="166"/>
      <c r="XE22" s="168"/>
      <c r="XF22" s="166"/>
      <c r="XG22" s="166"/>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166"/>
      <c r="ZM22" s="168"/>
      <c r="ZN22" s="166"/>
      <c r="ZO22" s="166"/>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165"/>
      <c r="AHW22" s="166"/>
      <c r="AHX22" s="166"/>
      <c r="AHY22" s="166"/>
      <c r="AHZ22" s="166"/>
      <c r="AIA22" s="167"/>
      <c r="AIB22" s="166"/>
      <c r="AIC22" s="166"/>
      <c r="AID22" s="166"/>
      <c r="AIE22" s="166"/>
      <c r="AIF22" s="166"/>
      <c r="AIG22" s="168"/>
      <c r="AIH22" s="166"/>
      <c r="AII22" s="166"/>
      <c r="AIJ22" s="166"/>
      <c r="AIK22" s="166"/>
      <c r="AIL22" s="166"/>
      <c r="AIM22" s="169"/>
      <c r="AIN22" s="166"/>
      <c r="AIO22" s="166"/>
      <c r="AIP22" s="166"/>
      <c r="AIQ22" s="166"/>
      <c r="AIR22" s="166"/>
      <c r="AIS22" s="168"/>
      <c r="AIT22" s="166"/>
      <c r="AIU22" s="166"/>
      <c r="AIV22" s="166"/>
      <c r="AIW22" s="166"/>
      <c r="AIX22" s="166"/>
      <c r="AIY22" s="169"/>
      <c r="AIZ22" s="166"/>
      <c r="AJA22" s="166"/>
      <c r="AJB22" s="166"/>
      <c r="AJC22" s="166"/>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165"/>
      <c r="ARC22" s="166"/>
      <c r="ARD22" s="166"/>
      <c r="ARE22" s="166"/>
      <c r="ARF22" s="166"/>
      <c r="ARG22" s="167"/>
      <c r="ARH22" s="166"/>
      <c r="ARI22" s="166"/>
      <c r="ARJ22" s="166"/>
      <c r="ARK22" s="166"/>
      <c r="ARL22" s="166"/>
      <c r="ARM22" s="168"/>
      <c r="ARN22" s="166"/>
      <c r="ARO22" s="166"/>
      <c r="ARP22" s="166"/>
      <c r="ARQ22" s="166"/>
      <c r="ARR22" s="166"/>
      <c r="ARS22" s="169"/>
      <c r="ART22" s="166"/>
      <c r="ARU22" s="166"/>
      <c r="ARV22" s="166"/>
      <c r="ARW22" s="166"/>
      <c r="ARX22" s="166"/>
      <c r="ARY22" s="168"/>
      <c r="ARZ22" s="166"/>
      <c r="ASA22" s="166"/>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165"/>
      <c r="ATK22" s="166"/>
      <c r="ATL22" s="166"/>
      <c r="ATM22" s="166"/>
      <c r="ATN22" s="166"/>
      <c r="ATO22" s="167"/>
      <c r="ATP22" s="166"/>
      <c r="ATQ22" s="166"/>
      <c r="ATR22" s="166"/>
      <c r="ATS22" s="166"/>
      <c r="ATT22" s="166"/>
      <c r="ATU22" s="168"/>
      <c r="ATV22" s="166"/>
      <c r="ATW22" s="166"/>
      <c r="ATX22" s="166"/>
      <c r="ATY22" s="166"/>
      <c r="ATZ22" s="166"/>
      <c r="AUA22" s="169"/>
      <c r="AUB22" s="166"/>
      <c r="AUC22" s="166"/>
      <c r="AUD22" s="166"/>
      <c r="AUE22" s="166"/>
      <c r="AUF22" s="166"/>
      <c r="AUG22" s="168"/>
      <c r="AUH22" s="166"/>
      <c r="AUI22" s="166"/>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165"/>
      <c r="AVS22" s="166"/>
      <c r="AVT22" s="166"/>
      <c r="AVU22" s="166"/>
      <c r="AVV22" s="166"/>
      <c r="AVW22" s="167"/>
      <c r="AVX22" s="166"/>
      <c r="AVY22" s="166"/>
      <c r="AVZ22" s="166"/>
      <c r="AWA22" s="166"/>
      <c r="AWB22" s="166"/>
      <c r="AWC22" s="168"/>
      <c r="AWD22" s="166"/>
      <c r="AWE22" s="166"/>
      <c r="AWF22" s="166"/>
      <c r="AWG22" s="166"/>
      <c r="AWH22" s="166"/>
      <c r="AWI22" s="169"/>
      <c r="AWJ22" s="166"/>
      <c r="AWK22" s="166"/>
      <c r="AWL22" s="166"/>
      <c r="AWM22" s="166"/>
      <c r="AWN22" s="166"/>
      <c r="AWO22" s="168"/>
      <c r="AWP22" s="166"/>
      <c r="AWQ22" s="166"/>
      <c r="AWR22" s="166"/>
      <c r="AWS22" s="166"/>
      <c r="AWT22" s="166"/>
      <c r="AWU22" s="169"/>
      <c r="AWV22" s="166"/>
      <c r="AWW22" s="166"/>
      <c r="AWX22" s="166"/>
      <c r="AWY22" s="166"/>
      <c r="AWZ22" s="166"/>
      <c r="AXA22" s="168"/>
      <c r="AXB22" s="166"/>
      <c r="AXC22" s="166"/>
      <c r="AXD22" s="166"/>
      <c r="AXE22" s="166"/>
      <c r="AXF22" s="166"/>
      <c r="AXG22" s="169"/>
      <c r="AXH22" s="166"/>
      <c r="AXI22" s="166"/>
      <c r="AXJ22" s="166"/>
      <c r="AXK22" s="166"/>
      <c r="AXL22" s="32"/>
      <c r="AXM22" s="121"/>
      <c r="AXN22" s="32"/>
      <c r="AXO22" s="32"/>
      <c r="AXP22" s="32"/>
      <c r="AXQ22" s="32"/>
      <c r="AXR22" s="32"/>
      <c r="AXS22" s="60"/>
      <c r="AXT22" s="32"/>
      <c r="AXU22" s="32"/>
      <c r="AXV22" s="32"/>
      <c r="AXW22" s="32"/>
      <c r="AXX22" s="32"/>
      <c r="AXY22" s="33"/>
      <c r="AXZ22" s="165"/>
      <c r="AYA22" s="166"/>
      <c r="AYB22" s="166"/>
      <c r="AYC22" s="166"/>
      <c r="AYD22" s="166"/>
      <c r="AYE22" s="167"/>
      <c r="AYF22" s="166"/>
      <c r="AYG22" s="166"/>
      <c r="AYH22" s="166"/>
      <c r="AYI22" s="166"/>
      <c r="AYJ22" s="166"/>
      <c r="AYK22" s="168"/>
      <c r="AYL22" s="166"/>
      <c r="AYM22" s="166"/>
      <c r="AYN22" s="166"/>
      <c r="AYO22" s="166"/>
      <c r="AYP22" s="166"/>
      <c r="AYQ22" s="169"/>
      <c r="AYR22" s="166"/>
      <c r="AYS22" s="166"/>
      <c r="AYT22" s="166"/>
      <c r="AYU22" s="166"/>
      <c r="AYV22" s="166"/>
      <c r="AYW22" s="168"/>
      <c r="AYX22" s="166"/>
      <c r="AYY22" s="166"/>
      <c r="AYZ22" s="166"/>
      <c r="AZA22" s="166"/>
      <c r="AZB22" s="166"/>
      <c r="AZC22" s="169"/>
      <c r="AZD22" s="166"/>
      <c r="AZE22" s="166"/>
      <c r="AZF22" s="166"/>
      <c r="AZG22" s="166"/>
      <c r="AZH22" s="166"/>
      <c r="AZI22" s="168"/>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166"/>
      <c r="BAM22" s="167"/>
      <c r="BAN22" s="166"/>
      <c r="BAO22" s="166"/>
      <c r="BAP22" s="166"/>
      <c r="BAQ22" s="166"/>
      <c r="BAR22" s="166"/>
      <c r="BAS22" s="168"/>
      <c r="BAT22" s="166"/>
      <c r="BAU22" s="166"/>
      <c r="BAV22" s="166"/>
      <c r="BAW22" s="166"/>
      <c r="BAX22" s="166"/>
      <c r="BAY22" s="169"/>
      <c r="BAZ22" s="166"/>
      <c r="BBA22" s="166"/>
      <c r="BBB22" s="166"/>
      <c r="BBC22" s="166"/>
      <c r="BBD22" s="166"/>
      <c r="BBE22" s="168"/>
      <c r="BBF22" s="166"/>
      <c r="BBG22" s="166"/>
      <c r="BBH22" s="166"/>
      <c r="BBI22" s="166"/>
      <c r="BBJ22" s="166"/>
      <c r="BBK22" s="169"/>
      <c r="BBL22" s="166"/>
      <c r="BBM22" s="166"/>
      <c r="BBN22" s="166"/>
      <c r="BBO22" s="166"/>
      <c r="BBP22" s="166"/>
      <c r="BBQ22" s="168"/>
      <c r="BBR22" s="166"/>
      <c r="BBS22" s="166"/>
      <c r="BBT22" s="166"/>
      <c r="BBU22" s="166"/>
      <c r="BBV22" s="166"/>
      <c r="BBW22" s="169"/>
      <c r="BBX22" s="166"/>
      <c r="BBY22" s="166"/>
      <c r="BBZ22" s="166"/>
      <c r="BCA22" s="166"/>
      <c r="BCB22" s="32"/>
      <c r="BCC22" s="121"/>
      <c r="BCD22" s="32"/>
      <c r="BCE22" s="32"/>
      <c r="BCF22" s="32"/>
      <c r="BCG22" s="32"/>
      <c r="BCH22" s="32"/>
      <c r="BCI22" s="60"/>
      <c r="BCJ22" s="32"/>
      <c r="BCK22" s="32"/>
      <c r="BCL22" s="32"/>
      <c r="BCM22" s="32"/>
      <c r="BCN22" s="32"/>
      <c r="BCO22" s="33"/>
      <c r="BCP22" s="165"/>
      <c r="BCQ22" s="166"/>
      <c r="BCR22" s="166"/>
      <c r="BCS22" s="166"/>
      <c r="BCT22" s="166"/>
      <c r="BCU22" s="167"/>
      <c r="BCV22" s="166"/>
      <c r="BCW22" s="166"/>
      <c r="BCX22" s="166"/>
      <c r="BCY22" s="166"/>
      <c r="BCZ22" s="166"/>
      <c r="BDA22" s="168"/>
      <c r="BDB22" s="166"/>
      <c r="BDC22" s="166"/>
      <c r="BDD22" s="166"/>
      <c r="BDE22" s="166"/>
      <c r="BDF22" s="166"/>
      <c r="BDG22" s="169"/>
      <c r="BDH22" s="166"/>
      <c r="BDI22" s="166"/>
      <c r="BDJ22" s="166"/>
      <c r="BDK22" s="166"/>
      <c r="BDL22" s="166"/>
      <c r="BDM22" s="168"/>
      <c r="BDN22" s="166"/>
      <c r="BDO22" s="166"/>
      <c r="BDP22" s="166"/>
      <c r="BDQ22" s="166"/>
      <c r="BDR22" s="166"/>
      <c r="BDS22" s="169"/>
      <c r="BDT22" s="166"/>
      <c r="BDU22" s="166"/>
      <c r="BDV22" s="166"/>
      <c r="BDW22" s="166"/>
      <c r="BDX22" s="166"/>
      <c r="BDY22" s="168"/>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165"/>
      <c r="BEY22" s="166"/>
      <c r="BEZ22" s="166"/>
      <c r="BFA22" s="166"/>
      <c r="BFB22" s="166"/>
      <c r="BFC22" s="167"/>
      <c r="BFD22" s="166"/>
      <c r="BFE22" s="166"/>
      <c r="BFF22" s="166"/>
      <c r="BFG22" s="166"/>
      <c r="BFH22" s="166"/>
      <c r="BFI22" s="168"/>
      <c r="BFJ22" s="166"/>
      <c r="BFK22" s="166"/>
      <c r="BFL22" s="166"/>
      <c r="BFM22" s="166"/>
      <c r="BFN22" s="166"/>
      <c r="BFO22" s="169"/>
      <c r="BFP22" s="166"/>
      <c r="BFQ22" s="166"/>
      <c r="BFR22" s="166"/>
      <c r="BFS22" s="166"/>
      <c r="BFT22" s="166"/>
      <c r="BFU22" s="168"/>
      <c r="BFV22" s="166"/>
      <c r="BFW22" s="166"/>
      <c r="BFX22" s="166"/>
      <c r="BFY22" s="166"/>
      <c r="BFZ22" s="166"/>
      <c r="BGA22" s="169"/>
      <c r="BGB22" s="166"/>
      <c r="BGC22" s="166"/>
      <c r="BGD22" s="166"/>
      <c r="BGE22" s="166"/>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165"/>
      <c r="BHG22" s="166"/>
      <c r="BHH22" s="166"/>
      <c r="BHI22" s="166"/>
      <c r="BHJ22" s="166"/>
      <c r="BHK22" s="167"/>
      <c r="BHL22" s="166"/>
      <c r="BHM22" s="166"/>
      <c r="BHN22" s="166"/>
      <c r="BHO22" s="166"/>
      <c r="BHP22" s="166"/>
      <c r="BHQ22" s="168"/>
      <c r="BHR22" s="166"/>
      <c r="BHS22" s="166"/>
      <c r="BHT22" s="166"/>
      <c r="BHU22" s="166"/>
      <c r="BHV22" s="166"/>
      <c r="BHW22" s="169"/>
      <c r="BHX22" s="166"/>
      <c r="BHY22" s="166"/>
      <c r="BHZ22" s="166"/>
      <c r="BIA22" s="166"/>
      <c r="BIB22" s="166"/>
      <c r="BIC22" s="168"/>
      <c r="BID22" s="166"/>
      <c r="BIE22" s="166"/>
      <c r="BIF22" s="166"/>
      <c r="BIG22" s="166"/>
      <c r="BIH22" s="166"/>
      <c r="BII22" s="169"/>
      <c r="BIJ22" s="166"/>
      <c r="BIK22" s="166"/>
      <c r="BIL22" s="166"/>
      <c r="BIM22" s="166"/>
      <c r="BIN22" s="166"/>
      <c r="BIO22" s="168"/>
      <c r="BIP22" s="166"/>
      <c r="BIQ22" s="166"/>
      <c r="BIR22" s="166"/>
      <c r="BIS22" s="166"/>
      <c r="BIT22" s="166"/>
      <c r="BIU22" s="169"/>
      <c r="BIV22" s="166"/>
      <c r="BIW22" s="166"/>
      <c r="BIX22" s="166"/>
      <c r="BIY22" s="166"/>
      <c r="BIZ22" s="32"/>
      <c r="BJA22" s="121"/>
      <c r="BJB22" s="32"/>
      <c r="BJC22" s="32"/>
      <c r="BJD22" s="32"/>
      <c r="BJE22" s="32"/>
      <c r="BJF22" s="32"/>
      <c r="BJG22" s="60"/>
      <c r="BJH22" s="32"/>
      <c r="BJI22" s="32"/>
      <c r="BJJ22" s="32"/>
      <c r="BJK22" s="32"/>
      <c r="BJL22" s="32"/>
      <c r="BJM22" s="33"/>
      <c r="BJN22" s="172"/>
      <c r="BJO22" s="173"/>
      <c r="BJP22" s="173"/>
      <c r="BJQ22" s="173"/>
      <c r="BJR22" s="173"/>
      <c r="BJS22" s="173"/>
      <c r="BJT22" s="173"/>
      <c r="BJU22" s="173"/>
      <c r="BJV22" s="173"/>
      <c r="BJW22" s="173"/>
      <c r="BJX22" s="173"/>
      <c r="BJY22" s="173"/>
      <c r="BJZ22" s="173"/>
      <c r="BKA22" s="173"/>
      <c r="BKB22" s="173"/>
      <c r="BKC22" s="173"/>
      <c r="BKD22" s="173"/>
      <c r="BKE22" s="173"/>
      <c r="BKF22" s="173"/>
      <c r="BKG22" s="173"/>
      <c r="BKH22" s="173"/>
      <c r="BKI22" s="173"/>
      <c r="BKJ22" s="173"/>
      <c r="BKK22" s="173"/>
      <c r="BKL22" s="173"/>
      <c r="BKM22" s="173"/>
      <c r="BKN22" s="4"/>
    </row>
    <row r="23" spans="1:1653" ht="20.100000000000001" customHeight="1" x14ac:dyDescent="0.25">
      <c r="A23" s="84" t="s">
        <v>19</v>
      </c>
      <c r="B23" s="53" t="str">
        <f>IF(LEN(C31)=0,"",C31)</f>
        <v>Réalisation - Authentification</v>
      </c>
      <c r="C23" s="177" t="s">
        <v>31</v>
      </c>
      <c r="D23" s="129" t="str">
        <f t="shared" si="0"/>
        <v>5h</v>
      </c>
      <c r="E23" s="34">
        <v>60</v>
      </c>
      <c r="F23" s="241"/>
      <c r="G23" s="242"/>
      <c r="H23" s="242"/>
      <c r="I23" s="242"/>
      <c r="J23" s="242"/>
      <c r="K23" s="243"/>
      <c r="L23" s="242"/>
      <c r="M23" s="242"/>
      <c r="N23" s="242"/>
      <c r="O23" s="242"/>
      <c r="P23" s="242"/>
      <c r="Q23" s="244"/>
      <c r="R23" s="153"/>
      <c r="S23" s="153"/>
      <c r="T23" s="153"/>
      <c r="U23" s="153"/>
      <c r="V23" s="153"/>
      <c r="W23" s="156"/>
      <c r="X23" s="153"/>
      <c r="Y23" s="153"/>
      <c r="Z23" s="153"/>
      <c r="AA23" s="153"/>
      <c r="AB23" s="153"/>
      <c r="AC23" s="154"/>
      <c r="AD23" s="153"/>
      <c r="AE23" s="153"/>
      <c r="AF23" s="153"/>
      <c r="AG23" s="153"/>
      <c r="AH23" s="153"/>
      <c r="AI23" s="156"/>
      <c r="AJ23" s="153"/>
      <c r="AK23" s="153"/>
      <c r="AL23" s="153"/>
      <c r="AM23" s="153"/>
      <c r="AN23" s="153"/>
      <c r="AO23" s="154"/>
      <c r="AP23" s="153"/>
      <c r="AQ23" s="153"/>
      <c r="AR23" s="153"/>
      <c r="AS23" s="153"/>
      <c r="AT23" s="153"/>
      <c r="AU23" s="156"/>
      <c r="AV23" s="153"/>
      <c r="AW23" s="153"/>
      <c r="AX23" s="153"/>
      <c r="AY23" s="153"/>
      <c r="AZ23" s="242"/>
      <c r="BA23" s="244"/>
      <c r="BB23" s="242"/>
      <c r="BC23" s="242"/>
      <c r="BD23" s="242"/>
      <c r="BE23" s="242"/>
      <c r="BF23" s="242"/>
      <c r="BG23" s="245"/>
      <c r="BH23" s="242"/>
      <c r="BI23" s="242"/>
      <c r="BJ23" s="242"/>
      <c r="BK23" s="242"/>
      <c r="BL23" s="242"/>
      <c r="BM23" s="246"/>
      <c r="BN23" s="148"/>
      <c r="BO23" s="153"/>
      <c r="BP23" s="153"/>
      <c r="BQ23" s="153"/>
      <c r="BR23" s="153"/>
      <c r="BS23" s="155"/>
      <c r="BT23" s="153"/>
      <c r="BU23" s="153"/>
      <c r="BV23" s="153"/>
      <c r="BW23" s="153"/>
      <c r="BX23" s="153"/>
      <c r="BY23" s="154"/>
      <c r="BZ23" s="153"/>
      <c r="CA23" s="153"/>
      <c r="CB23" s="153"/>
      <c r="CC23" s="153"/>
      <c r="CD23" s="153"/>
      <c r="CE23" s="156"/>
      <c r="CF23" s="153"/>
      <c r="CG23" s="153"/>
      <c r="CH23" s="153"/>
      <c r="CI23" s="153"/>
      <c r="CJ23" s="153"/>
      <c r="CK23" s="154"/>
      <c r="CL23" s="153"/>
      <c r="CM23" s="153"/>
      <c r="CN23" s="242"/>
      <c r="CO23" s="242"/>
      <c r="CP23" s="242"/>
      <c r="CQ23" s="245"/>
      <c r="CR23" s="242"/>
      <c r="CS23" s="242"/>
      <c r="CT23" s="242"/>
      <c r="CU23" s="242"/>
      <c r="CV23" s="242"/>
      <c r="CW23" s="244"/>
      <c r="CX23" s="242"/>
      <c r="CY23" s="242"/>
      <c r="CZ23" s="242"/>
      <c r="DA23" s="242"/>
      <c r="DB23" s="242"/>
      <c r="DC23" s="245"/>
      <c r="DD23" s="242"/>
      <c r="DE23" s="242"/>
      <c r="DF23" s="242"/>
      <c r="DG23" s="242"/>
      <c r="DH23" s="242"/>
      <c r="DI23" s="244"/>
      <c r="DJ23" s="242"/>
      <c r="DK23" s="242"/>
      <c r="DL23" s="242"/>
      <c r="DM23" s="242"/>
      <c r="DN23" s="242"/>
      <c r="DO23" s="245"/>
      <c r="DP23" s="242"/>
      <c r="DQ23" s="242"/>
      <c r="DR23" s="242"/>
      <c r="DS23" s="242"/>
      <c r="DT23" s="242"/>
      <c r="DU23" s="246"/>
      <c r="DV23" s="241"/>
      <c r="DW23" s="242"/>
      <c r="DX23" s="242"/>
      <c r="DY23" s="242"/>
      <c r="DZ23" s="242"/>
      <c r="EA23" s="243"/>
      <c r="EB23" s="242"/>
      <c r="EC23" s="242"/>
      <c r="ED23" s="242"/>
      <c r="EE23" s="242"/>
      <c r="EF23" s="242"/>
      <c r="EG23" s="244"/>
      <c r="EH23" s="242"/>
      <c r="EI23" s="242"/>
      <c r="EJ23" s="242"/>
      <c r="EK23" s="242"/>
      <c r="EL23" s="242"/>
      <c r="EM23" s="245"/>
      <c r="EN23" s="242"/>
      <c r="EO23" s="242"/>
      <c r="EP23" s="242"/>
      <c r="EQ23" s="242"/>
      <c r="ER23" s="242"/>
      <c r="ES23" s="244"/>
      <c r="ET23" s="242"/>
      <c r="EU23" s="242"/>
      <c r="EV23" s="242"/>
      <c r="EW23" s="242"/>
      <c r="EX23" s="242"/>
      <c r="EY23" s="245"/>
      <c r="EZ23" s="242"/>
      <c r="FA23" s="242"/>
      <c r="FB23" s="242"/>
      <c r="FC23" s="242"/>
      <c r="FD23" s="242"/>
      <c r="FE23" s="244"/>
      <c r="FF23" s="242"/>
      <c r="FG23" s="242"/>
      <c r="FH23" s="242"/>
      <c r="FI23" s="242"/>
      <c r="FJ23" s="242"/>
      <c r="FK23" s="245"/>
      <c r="FL23" s="242"/>
      <c r="FM23" s="242"/>
      <c r="FN23" s="242"/>
      <c r="FO23" s="242"/>
      <c r="FP23" s="242"/>
      <c r="FQ23" s="244"/>
      <c r="FR23" s="242"/>
      <c r="FS23" s="242"/>
      <c r="FT23" s="242"/>
      <c r="FU23" s="242"/>
      <c r="FV23" s="242"/>
      <c r="FW23" s="245"/>
      <c r="FX23" s="242"/>
      <c r="FY23" s="242"/>
      <c r="FZ23" s="242"/>
      <c r="GA23" s="242"/>
      <c r="GB23" s="242"/>
      <c r="GC23" s="246"/>
      <c r="GD23" s="241"/>
      <c r="GE23" s="242"/>
      <c r="GF23" s="242"/>
      <c r="GG23" s="242"/>
      <c r="GH23" s="242"/>
      <c r="GI23" s="243"/>
      <c r="GJ23" s="242"/>
      <c r="GK23" s="242"/>
      <c r="GL23" s="242"/>
      <c r="GM23" s="242"/>
      <c r="GN23" s="242"/>
      <c r="GO23" s="244"/>
      <c r="GP23" s="242"/>
      <c r="GQ23" s="242"/>
      <c r="GR23" s="242"/>
      <c r="GS23" s="242"/>
      <c r="GT23" s="242"/>
      <c r="GU23" s="245"/>
      <c r="GV23" s="242"/>
      <c r="GW23" s="242"/>
      <c r="GX23" s="242"/>
      <c r="GY23" s="242"/>
      <c r="GZ23" s="242"/>
      <c r="HA23" s="244"/>
      <c r="HB23" s="242"/>
      <c r="HC23" s="242"/>
      <c r="HD23" s="242"/>
      <c r="HE23" s="242"/>
      <c r="HF23" s="242"/>
      <c r="HG23" s="245"/>
      <c r="HH23" s="242"/>
      <c r="HI23" s="242"/>
      <c r="HJ23" s="242"/>
      <c r="HK23" s="242"/>
      <c r="HL23" s="242"/>
      <c r="HM23" s="244"/>
      <c r="HN23" s="242"/>
      <c r="HO23" s="242"/>
      <c r="HP23" s="242"/>
      <c r="HQ23" s="242"/>
      <c r="HR23" s="242"/>
      <c r="HS23" s="245"/>
      <c r="HT23" s="242"/>
      <c r="HU23" s="242"/>
      <c r="HV23" s="242"/>
      <c r="HW23" s="242"/>
      <c r="HX23" s="242"/>
      <c r="HY23" s="244"/>
      <c r="HZ23" s="242"/>
      <c r="IA23" s="242"/>
      <c r="IB23" s="242"/>
      <c r="IC23" s="242"/>
      <c r="ID23" s="242"/>
      <c r="IE23" s="245"/>
      <c r="IF23" s="242"/>
      <c r="IG23" s="242"/>
      <c r="IH23" s="242"/>
      <c r="II23" s="242"/>
      <c r="IJ23" s="242"/>
      <c r="IK23" s="246"/>
      <c r="IL23" s="241"/>
      <c r="IM23" s="242"/>
      <c r="IN23" s="242"/>
      <c r="IO23" s="242"/>
      <c r="IP23" s="242"/>
      <c r="IQ23" s="243"/>
      <c r="IR23" s="242"/>
      <c r="IS23" s="242"/>
      <c r="IT23" s="242"/>
      <c r="IU23" s="242"/>
      <c r="IV23" s="242"/>
      <c r="IW23" s="244"/>
      <c r="IX23" s="242"/>
      <c r="IY23" s="242"/>
      <c r="IZ23" s="242"/>
      <c r="JA23" s="242"/>
      <c r="JB23" s="242"/>
      <c r="JC23" s="245"/>
      <c r="JD23" s="242"/>
      <c r="JE23" s="242"/>
      <c r="JF23" s="242"/>
      <c r="JG23" s="242"/>
      <c r="JH23" s="242"/>
      <c r="JI23" s="244"/>
      <c r="JJ23" s="242"/>
      <c r="JK23" s="242"/>
      <c r="JL23" s="242"/>
      <c r="JM23" s="242"/>
      <c r="JN23" s="242"/>
      <c r="JO23" s="245"/>
      <c r="JP23" s="242"/>
      <c r="JQ23" s="242"/>
      <c r="JR23" s="242"/>
      <c r="JS23" s="242"/>
      <c r="JT23" s="242"/>
      <c r="JU23" s="244"/>
      <c r="JV23" s="242"/>
      <c r="JW23" s="242"/>
      <c r="JX23" s="242"/>
      <c r="JY23" s="242"/>
      <c r="JZ23" s="242"/>
      <c r="KA23" s="245"/>
      <c r="KB23" s="242"/>
      <c r="KC23" s="242"/>
      <c r="KD23" s="242"/>
      <c r="KE23" s="242"/>
      <c r="KF23" s="242"/>
      <c r="KG23" s="244"/>
      <c r="KH23" s="242"/>
      <c r="KI23" s="242"/>
      <c r="KJ23" s="242"/>
      <c r="KK23" s="242"/>
      <c r="KL23" s="242"/>
      <c r="KM23" s="245"/>
      <c r="KN23" s="242"/>
      <c r="KO23" s="242"/>
      <c r="KP23" s="242"/>
      <c r="KQ23" s="242"/>
      <c r="KR23" s="242"/>
      <c r="KS23" s="246"/>
      <c r="KT23" s="241"/>
      <c r="KU23" s="242"/>
      <c r="KV23" s="242"/>
      <c r="KW23" s="242"/>
      <c r="KX23" s="242"/>
      <c r="KY23" s="243"/>
      <c r="KZ23" s="242"/>
      <c r="LA23" s="242"/>
      <c r="LB23" s="242"/>
      <c r="LC23" s="242"/>
      <c r="LD23" s="242"/>
      <c r="LE23" s="244"/>
      <c r="LF23" s="242"/>
      <c r="LG23" s="242"/>
      <c r="LH23" s="242"/>
      <c r="LI23" s="242"/>
      <c r="LJ23" s="242"/>
      <c r="LK23" s="245"/>
      <c r="LL23" s="242"/>
      <c r="LM23" s="242"/>
      <c r="LN23" s="242"/>
      <c r="LO23" s="242"/>
      <c r="LP23" s="242"/>
      <c r="LQ23" s="244"/>
      <c r="LR23" s="242"/>
      <c r="LS23" s="242"/>
      <c r="LT23" s="242"/>
      <c r="LU23" s="242"/>
      <c r="LV23" s="242"/>
      <c r="LW23" s="245"/>
      <c r="LX23" s="242"/>
      <c r="LY23" s="242"/>
      <c r="LZ23" s="242"/>
      <c r="MA23" s="242"/>
      <c r="MB23" s="242"/>
      <c r="MC23" s="244"/>
      <c r="MD23" s="242"/>
      <c r="ME23" s="242"/>
      <c r="MF23" s="242"/>
      <c r="MG23" s="242"/>
      <c r="MH23" s="242"/>
      <c r="MI23" s="245"/>
      <c r="MJ23" s="242"/>
      <c r="MK23" s="242"/>
      <c r="ML23" s="242"/>
      <c r="MM23" s="242"/>
      <c r="MN23" s="242"/>
      <c r="MO23" s="244"/>
      <c r="MP23" s="242"/>
      <c r="MQ23" s="242"/>
      <c r="MR23" s="242"/>
      <c r="MS23" s="242"/>
      <c r="MT23" s="242"/>
      <c r="MU23" s="245"/>
      <c r="MV23" s="242"/>
      <c r="MW23" s="242"/>
      <c r="MX23" s="242"/>
      <c r="MY23" s="242"/>
      <c r="MZ23" s="242"/>
      <c r="NA23" s="246"/>
      <c r="NB23" s="241"/>
      <c r="NC23" s="242"/>
      <c r="ND23" s="242"/>
      <c r="NE23" s="242"/>
      <c r="NF23" s="242"/>
      <c r="NG23" s="243"/>
      <c r="NH23" s="242"/>
      <c r="NI23" s="242"/>
      <c r="NJ23" s="242"/>
      <c r="NK23" s="242"/>
      <c r="NL23" s="242"/>
      <c r="NM23" s="244"/>
      <c r="NN23" s="242"/>
      <c r="NO23" s="242"/>
      <c r="NP23" s="242"/>
      <c r="NQ23" s="242"/>
      <c r="NR23" s="242"/>
      <c r="NS23" s="245"/>
      <c r="NT23" s="242"/>
      <c r="NU23" s="242"/>
      <c r="NV23" s="242"/>
      <c r="NW23" s="242"/>
      <c r="NX23" s="242"/>
      <c r="NY23" s="244"/>
      <c r="NZ23" s="242"/>
      <c r="OA23" s="242"/>
      <c r="OB23" s="242"/>
      <c r="OC23" s="242"/>
      <c r="OD23" s="242"/>
      <c r="OE23" s="245"/>
      <c r="OF23" s="242"/>
      <c r="OG23" s="242"/>
      <c r="OH23" s="242"/>
      <c r="OI23" s="242"/>
      <c r="OJ23" s="242"/>
      <c r="OK23" s="244"/>
      <c r="OL23" s="242"/>
      <c r="OM23" s="242"/>
      <c r="ON23" s="242"/>
      <c r="OO23" s="242"/>
      <c r="OP23" s="242"/>
      <c r="OQ23" s="245"/>
      <c r="OR23" s="242"/>
      <c r="OS23" s="242"/>
      <c r="OT23" s="242"/>
      <c r="OU23" s="242"/>
      <c r="OV23" s="242"/>
      <c r="OW23" s="244"/>
      <c r="OX23" s="242"/>
      <c r="OY23" s="242"/>
      <c r="OZ23" s="242"/>
      <c r="PA23" s="242"/>
      <c r="PB23" s="242"/>
      <c r="PC23" s="245"/>
      <c r="PD23" s="242"/>
      <c r="PE23" s="242"/>
      <c r="PF23" s="242"/>
      <c r="PG23" s="242"/>
      <c r="PH23" s="242"/>
      <c r="PI23" s="246"/>
      <c r="PJ23" s="241"/>
      <c r="PK23" s="242"/>
      <c r="PL23" s="242"/>
      <c r="PM23" s="242"/>
      <c r="PN23" s="242"/>
      <c r="PO23" s="243"/>
      <c r="PP23" s="242"/>
      <c r="PQ23" s="242"/>
      <c r="PR23" s="242"/>
      <c r="PS23" s="242"/>
      <c r="PT23" s="242"/>
      <c r="PU23" s="244"/>
      <c r="PV23" s="242"/>
      <c r="PW23" s="242"/>
      <c r="PX23" s="242"/>
      <c r="PY23" s="242"/>
      <c r="PZ23" s="242"/>
      <c r="QA23" s="245"/>
      <c r="QB23" s="242"/>
      <c r="QC23" s="242"/>
      <c r="QD23" s="242"/>
      <c r="QE23" s="242"/>
      <c r="QF23" s="242"/>
      <c r="QG23" s="244"/>
      <c r="QH23" s="242"/>
      <c r="QI23" s="242"/>
      <c r="QJ23" s="242"/>
      <c r="QK23" s="242"/>
      <c r="QL23" s="242"/>
      <c r="QM23" s="245"/>
      <c r="QN23" s="242"/>
      <c r="QO23" s="242"/>
      <c r="QP23" s="242"/>
      <c r="QQ23" s="242"/>
      <c r="QR23" s="242"/>
      <c r="QS23" s="244"/>
      <c r="QT23" s="242"/>
      <c r="QU23" s="242"/>
      <c r="QV23" s="242"/>
      <c r="QW23" s="242"/>
      <c r="QX23" s="242"/>
      <c r="QY23" s="245"/>
      <c r="QZ23" s="242"/>
      <c r="RA23" s="242"/>
      <c r="RB23" s="242"/>
      <c r="RC23" s="242"/>
      <c r="RD23" s="242"/>
      <c r="RE23" s="244"/>
      <c r="RF23" s="242"/>
      <c r="RG23" s="242"/>
      <c r="RH23" s="242"/>
      <c r="RI23" s="242"/>
      <c r="RJ23" s="242"/>
      <c r="RK23" s="245"/>
      <c r="RL23" s="242"/>
      <c r="RM23" s="242"/>
      <c r="RN23" s="242"/>
      <c r="RO23" s="242"/>
      <c r="RP23" s="242"/>
      <c r="RQ23" s="246"/>
      <c r="RR23" s="241"/>
      <c r="RS23" s="242"/>
      <c r="RT23" s="242"/>
      <c r="RU23" s="242"/>
      <c r="RV23" s="242"/>
      <c r="RW23" s="243"/>
      <c r="RX23" s="242"/>
      <c r="RY23" s="242"/>
      <c r="RZ23" s="242"/>
      <c r="SA23" s="242"/>
      <c r="SB23" s="242"/>
      <c r="SC23" s="244"/>
      <c r="SD23" s="242"/>
      <c r="SE23" s="242"/>
      <c r="SF23" s="242"/>
      <c r="SG23" s="242"/>
      <c r="SH23" s="242"/>
      <c r="SI23" s="245"/>
      <c r="SJ23" s="242"/>
      <c r="SK23" s="242"/>
      <c r="SL23" s="242"/>
      <c r="SM23" s="242"/>
      <c r="SN23" s="242"/>
      <c r="SO23" s="244"/>
      <c r="SP23" s="242"/>
      <c r="SQ23" s="242"/>
      <c r="SR23" s="242"/>
      <c r="SS23" s="242"/>
      <c r="ST23" s="242"/>
      <c r="SU23" s="245"/>
      <c r="SV23" s="242"/>
      <c r="SW23" s="242"/>
      <c r="SX23" s="242"/>
      <c r="SY23" s="242"/>
      <c r="SZ23" s="242"/>
      <c r="TA23" s="244"/>
      <c r="TB23" s="242"/>
      <c r="TC23" s="242"/>
      <c r="TD23" s="242"/>
      <c r="TE23" s="242"/>
      <c r="TF23" s="242"/>
      <c r="TG23" s="245"/>
      <c r="TH23" s="242"/>
      <c r="TI23" s="242"/>
      <c r="TJ23" s="242"/>
      <c r="TK23" s="242"/>
      <c r="TL23" s="242"/>
      <c r="TM23" s="244"/>
      <c r="TN23" s="242"/>
      <c r="TO23" s="242"/>
      <c r="TP23" s="242"/>
      <c r="TQ23" s="242"/>
      <c r="TR23" s="242"/>
      <c r="TS23" s="245"/>
      <c r="TT23" s="242"/>
      <c r="TU23" s="242"/>
      <c r="TV23" s="242"/>
      <c r="TW23" s="242"/>
      <c r="TX23" s="242"/>
      <c r="TY23" s="246"/>
      <c r="TZ23" s="241"/>
      <c r="UA23" s="242"/>
      <c r="UB23" s="242"/>
      <c r="UC23" s="242"/>
      <c r="UD23" s="242"/>
      <c r="UE23" s="243"/>
      <c r="UF23" s="242"/>
      <c r="UG23" s="242"/>
      <c r="UH23" s="242"/>
      <c r="UI23" s="242"/>
      <c r="UJ23" s="242"/>
      <c r="UK23" s="244"/>
      <c r="UL23" s="242"/>
      <c r="UM23" s="242"/>
      <c r="UN23" s="242"/>
      <c r="UO23" s="242"/>
      <c r="UP23" s="242"/>
      <c r="UQ23" s="245"/>
      <c r="UR23" s="242"/>
      <c r="US23" s="242"/>
      <c r="UT23" s="242"/>
      <c r="UU23" s="242"/>
      <c r="UV23" s="242"/>
      <c r="UW23" s="244"/>
      <c r="UX23" s="242"/>
      <c r="UY23" s="242"/>
      <c r="UZ23" s="242"/>
      <c r="VA23" s="242"/>
      <c r="VB23" s="242"/>
      <c r="VC23" s="245"/>
      <c r="VD23" s="242"/>
      <c r="VE23" s="242"/>
      <c r="VF23" s="242"/>
      <c r="VG23" s="242"/>
      <c r="VH23" s="242"/>
      <c r="VI23" s="244"/>
      <c r="VJ23" s="242"/>
      <c r="VK23" s="242"/>
      <c r="VL23" s="242"/>
      <c r="VM23" s="242"/>
      <c r="VN23" s="242"/>
      <c r="VO23" s="245"/>
      <c r="VP23" s="242"/>
      <c r="VQ23" s="242"/>
      <c r="VR23" s="242"/>
      <c r="VS23" s="242"/>
      <c r="VT23" s="242"/>
      <c r="VU23" s="244"/>
      <c r="VV23" s="242"/>
      <c r="VW23" s="242"/>
      <c r="VX23" s="242"/>
      <c r="VY23" s="242"/>
      <c r="VZ23" s="242"/>
      <c r="WA23" s="245"/>
      <c r="WB23" s="242"/>
      <c r="WC23" s="242"/>
      <c r="WD23" s="242"/>
      <c r="WE23" s="242"/>
      <c r="WF23" s="242"/>
      <c r="WG23" s="246"/>
      <c r="WH23" s="241"/>
      <c r="WI23" s="242"/>
      <c r="WJ23" s="242"/>
      <c r="WK23" s="242"/>
      <c r="WL23" s="242"/>
      <c r="WM23" s="243"/>
      <c r="WN23" s="242"/>
      <c r="WO23" s="242"/>
      <c r="WP23" s="242"/>
      <c r="WQ23" s="242"/>
      <c r="WR23" s="242"/>
      <c r="WS23" s="244"/>
      <c r="WT23" s="242"/>
      <c r="WU23" s="242"/>
      <c r="WV23" s="242"/>
      <c r="WW23" s="242"/>
      <c r="WX23" s="242"/>
      <c r="WY23" s="245"/>
      <c r="WZ23" s="242"/>
      <c r="XA23" s="242"/>
      <c r="XB23" s="242"/>
      <c r="XC23" s="242"/>
      <c r="XD23" s="242"/>
      <c r="XE23" s="244"/>
      <c r="XF23" s="242"/>
      <c r="XG23" s="242"/>
      <c r="XH23" s="242"/>
      <c r="XI23" s="242"/>
      <c r="XJ23" s="242"/>
      <c r="XK23" s="245"/>
      <c r="XL23" s="242"/>
      <c r="XM23" s="242"/>
      <c r="XN23" s="242"/>
      <c r="XO23" s="242"/>
      <c r="XP23" s="242"/>
      <c r="XQ23" s="244"/>
      <c r="XR23" s="242"/>
      <c r="XS23" s="242"/>
      <c r="XT23" s="242"/>
      <c r="XU23" s="242"/>
      <c r="XV23" s="242"/>
      <c r="XW23" s="245"/>
      <c r="XX23" s="242"/>
      <c r="XY23" s="242"/>
      <c r="XZ23" s="242"/>
      <c r="YA23" s="242"/>
      <c r="YB23" s="242"/>
      <c r="YC23" s="244"/>
      <c r="YD23" s="242"/>
      <c r="YE23" s="242"/>
      <c r="YF23" s="242"/>
      <c r="YG23" s="242"/>
      <c r="YH23" s="242"/>
      <c r="YI23" s="245"/>
      <c r="YJ23" s="242"/>
      <c r="YK23" s="242"/>
      <c r="YL23" s="242"/>
      <c r="YM23" s="242"/>
      <c r="YN23" s="242"/>
      <c r="YO23" s="246"/>
      <c r="YP23" s="241"/>
      <c r="YQ23" s="242"/>
      <c r="YR23" s="242"/>
      <c r="YS23" s="242"/>
      <c r="YT23" s="242"/>
      <c r="YU23" s="243"/>
      <c r="YV23" s="242"/>
      <c r="YW23" s="242"/>
      <c r="YX23" s="242"/>
      <c r="YY23" s="242"/>
      <c r="YZ23" s="242"/>
      <c r="ZA23" s="244"/>
      <c r="ZB23" s="242"/>
      <c r="ZC23" s="242"/>
      <c r="ZD23" s="242"/>
      <c r="ZE23" s="242"/>
      <c r="ZF23" s="242"/>
      <c r="ZG23" s="245"/>
      <c r="ZH23" s="242"/>
      <c r="ZI23" s="242"/>
      <c r="ZJ23" s="242"/>
      <c r="ZK23" s="242"/>
      <c r="ZL23" s="242"/>
      <c r="ZM23" s="244"/>
      <c r="ZN23" s="242"/>
      <c r="ZO23" s="242"/>
      <c r="ZP23" s="242"/>
      <c r="ZQ23" s="242"/>
      <c r="ZR23" s="242"/>
      <c r="ZS23" s="245"/>
      <c r="ZT23" s="242"/>
      <c r="ZU23" s="242"/>
      <c r="ZV23" s="242"/>
      <c r="ZW23" s="242"/>
      <c r="ZX23" s="242"/>
      <c r="ZY23" s="244"/>
      <c r="ZZ23" s="242"/>
      <c r="AAA23" s="242"/>
      <c r="AAB23" s="242"/>
      <c r="AAC23" s="242"/>
      <c r="AAD23" s="242"/>
      <c r="AAE23" s="245"/>
      <c r="AAF23" s="242"/>
      <c r="AAG23" s="242"/>
      <c r="AAH23" s="242"/>
      <c r="AAI23" s="242"/>
      <c r="AAJ23" s="242"/>
      <c r="AAK23" s="244"/>
      <c r="AAL23" s="242"/>
      <c r="AAM23" s="242"/>
      <c r="AAN23" s="242"/>
      <c r="AAO23" s="242"/>
      <c r="AAP23" s="242"/>
      <c r="AAQ23" s="245"/>
      <c r="AAR23" s="242"/>
      <c r="AAS23" s="242"/>
      <c r="AAT23" s="242"/>
      <c r="AAU23" s="242"/>
      <c r="AAV23" s="242"/>
      <c r="AAW23" s="246"/>
      <c r="AAX23" s="241"/>
      <c r="AAY23" s="242"/>
      <c r="AAZ23" s="242"/>
      <c r="ABA23" s="242"/>
      <c r="ABB23" s="242"/>
      <c r="ABC23" s="243"/>
      <c r="ABD23" s="242"/>
      <c r="ABE23" s="242"/>
      <c r="ABF23" s="242"/>
      <c r="ABG23" s="242"/>
      <c r="ABH23" s="242"/>
      <c r="ABI23" s="244"/>
      <c r="ABJ23" s="242"/>
      <c r="ABK23" s="242"/>
      <c r="ABL23" s="242"/>
      <c r="ABM23" s="242"/>
      <c r="ABN23" s="242"/>
      <c r="ABO23" s="245"/>
      <c r="ABP23" s="242"/>
      <c r="ABQ23" s="242"/>
      <c r="ABR23" s="242"/>
      <c r="ABS23" s="242"/>
      <c r="ABT23" s="242"/>
      <c r="ABU23" s="244"/>
      <c r="ABV23" s="242"/>
      <c r="ABW23" s="242"/>
      <c r="ABX23" s="242"/>
      <c r="ABY23" s="242"/>
      <c r="ABZ23" s="242"/>
      <c r="ACA23" s="245"/>
      <c r="ACB23" s="242"/>
      <c r="ACC23" s="242"/>
      <c r="ACD23" s="242"/>
      <c r="ACE23" s="242"/>
      <c r="ACF23" s="242"/>
      <c r="ACG23" s="244"/>
      <c r="ACH23" s="242"/>
      <c r="ACI23" s="242"/>
      <c r="ACJ23" s="242"/>
      <c r="ACK23" s="242"/>
      <c r="ACL23" s="242"/>
      <c r="ACM23" s="245"/>
      <c r="ACN23" s="242"/>
      <c r="ACO23" s="242"/>
      <c r="ACP23" s="242"/>
      <c r="ACQ23" s="242"/>
      <c r="ACR23" s="242"/>
      <c r="ACS23" s="244"/>
      <c r="ACT23" s="242"/>
      <c r="ACU23" s="242"/>
      <c r="ACV23" s="242"/>
      <c r="ACW23" s="242"/>
      <c r="ACX23" s="242"/>
      <c r="ACY23" s="245"/>
      <c r="ACZ23" s="242"/>
      <c r="ADA23" s="242"/>
      <c r="ADB23" s="242"/>
      <c r="ADC23" s="242"/>
      <c r="ADD23" s="242"/>
      <c r="ADE23" s="246"/>
      <c r="ADF23" s="241"/>
      <c r="ADG23" s="242"/>
      <c r="ADH23" s="242"/>
      <c r="ADI23" s="242"/>
      <c r="ADJ23" s="242"/>
      <c r="ADK23" s="243"/>
      <c r="ADL23" s="242"/>
      <c r="ADM23" s="242"/>
      <c r="ADN23" s="242"/>
      <c r="ADO23" s="242"/>
      <c r="ADP23" s="242"/>
      <c r="ADQ23" s="244"/>
      <c r="ADR23" s="242"/>
      <c r="ADS23" s="242"/>
      <c r="ADT23" s="242"/>
      <c r="ADU23" s="242"/>
      <c r="ADV23" s="242"/>
      <c r="ADW23" s="245"/>
      <c r="ADX23" s="242"/>
      <c r="ADY23" s="242"/>
      <c r="ADZ23" s="242"/>
      <c r="AEA23" s="242"/>
      <c r="AEB23" s="242"/>
      <c r="AEC23" s="244"/>
      <c r="AED23" s="242"/>
      <c r="AEE23" s="242"/>
      <c r="AEF23" s="242"/>
      <c r="AEG23" s="242"/>
      <c r="AEH23" s="242"/>
      <c r="AEI23" s="245"/>
      <c r="AEJ23" s="242"/>
      <c r="AEK23" s="242"/>
      <c r="AEL23" s="242"/>
      <c r="AEM23" s="242"/>
      <c r="AEN23" s="242"/>
      <c r="AEO23" s="244"/>
      <c r="AEP23" s="242"/>
      <c r="AEQ23" s="242"/>
      <c r="AER23" s="242"/>
      <c r="AES23" s="242"/>
      <c r="AET23" s="242"/>
      <c r="AEU23" s="245"/>
      <c r="AEV23" s="242"/>
      <c r="AEW23" s="242"/>
      <c r="AEX23" s="242"/>
      <c r="AEY23" s="242"/>
      <c r="AEZ23" s="242"/>
      <c r="AFA23" s="244"/>
      <c r="AFB23" s="242"/>
      <c r="AFC23" s="242"/>
      <c r="AFD23" s="242"/>
      <c r="AFE23" s="242"/>
      <c r="AFF23" s="242"/>
      <c r="AFG23" s="245"/>
      <c r="AFH23" s="242"/>
      <c r="AFI23" s="242"/>
      <c r="AFJ23" s="242"/>
      <c r="AFK23" s="242"/>
      <c r="AFL23" s="242"/>
      <c r="AFM23" s="246"/>
      <c r="AFN23" s="241"/>
      <c r="AFO23" s="242"/>
      <c r="AFP23" s="242"/>
      <c r="AFQ23" s="242"/>
      <c r="AFR23" s="242"/>
      <c r="AFS23" s="243"/>
      <c r="AFT23" s="242"/>
      <c r="AFU23" s="242"/>
      <c r="AFV23" s="242"/>
      <c r="AFW23" s="242"/>
      <c r="AFX23" s="242"/>
      <c r="AFY23" s="244"/>
      <c r="AFZ23" s="242"/>
      <c r="AGA23" s="242"/>
      <c r="AGB23" s="242"/>
      <c r="AGC23" s="242"/>
      <c r="AGD23" s="242"/>
      <c r="AGE23" s="245"/>
      <c r="AGF23" s="242"/>
      <c r="AGG23" s="242"/>
      <c r="AGH23" s="242"/>
      <c r="AGI23" s="242"/>
      <c r="AGJ23" s="242"/>
      <c r="AGK23" s="244"/>
      <c r="AGL23" s="242"/>
      <c r="AGM23" s="242"/>
      <c r="AGN23" s="242"/>
      <c r="AGO23" s="242"/>
      <c r="AGP23" s="242"/>
      <c r="AGQ23" s="245"/>
      <c r="AGR23" s="242"/>
      <c r="AGS23" s="242"/>
      <c r="AGT23" s="242"/>
      <c r="AGU23" s="242"/>
      <c r="AGV23" s="242"/>
      <c r="AGW23" s="244"/>
      <c r="AGX23" s="242"/>
      <c r="AGY23" s="242"/>
      <c r="AGZ23" s="242"/>
      <c r="AHA23" s="242"/>
      <c r="AHB23" s="242"/>
      <c r="AHC23" s="245"/>
      <c r="AHD23" s="242"/>
      <c r="AHE23" s="242"/>
      <c r="AHF23" s="242"/>
      <c r="AHG23" s="242"/>
      <c r="AHH23" s="242"/>
      <c r="AHI23" s="244"/>
      <c r="AHJ23" s="242"/>
      <c r="AHK23" s="242"/>
      <c r="AHL23" s="242"/>
      <c r="AHM23" s="242"/>
      <c r="AHN23" s="242"/>
      <c r="AHO23" s="245"/>
      <c r="AHP23" s="242"/>
      <c r="AHQ23" s="242"/>
      <c r="AHR23" s="242"/>
      <c r="AHS23" s="242"/>
      <c r="AHT23" s="242"/>
      <c r="AHU23" s="246"/>
      <c r="AHV23" s="241"/>
      <c r="AHW23" s="242"/>
      <c r="AHX23" s="242"/>
      <c r="AHY23" s="242"/>
      <c r="AHZ23" s="242"/>
      <c r="AIA23" s="243"/>
      <c r="AIB23" s="242"/>
      <c r="AIC23" s="242"/>
      <c r="AID23" s="242"/>
      <c r="AIE23" s="242"/>
      <c r="AIF23" s="242"/>
      <c r="AIG23" s="244"/>
      <c r="AIH23" s="242"/>
      <c r="AII23" s="242"/>
      <c r="AIJ23" s="242"/>
      <c r="AIK23" s="242"/>
      <c r="AIL23" s="242"/>
      <c r="AIM23" s="245"/>
      <c r="AIN23" s="242"/>
      <c r="AIO23" s="242"/>
      <c r="AIP23" s="242"/>
      <c r="AIQ23" s="242"/>
      <c r="AIR23" s="242"/>
      <c r="AIS23" s="244"/>
      <c r="AIT23" s="242"/>
      <c r="AIU23" s="242"/>
      <c r="AIV23" s="242"/>
      <c r="AIW23" s="242"/>
      <c r="AIX23" s="242"/>
      <c r="AIY23" s="245"/>
      <c r="AIZ23" s="242"/>
      <c r="AJA23" s="242"/>
      <c r="AJB23" s="242"/>
      <c r="AJC23" s="242"/>
      <c r="AJD23" s="242"/>
      <c r="AJE23" s="244"/>
      <c r="AJF23" s="242"/>
      <c r="AJG23" s="242"/>
      <c r="AJH23" s="242"/>
      <c r="AJI23" s="242"/>
      <c r="AJJ23" s="242"/>
      <c r="AJK23" s="245"/>
      <c r="AJL23" s="242"/>
      <c r="AJM23" s="242"/>
      <c r="AJN23" s="242"/>
      <c r="AJO23" s="242"/>
      <c r="AJP23" s="242"/>
      <c r="AJQ23" s="244"/>
      <c r="AJR23" s="242"/>
      <c r="AJS23" s="242"/>
      <c r="AJT23" s="242"/>
      <c r="AJU23" s="242"/>
      <c r="AJV23" s="242"/>
      <c r="AJW23" s="245"/>
      <c r="AJX23" s="242"/>
      <c r="AJY23" s="242"/>
      <c r="AJZ23" s="242"/>
      <c r="AKA23" s="242"/>
      <c r="AKB23" s="242"/>
      <c r="AKC23" s="246"/>
      <c r="AKD23" s="241"/>
      <c r="AKE23" s="242"/>
      <c r="AKF23" s="242"/>
      <c r="AKG23" s="242"/>
      <c r="AKH23" s="242"/>
      <c r="AKI23" s="243"/>
      <c r="AKJ23" s="242"/>
      <c r="AKK23" s="242"/>
      <c r="AKL23" s="242"/>
      <c r="AKM23" s="242"/>
      <c r="AKN23" s="242"/>
      <c r="AKO23" s="244"/>
      <c r="AKP23" s="242"/>
      <c r="AKQ23" s="242"/>
      <c r="AKR23" s="242"/>
      <c r="AKS23" s="242"/>
      <c r="AKT23" s="242"/>
      <c r="AKU23" s="245"/>
      <c r="AKV23" s="242"/>
      <c r="AKW23" s="242"/>
      <c r="AKX23" s="242"/>
      <c r="AKY23" s="242"/>
      <c r="AKZ23" s="242"/>
      <c r="ALA23" s="244"/>
      <c r="ALB23" s="242"/>
      <c r="ALC23" s="242"/>
      <c r="ALD23" s="242"/>
      <c r="ALE23" s="242"/>
      <c r="ALF23" s="242"/>
      <c r="ALG23" s="245"/>
      <c r="ALH23" s="242"/>
      <c r="ALI23" s="242"/>
      <c r="ALJ23" s="242"/>
      <c r="ALK23" s="242"/>
      <c r="ALL23" s="242"/>
      <c r="ALM23" s="244"/>
      <c r="ALN23" s="242"/>
      <c r="ALO23" s="242"/>
      <c r="ALP23" s="242"/>
      <c r="ALQ23" s="242"/>
      <c r="ALR23" s="242"/>
      <c r="ALS23" s="245"/>
      <c r="ALT23" s="242"/>
      <c r="ALU23" s="242"/>
      <c r="ALV23" s="242"/>
      <c r="ALW23" s="242"/>
      <c r="ALX23" s="242"/>
      <c r="ALY23" s="244"/>
      <c r="ALZ23" s="242"/>
      <c r="AMA23" s="242"/>
      <c r="AMB23" s="242"/>
      <c r="AMC23" s="242"/>
      <c r="AMD23" s="242"/>
      <c r="AME23" s="245"/>
      <c r="AMF23" s="242"/>
      <c r="AMG23" s="242"/>
      <c r="AMH23" s="242"/>
      <c r="AMI23" s="242"/>
      <c r="AMJ23" s="242"/>
      <c r="AMK23" s="246"/>
      <c r="AML23" s="241"/>
      <c r="AMM23" s="242"/>
      <c r="AMN23" s="242"/>
      <c r="AMO23" s="242"/>
      <c r="AMP23" s="242"/>
      <c r="AMQ23" s="243"/>
      <c r="AMR23" s="242"/>
      <c r="AMS23" s="242"/>
      <c r="AMT23" s="242"/>
      <c r="AMU23" s="242"/>
      <c r="AMV23" s="242"/>
      <c r="AMW23" s="244"/>
      <c r="AMX23" s="242"/>
      <c r="AMY23" s="242"/>
      <c r="AMZ23" s="242"/>
      <c r="ANA23" s="242"/>
      <c r="ANB23" s="242"/>
      <c r="ANC23" s="245"/>
      <c r="AND23" s="242"/>
      <c r="ANE23" s="242"/>
      <c r="ANF23" s="242"/>
      <c r="ANG23" s="242"/>
      <c r="ANH23" s="242"/>
      <c r="ANI23" s="244"/>
      <c r="ANJ23" s="242"/>
      <c r="ANK23" s="242"/>
      <c r="ANL23" s="242"/>
      <c r="ANM23" s="242"/>
      <c r="ANN23" s="242"/>
      <c r="ANO23" s="245"/>
      <c r="ANP23" s="242"/>
      <c r="ANQ23" s="242"/>
      <c r="ANR23" s="242"/>
      <c r="ANS23" s="242"/>
      <c r="ANT23" s="242"/>
      <c r="ANU23" s="244"/>
      <c r="ANV23" s="242"/>
      <c r="ANW23" s="242"/>
      <c r="ANX23" s="242"/>
      <c r="ANY23" s="242"/>
      <c r="ANZ23" s="242"/>
      <c r="AOA23" s="245"/>
      <c r="AOB23" s="242"/>
      <c r="AOC23" s="242"/>
      <c r="AOD23" s="242"/>
      <c r="AOE23" s="242"/>
      <c r="AOF23" s="242"/>
      <c r="AOG23" s="244"/>
      <c r="AOH23" s="242"/>
      <c r="AOI23" s="242"/>
      <c r="AOJ23" s="242"/>
      <c r="AOK23" s="242"/>
      <c r="AOL23" s="242"/>
      <c r="AOM23" s="245"/>
      <c r="AON23" s="242"/>
      <c r="AOO23" s="242"/>
      <c r="AOP23" s="242"/>
      <c r="AOQ23" s="242"/>
      <c r="AOR23" s="242"/>
      <c r="AOS23" s="246"/>
      <c r="AOT23" s="241"/>
      <c r="AOU23" s="242"/>
      <c r="AOV23" s="242"/>
      <c r="AOW23" s="242"/>
      <c r="AOX23" s="242"/>
      <c r="AOY23" s="243"/>
      <c r="AOZ23" s="242"/>
      <c r="APA23" s="242"/>
      <c r="APB23" s="242"/>
      <c r="APC23" s="242"/>
      <c r="APD23" s="242"/>
      <c r="APE23" s="244"/>
      <c r="APF23" s="242"/>
      <c r="APG23" s="242"/>
      <c r="APH23" s="242"/>
      <c r="API23" s="242"/>
      <c r="APJ23" s="242"/>
      <c r="APK23" s="245"/>
      <c r="APL23" s="242"/>
      <c r="APM23" s="242"/>
      <c r="APN23" s="242"/>
      <c r="APO23" s="242"/>
      <c r="APP23" s="242"/>
      <c r="APQ23" s="244"/>
      <c r="APR23" s="242"/>
      <c r="APS23" s="242"/>
      <c r="APT23" s="242"/>
      <c r="APU23" s="242"/>
      <c r="APV23" s="242"/>
      <c r="APW23" s="245"/>
      <c r="APX23" s="242"/>
      <c r="APY23" s="242"/>
      <c r="APZ23" s="242"/>
      <c r="AQA23" s="242"/>
      <c r="AQB23" s="242"/>
      <c r="AQC23" s="244"/>
      <c r="AQD23" s="242"/>
      <c r="AQE23" s="242"/>
      <c r="AQF23" s="242"/>
      <c r="AQG23" s="242"/>
      <c r="AQH23" s="242"/>
      <c r="AQI23" s="245"/>
      <c r="AQJ23" s="242"/>
      <c r="AQK23" s="242"/>
      <c r="AQL23" s="242"/>
      <c r="AQM23" s="242"/>
      <c r="AQN23" s="242"/>
      <c r="AQO23" s="244"/>
      <c r="AQP23" s="242"/>
      <c r="AQQ23" s="242"/>
      <c r="AQR23" s="242"/>
      <c r="AQS23" s="242"/>
      <c r="AQT23" s="242"/>
      <c r="AQU23" s="245"/>
      <c r="AQV23" s="242"/>
      <c r="AQW23" s="242"/>
      <c r="AQX23" s="242"/>
      <c r="AQY23" s="242"/>
      <c r="AQZ23" s="242"/>
      <c r="ARA23" s="246"/>
      <c r="ARB23" s="241"/>
      <c r="ARC23" s="242"/>
      <c r="ARD23" s="242"/>
      <c r="ARE23" s="242"/>
      <c r="ARF23" s="242"/>
      <c r="ARG23" s="243"/>
      <c r="ARH23" s="242"/>
      <c r="ARI23" s="242"/>
      <c r="ARJ23" s="242"/>
      <c r="ARK23" s="242"/>
      <c r="ARL23" s="242"/>
      <c r="ARM23" s="244"/>
      <c r="ARN23" s="242"/>
      <c r="ARO23" s="242"/>
      <c r="ARP23" s="242"/>
      <c r="ARQ23" s="242"/>
      <c r="ARR23" s="242"/>
      <c r="ARS23" s="245"/>
      <c r="ART23" s="242"/>
      <c r="ARU23" s="242"/>
      <c r="ARV23" s="242"/>
      <c r="ARW23" s="242"/>
      <c r="ARX23" s="242"/>
      <c r="ARY23" s="244"/>
      <c r="ARZ23" s="242"/>
      <c r="ASA23" s="242"/>
      <c r="ASB23" s="242"/>
      <c r="ASC23" s="242"/>
      <c r="ASD23" s="242"/>
      <c r="ASE23" s="245"/>
      <c r="ASF23" s="242"/>
      <c r="ASG23" s="242"/>
      <c r="ASH23" s="242"/>
      <c r="ASI23" s="242"/>
      <c r="ASJ23" s="242"/>
      <c r="ASK23" s="244"/>
      <c r="ASL23" s="242"/>
      <c r="ASM23" s="242"/>
      <c r="ASN23" s="242"/>
      <c r="ASO23" s="242"/>
      <c r="ASP23" s="242"/>
      <c r="ASQ23" s="245"/>
      <c r="ASR23" s="242"/>
      <c r="ASS23" s="242"/>
      <c r="AST23" s="242"/>
      <c r="ASU23" s="242"/>
      <c r="ASV23" s="242"/>
      <c r="ASW23" s="244"/>
      <c r="ASX23" s="242"/>
      <c r="ASY23" s="242"/>
      <c r="ASZ23" s="242"/>
      <c r="ATA23" s="242"/>
      <c r="ATB23" s="242"/>
      <c r="ATC23" s="245"/>
      <c r="ATD23" s="242"/>
      <c r="ATE23" s="242"/>
      <c r="ATF23" s="242"/>
      <c r="ATG23" s="242"/>
      <c r="ATH23" s="242"/>
      <c r="ATI23" s="246"/>
      <c r="ATJ23" s="241"/>
      <c r="ATK23" s="242"/>
      <c r="ATL23" s="242"/>
      <c r="ATM23" s="242"/>
      <c r="ATN23" s="242"/>
      <c r="ATO23" s="243"/>
      <c r="ATP23" s="242"/>
      <c r="ATQ23" s="242"/>
      <c r="ATR23" s="242"/>
      <c r="ATS23" s="242"/>
      <c r="ATT23" s="242"/>
      <c r="ATU23" s="244"/>
      <c r="ATV23" s="242"/>
      <c r="ATW23" s="242"/>
      <c r="ATX23" s="242"/>
      <c r="ATY23" s="242"/>
      <c r="ATZ23" s="242"/>
      <c r="AUA23" s="245"/>
      <c r="AUB23" s="242"/>
      <c r="AUC23" s="242"/>
      <c r="AUD23" s="242"/>
      <c r="AUE23" s="242"/>
      <c r="AUF23" s="242"/>
      <c r="AUG23" s="244"/>
      <c r="AUH23" s="242"/>
      <c r="AUI23" s="242"/>
      <c r="AUJ23" s="242"/>
      <c r="AUK23" s="242"/>
      <c r="AUL23" s="242"/>
      <c r="AUM23" s="245"/>
      <c r="AUN23" s="242"/>
      <c r="AUO23" s="242"/>
      <c r="AUP23" s="242"/>
      <c r="AUQ23" s="242"/>
      <c r="AUR23" s="242"/>
      <c r="AUS23" s="244"/>
      <c r="AUT23" s="242"/>
      <c r="AUU23" s="242"/>
      <c r="AUV23" s="242"/>
      <c r="AUW23" s="242"/>
      <c r="AUX23" s="242"/>
      <c r="AUY23" s="245"/>
      <c r="AUZ23" s="242"/>
      <c r="AVA23" s="242"/>
      <c r="AVB23" s="242"/>
      <c r="AVC23" s="242"/>
      <c r="AVD23" s="242"/>
      <c r="AVE23" s="244"/>
      <c r="AVF23" s="242"/>
      <c r="AVG23" s="242"/>
      <c r="AVH23" s="242"/>
      <c r="AVI23" s="242"/>
      <c r="AVJ23" s="242"/>
      <c r="AVK23" s="245"/>
      <c r="AVL23" s="242"/>
      <c r="AVM23" s="242"/>
      <c r="AVN23" s="242"/>
      <c r="AVO23" s="242"/>
      <c r="AVP23" s="242"/>
      <c r="AVQ23" s="246"/>
      <c r="AVR23" s="241"/>
      <c r="AVS23" s="242"/>
      <c r="AVT23" s="242"/>
      <c r="AVU23" s="242"/>
      <c r="AVV23" s="242"/>
      <c r="AVW23" s="243"/>
      <c r="AVX23" s="242"/>
      <c r="AVY23" s="242"/>
      <c r="AVZ23" s="242"/>
      <c r="AWA23" s="242"/>
      <c r="AWB23" s="242"/>
      <c r="AWC23" s="244"/>
      <c r="AWD23" s="242"/>
      <c r="AWE23" s="242"/>
      <c r="AWF23" s="242"/>
      <c r="AWG23" s="242"/>
      <c r="AWH23" s="242"/>
      <c r="AWI23" s="245"/>
      <c r="AWJ23" s="242"/>
      <c r="AWK23" s="242"/>
      <c r="AWL23" s="242"/>
      <c r="AWM23" s="242"/>
      <c r="AWN23" s="242"/>
      <c r="AWO23" s="244"/>
      <c r="AWP23" s="242"/>
      <c r="AWQ23" s="242"/>
      <c r="AWR23" s="242"/>
      <c r="AWS23" s="242"/>
      <c r="AWT23" s="242"/>
      <c r="AWU23" s="245"/>
      <c r="AWV23" s="242"/>
      <c r="AWW23" s="242"/>
      <c r="AWX23" s="242"/>
      <c r="AWY23" s="242"/>
      <c r="AWZ23" s="242"/>
      <c r="AXA23" s="244"/>
      <c r="AXB23" s="242"/>
      <c r="AXC23" s="242"/>
      <c r="AXD23" s="242"/>
      <c r="AXE23" s="242"/>
      <c r="AXF23" s="242"/>
      <c r="AXG23" s="245"/>
      <c r="AXH23" s="242"/>
      <c r="AXI23" s="242"/>
      <c r="AXJ23" s="242"/>
      <c r="AXK23" s="242"/>
      <c r="AXL23" s="242"/>
      <c r="AXM23" s="244"/>
      <c r="AXN23" s="242"/>
      <c r="AXO23" s="242"/>
      <c r="AXP23" s="242"/>
      <c r="AXQ23" s="242"/>
      <c r="AXR23" s="242"/>
      <c r="AXS23" s="245"/>
      <c r="AXT23" s="242"/>
      <c r="AXU23" s="242"/>
      <c r="AXV23" s="242"/>
      <c r="AXW23" s="242"/>
      <c r="AXX23" s="242"/>
      <c r="AXY23" s="246"/>
      <c r="AXZ23" s="241"/>
      <c r="AYA23" s="242"/>
      <c r="AYB23" s="242"/>
      <c r="AYC23" s="242"/>
      <c r="AYD23" s="242"/>
      <c r="AYE23" s="243"/>
      <c r="AYF23" s="242"/>
      <c r="AYG23" s="242"/>
      <c r="AYH23" s="242"/>
      <c r="AYI23" s="242"/>
      <c r="AYJ23" s="242"/>
      <c r="AYK23" s="244"/>
      <c r="AYL23" s="242"/>
      <c r="AYM23" s="242"/>
      <c r="AYN23" s="242"/>
      <c r="AYO23" s="242"/>
      <c r="AYP23" s="242"/>
      <c r="AYQ23" s="245"/>
      <c r="AYR23" s="242"/>
      <c r="AYS23" s="242"/>
      <c r="AYT23" s="242"/>
      <c r="AYU23" s="242"/>
      <c r="AYV23" s="242"/>
      <c r="AYW23" s="244"/>
      <c r="AYX23" s="242"/>
      <c r="AYY23" s="242"/>
      <c r="AYZ23" s="242"/>
      <c r="AZA23" s="242"/>
      <c r="AZB23" s="242"/>
      <c r="AZC23" s="245"/>
      <c r="AZD23" s="242"/>
      <c r="AZE23" s="242"/>
      <c r="AZF23" s="242"/>
      <c r="AZG23" s="242"/>
      <c r="AZH23" s="242"/>
      <c r="AZI23" s="244"/>
      <c r="AZJ23" s="242"/>
      <c r="AZK23" s="242"/>
      <c r="AZL23" s="242"/>
      <c r="AZM23" s="242"/>
      <c r="AZN23" s="242"/>
      <c r="AZO23" s="245"/>
      <c r="AZP23" s="242"/>
      <c r="AZQ23" s="242"/>
      <c r="AZR23" s="242"/>
      <c r="AZS23" s="242"/>
      <c r="AZT23" s="242"/>
      <c r="AZU23" s="244"/>
      <c r="AZV23" s="242"/>
      <c r="AZW23" s="242"/>
      <c r="AZX23" s="242"/>
      <c r="AZY23" s="242"/>
      <c r="AZZ23" s="242"/>
      <c r="BAA23" s="245"/>
      <c r="BAB23" s="242"/>
      <c r="BAC23" s="242"/>
      <c r="BAD23" s="242"/>
      <c r="BAE23" s="242"/>
      <c r="BAF23" s="242"/>
      <c r="BAG23" s="246"/>
      <c r="BAH23" s="241"/>
      <c r="BAI23" s="242"/>
      <c r="BAJ23" s="242"/>
      <c r="BAK23" s="242"/>
      <c r="BAL23" s="242"/>
      <c r="BAM23" s="243"/>
      <c r="BAN23" s="242"/>
      <c r="BAO23" s="242"/>
      <c r="BAP23" s="242"/>
      <c r="BAQ23" s="242"/>
      <c r="BAR23" s="242"/>
      <c r="BAS23" s="244"/>
      <c r="BAT23" s="242"/>
      <c r="BAU23" s="242"/>
      <c r="BAV23" s="242"/>
      <c r="BAW23" s="242"/>
      <c r="BAX23" s="242"/>
      <c r="BAY23" s="245"/>
      <c r="BAZ23" s="242"/>
      <c r="BBA23" s="242"/>
      <c r="BBB23" s="242"/>
      <c r="BBC23" s="242"/>
      <c r="BBD23" s="242"/>
      <c r="BBE23" s="244"/>
      <c r="BBF23" s="242"/>
      <c r="BBG23" s="242"/>
      <c r="BBH23" s="242"/>
      <c r="BBI23" s="242"/>
      <c r="BBJ23" s="242"/>
      <c r="BBK23" s="245"/>
      <c r="BBL23" s="242"/>
      <c r="BBM23" s="242"/>
      <c r="BBN23" s="242"/>
      <c r="BBO23" s="242"/>
      <c r="BBP23" s="242"/>
      <c r="BBQ23" s="244"/>
      <c r="BBR23" s="242"/>
      <c r="BBS23" s="242"/>
      <c r="BBT23" s="242"/>
      <c r="BBU23" s="242"/>
      <c r="BBV23" s="242"/>
      <c r="BBW23" s="245"/>
      <c r="BBX23" s="242"/>
      <c r="BBY23" s="242"/>
      <c r="BBZ23" s="242"/>
      <c r="BCA23" s="242"/>
      <c r="BCB23" s="242"/>
      <c r="BCC23" s="244"/>
      <c r="BCD23" s="242"/>
      <c r="BCE23" s="242"/>
      <c r="BCF23" s="242"/>
      <c r="BCG23" s="242"/>
      <c r="BCH23" s="242"/>
      <c r="BCI23" s="245"/>
      <c r="BCJ23" s="242"/>
      <c r="BCK23" s="242"/>
      <c r="BCL23" s="242"/>
      <c r="BCM23" s="242"/>
      <c r="BCN23" s="242"/>
      <c r="BCO23" s="246"/>
      <c r="BCP23" s="241"/>
      <c r="BCQ23" s="242"/>
      <c r="BCR23" s="242"/>
      <c r="BCS23" s="242"/>
      <c r="BCT23" s="242"/>
      <c r="BCU23" s="243"/>
      <c r="BCV23" s="242"/>
      <c r="BCW23" s="242"/>
      <c r="BCX23" s="242"/>
      <c r="BCY23" s="242"/>
      <c r="BCZ23" s="242"/>
      <c r="BDA23" s="244"/>
      <c r="BDB23" s="242"/>
      <c r="BDC23" s="242"/>
      <c r="BDD23" s="242"/>
      <c r="BDE23" s="242"/>
      <c r="BDF23" s="242"/>
      <c r="BDG23" s="245"/>
      <c r="BDH23" s="242"/>
      <c r="BDI23" s="242"/>
      <c r="BDJ23" s="242"/>
      <c r="BDK23" s="242"/>
      <c r="BDL23" s="242"/>
      <c r="BDM23" s="244"/>
      <c r="BDN23" s="242"/>
      <c r="BDO23" s="242"/>
      <c r="BDP23" s="242"/>
      <c r="BDQ23" s="242"/>
      <c r="BDR23" s="242"/>
      <c r="BDS23" s="245"/>
      <c r="BDT23" s="242"/>
      <c r="BDU23" s="242"/>
      <c r="BDV23" s="242"/>
      <c r="BDW23" s="242"/>
      <c r="BDX23" s="242"/>
      <c r="BDY23" s="244"/>
      <c r="BDZ23" s="242"/>
      <c r="BEA23" s="242"/>
      <c r="BEB23" s="242"/>
      <c r="BEC23" s="242"/>
      <c r="BED23" s="242"/>
      <c r="BEE23" s="245"/>
      <c r="BEF23" s="242"/>
      <c r="BEG23" s="242"/>
      <c r="BEH23" s="242"/>
      <c r="BEI23" s="242"/>
      <c r="BEJ23" s="242"/>
      <c r="BEK23" s="244"/>
      <c r="BEL23" s="242"/>
      <c r="BEM23" s="242"/>
      <c r="BEN23" s="242"/>
      <c r="BEO23" s="242"/>
      <c r="BEP23" s="242"/>
      <c r="BEQ23" s="245"/>
      <c r="BER23" s="242"/>
      <c r="BES23" s="242"/>
      <c r="BET23" s="242"/>
      <c r="BEU23" s="242"/>
      <c r="BEV23" s="242"/>
      <c r="BEW23" s="246"/>
      <c r="BEX23" s="241"/>
      <c r="BEY23" s="242"/>
      <c r="BEZ23" s="242"/>
      <c r="BFA23" s="242"/>
      <c r="BFB23" s="242"/>
      <c r="BFC23" s="243"/>
      <c r="BFD23" s="242"/>
      <c r="BFE23" s="242"/>
      <c r="BFF23" s="242"/>
      <c r="BFG23" s="242"/>
      <c r="BFH23" s="242"/>
      <c r="BFI23" s="244"/>
      <c r="BFJ23" s="242"/>
      <c r="BFK23" s="242"/>
      <c r="BFL23" s="242"/>
      <c r="BFM23" s="242"/>
      <c r="BFN23" s="242"/>
      <c r="BFO23" s="245"/>
      <c r="BFP23" s="242"/>
      <c r="BFQ23" s="242"/>
      <c r="BFR23" s="242"/>
      <c r="BFS23" s="242"/>
      <c r="BFT23" s="242"/>
      <c r="BFU23" s="244"/>
      <c r="BFV23" s="242"/>
      <c r="BFW23" s="242"/>
      <c r="BFX23" s="242"/>
      <c r="BFY23" s="242"/>
      <c r="BFZ23" s="242"/>
      <c r="BGA23" s="245"/>
      <c r="BGB23" s="242"/>
      <c r="BGC23" s="242"/>
      <c r="BGD23" s="242"/>
      <c r="BGE23" s="242"/>
      <c r="BGF23" s="242"/>
      <c r="BGG23" s="244"/>
      <c r="BGH23" s="242"/>
      <c r="BGI23" s="242"/>
      <c r="BGJ23" s="242"/>
      <c r="BGK23" s="242"/>
      <c r="BGL23" s="242"/>
      <c r="BGM23" s="245"/>
      <c r="BGN23" s="242"/>
      <c r="BGO23" s="242"/>
      <c r="BGP23" s="242"/>
      <c r="BGQ23" s="242"/>
      <c r="BGR23" s="242"/>
      <c r="BGS23" s="244"/>
      <c r="BGT23" s="242"/>
      <c r="BGU23" s="242"/>
      <c r="BGV23" s="242"/>
      <c r="BGW23" s="242"/>
      <c r="BGX23" s="242"/>
      <c r="BGY23" s="245"/>
      <c r="BGZ23" s="242"/>
      <c r="BHA23" s="242"/>
      <c r="BHB23" s="242"/>
      <c r="BHC23" s="242"/>
      <c r="BHD23" s="242"/>
      <c r="BHE23" s="246"/>
      <c r="BHF23" s="241"/>
      <c r="BHG23" s="242"/>
      <c r="BHH23" s="242"/>
      <c r="BHI23" s="242"/>
      <c r="BHJ23" s="242"/>
      <c r="BHK23" s="243"/>
      <c r="BHL23" s="242"/>
      <c r="BHM23" s="242"/>
      <c r="BHN23" s="242"/>
      <c r="BHO23" s="242"/>
      <c r="BHP23" s="242"/>
      <c r="BHQ23" s="244"/>
      <c r="BHR23" s="242"/>
      <c r="BHS23" s="242"/>
      <c r="BHT23" s="242"/>
      <c r="BHU23" s="242"/>
      <c r="BHV23" s="242"/>
      <c r="BHW23" s="245"/>
      <c r="BHX23" s="242"/>
      <c r="BHY23" s="242"/>
      <c r="BHZ23" s="242"/>
      <c r="BIA23" s="242"/>
      <c r="BIB23" s="242"/>
      <c r="BIC23" s="244"/>
      <c r="BID23" s="242"/>
      <c r="BIE23" s="242"/>
      <c r="BIF23" s="242"/>
      <c r="BIG23" s="242"/>
      <c r="BIH23" s="242"/>
      <c r="BII23" s="245"/>
      <c r="BIJ23" s="242"/>
      <c r="BIK23" s="242"/>
      <c r="BIL23" s="242"/>
      <c r="BIM23" s="242"/>
      <c r="BIN23" s="242"/>
      <c r="BIO23" s="244"/>
      <c r="BIP23" s="242"/>
      <c r="BIQ23" s="242"/>
      <c r="BIR23" s="242"/>
      <c r="BIS23" s="242"/>
      <c r="BIT23" s="242"/>
      <c r="BIU23" s="245"/>
      <c r="BIV23" s="242"/>
      <c r="BIW23" s="242"/>
      <c r="BIX23" s="242"/>
      <c r="BIY23" s="242"/>
      <c r="BIZ23" s="242"/>
      <c r="BJA23" s="244"/>
      <c r="BJB23" s="242"/>
      <c r="BJC23" s="242"/>
      <c r="BJD23" s="242"/>
      <c r="BJE23" s="242"/>
      <c r="BJF23" s="242"/>
      <c r="BJG23" s="245"/>
      <c r="BJH23" s="242"/>
      <c r="BJI23" s="242"/>
      <c r="BJJ23" s="242"/>
      <c r="BJK23" s="242"/>
      <c r="BJL23" s="242"/>
      <c r="BJM23" s="246"/>
      <c r="BJN23" s="233"/>
      <c r="BJO23" s="234"/>
      <c r="BJP23" s="234"/>
      <c r="BJQ23" s="234"/>
      <c r="BJR23" s="234"/>
      <c r="BJS23" s="234"/>
      <c r="BJT23" s="234"/>
      <c r="BJU23" s="234"/>
      <c r="BJV23" s="234"/>
      <c r="BJW23" s="234"/>
      <c r="BJX23" s="234"/>
      <c r="BJY23" s="234"/>
      <c r="BJZ23" s="234"/>
      <c r="BKA23" s="234"/>
      <c r="BKB23" s="234"/>
      <c r="BKC23" s="234"/>
      <c r="BKD23" s="234"/>
      <c r="BKE23" s="234"/>
      <c r="BKF23" s="234"/>
      <c r="BKG23" s="234"/>
      <c r="BKH23" s="234"/>
      <c r="BKI23" s="234"/>
      <c r="BKJ23" s="234"/>
      <c r="BKK23" s="234"/>
      <c r="BKL23" s="234"/>
      <c r="BKM23" s="234"/>
      <c r="BKN23" s="234"/>
    </row>
    <row r="24" spans="1:1653" ht="20.100000000000001" customHeight="1" x14ac:dyDescent="0.25">
      <c r="A24" s="84" t="s">
        <v>20</v>
      </c>
      <c r="B24" s="53" t="str">
        <f>IF(LEN(C33)=0,"",C33)</f>
        <v>Réalisation - Opérations CRUD</v>
      </c>
      <c r="C24" s="189"/>
      <c r="D24" s="130" t="str">
        <f t="shared" si="0"/>
        <v>8h50min</v>
      </c>
      <c r="E24" s="22">
        <v>106</v>
      </c>
      <c r="F24" s="23"/>
      <c r="G24" s="24"/>
      <c r="H24" s="24"/>
      <c r="I24" s="24"/>
      <c r="J24" s="24"/>
      <c r="K24" s="114"/>
      <c r="L24" s="24"/>
      <c r="M24" s="24"/>
      <c r="N24" s="24"/>
      <c r="O24" s="24"/>
      <c r="P24" s="24"/>
      <c r="Q24" s="119"/>
      <c r="R24" s="161"/>
      <c r="S24" s="161"/>
      <c r="T24" s="161"/>
      <c r="U24" s="161"/>
      <c r="V24" s="161"/>
      <c r="W24" s="164"/>
      <c r="X24" s="161"/>
      <c r="Y24" s="161"/>
      <c r="Z24" s="161"/>
      <c r="AA24" s="161"/>
      <c r="AB24" s="161"/>
      <c r="AC24" s="163"/>
      <c r="AD24" s="161"/>
      <c r="AE24" s="161"/>
      <c r="AF24" s="161"/>
      <c r="AG24" s="161"/>
      <c r="AH24" s="161"/>
      <c r="AI24" s="164"/>
      <c r="AJ24" s="161"/>
      <c r="AK24" s="161"/>
      <c r="AL24" s="161"/>
      <c r="AM24" s="161"/>
      <c r="AN24" s="161"/>
      <c r="AO24" s="163"/>
      <c r="AP24" s="161"/>
      <c r="AQ24" s="161"/>
      <c r="AR24" s="161"/>
      <c r="AS24" s="161"/>
      <c r="AT24" s="161"/>
      <c r="AU24" s="164"/>
      <c r="AV24" s="161"/>
      <c r="AW24" s="161"/>
      <c r="AX24" s="161"/>
      <c r="AY24" s="161"/>
      <c r="AZ24" s="24"/>
      <c r="BA24" s="119"/>
      <c r="BB24" s="24"/>
      <c r="BC24" s="24"/>
      <c r="BD24" s="24"/>
      <c r="BE24" s="24"/>
      <c r="BF24" s="24"/>
      <c r="BG24" s="58"/>
      <c r="BH24" s="24"/>
      <c r="BI24" s="24"/>
      <c r="BJ24" s="24"/>
      <c r="BK24" s="24"/>
      <c r="BL24" s="24"/>
      <c r="BM24" s="25"/>
      <c r="BN24" s="160"/>
      <c r="BO24" s="161"/>
      <c r="BP24" s="161"/>
      <c r="BQ24" s="161"/>
      <c r="BR24" s="161"/>
      <c r="BS24" s="162"/>
      <c r="BT24" s="161"/>
      <c r="BU24" s="161"/>
      <c r="BV24" s="161"/>
      <c r="BW24" s="161"/>
      <c r="BX24" s="161"/>
      <c r="BY24" s="163"/>
      <c r="BZ24" s="161"/>
      <c r="CA24" s="161"/>
      <c r="CB24" s="161"/>
      <c r="CC24" s="161"/>
      <c r="CD24" s="161"/>
      <c r="CE24" s="164"/>
      <c r="CF24" s="161"/>
      <c r="CG24" s="161"/>
      <c r="CH24" s="161"/>
      <c r="CI24" s="161"/>
      <c r="CJ24" s="161"/>
      <c r="CK24" s="163"/>
      <c r="CL24" s="161"/>
      <c r="CM24" s="161"/>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160"/>
      <c r="DW24" s="161"/>
      <c r="DX24" s="161"/>
      <c r="DY24" s="161"/>
      <c r="DZ24" s="161"/>
      <c r="EA24" s="162"/>
      <c r="EB24" s="161"/>
      <c r="EC24" s="161"/>
      <c r="ED24" s="161"/>
      <c r="EE24" s="161"/>
      <c r="EF24" s="161"/>
      <c r="EG24" s="163"/>
      <c r="EH24" s="161"/>
      <c r="EI24" s="161"/>
      <c r="EJ24" s="161"/>
      <c r="EK24" s="161"/>
      <c r="EL24" s="161"/>
      <c r="EM24" s="164"/>
      <c r="EN24" s="161"/>
      <c r="EO24" s="161"/>
      <c r="EP24" s="161"/>
      <c r="EQ24" s="161"/>
      <c r="ER24" s="161"/>
      <c r="ES24" s="163"/>
      <c r="ET24" s="161"/>
      <c r="EU24" s="161"/>
      <c r="EV24" s="161"/>
      <c r="EW24" s="161"/>
      <c r="EX24" s="161"/>
      <c r="EY24" s="164"/>
      <c r="EZ24" s="161"/>
      <c r="FA24" s="161"/>
      <c r="FB24" s="161"/>
      <c r="FC24" s="161"/>
      <c r="FD24" s="161"/>
      <c r="FE24" s="163"/>
      <c r="FF24" s="161"/>
      <c r="FG24" s="161"/>
      <c r="FH24" s="161"/>
      <c r="FI24" s="161"/>
      <c r="FJ24" s="161"/>
      <c r="FK24" s="164"/>
      <c r="FL24" s="161"/>
      <c r="FM24" s="161"/>
      <c r="FN24" s="161"/>
      <c r="FO24" s="161"/>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174"/>
      <c r="BJO24" s="4"/>
      <c r="BJP24" s="4"/>
      <c r="BJQ24" s="4"/>
      <c r="BJR24" s="4"/>
      <c r="BJS24" s="4"/>
      <c r="BJT24" s="4"/>
      <c r="BJU24" s="4"/>
      <c r="BJV24" s="4"/>
      <c r="BJW24" s="4"/>
      <c r="BJX24" s="4"/>
      <c r="BJY24" s="4"/>
      <c r="BJZ24" s="4"/>
      <c r="BKA24" s="4"/>
      <c r="BKB24" s="4"/>
      <c r="BKC24" s="4"/>
      <c r="BKD24" s="4"/>
      <c r="BKE24" s="4"/>
      <c r="BKF24" s="4"/>
      <c r="BKG24" s="4"/>
      <c r="BKH24" s="4"/>
      <c r="BKI24" s="4"/>
      <c r="BKJ24" s="4"/>
      <c r="BKK24" s="4"/>
      <c r="BKL24" s="4"/>
      <c r="BKM24" s="4"/>
      <c r="BKN24" s="4"/>
    </row>
    <row r="25" spans="1:1653" ht="20.100000000000001" customHeight="1" x14ac:dyDescent="0.25">
      <c r="A25" s="84" t="s">
        <v>19</v>
      </c>
      <c r="B25" s="53" t="str">
        <f>IF(LEN(C35)=0,"",C35)</f>
        <v>Réalisation - Modifier la liste des participants de l'activité</v>
      </c>
      <c r="C25" s="177" t="s">
        <v>55</v>
      </c>
      <c r="D25" s="129" t="str">
        <f t="shared" si="0"/>
        <v>5h30min</v>
      </c>
      <c r="E25" s="26">
        <v>66</v>
      </c>
      <c r="F25" s="235"/>
      <c r="G25" s="236"/>
      <c r="H25" s="236"/>
      <c r="I25" s="236"/>
      <c r="J25" s="236"/>
      <c r="K25" s="237"/>
      <c r="L25" s="236"/>
      <c r="M25" s="236"/>
      <c r="N25" s="236"/>
      <c r="O25" s="236"/>
      <c r="P25" s="236"/>
      <c r="Q25" s="238"/>
      <c r="R25" s="236"/>
      <c r="S25" s="236"/>
      <c r="T25" s="236"/>
      <c r="U25" s="236"/>
      <c r="V25" s="236"/>
      <c r="W25" s="239"/>
      <c r="X25" s="236"/>
      <c r="Y25" s="236"/>
      <c r="Z25" s="236"/>
      <c r="AA25" s="236"/>
      <c r="AB25" s="236"/>
      <c r="AC25" s="238"/>
      <c r="AD25" s="236"/>
      <c r="AE25" s="236"/>
      <c r="AF25" s="236"/>
      <c r="AG25" s="236"/>
      <c r="AH25" s="236"/>
      <c r="AI25" s="239"/>
      <c r="AJ25" s="236"/>
      <c r="AK25" s="236"/>
      <c r="AL25" s="236"/>
      <c r="AM25" s="236"/>
      <c r="AN25" s="236"/>
      <c r="AO25" s="238"/>
      <c r="AP25" s="236"/>
      <c r="AQ25" s="236"/>
      <c r="AR25" s="236"/>
      <c r="AS25" s="236"/>
      <c r="AT25" s="236"/>
      <c r="AU25" s="239"/>
      <c r="AV25" s="236"/>
      <c r="AW25" s="236"/>
      <c r="AX25" s="236"/>
      <c r="AY25" s="236"/>
      <c r="AZ25" s="236"/>
      <c r="BA25" s="238"/>
      <c r="BB25" s="236"/>
      <c r="BC25" s="236"/>
      <c r="BD25" s="236"/>
      <c r="BE25" s="236"/>
      <c r="BF25" s="236"/>
      <c r="BG25" s="239"/>
      <c r="BH25" s="236"/>
      <c r="BI25" s="236"/>
      <c r="BJ25" s="236"/>
      <c r="BK25" s="236"/>
      <c r="BL25" s="236"/>
      <c r="BM25" s="240"/>
      <c r="BN25" s="235"/>
      <c r="BO25" s="236"/>
      <c r="BP25" s="236"/>
      <c r="BQ25" s="236"/>
      <c r="BR25" s="236"/>
      <c r="BS25" s="237"/>
      <c r="BT25" s="236"/>
      <c r="BU25" s="236"/>
      <c r="BV25" s="236"/>
      <c r="BW25" s="236"/>
      <c r="BX25" s="236"/>
      <c r="BY25" s="238"/>
      <c r="BZ25" s="236"/>
      <c r="CA25" s="236"/>
      <c r="CB25" s="236"/>
      <c r="CC25" s="236"/>
      <c r="CD25" s="236"/>
      <c r="CE25" s="239"/>
      <c r="CF25" s="236"/>
      <c r="CG25" s="236"/>
      <c r="CH25" s="236"/>
      <c r="CI25" s="236"/>
      <c r="CJ25" s="236"/>
      <c r="CK25" s="238"/>
      <c r="CL25" s="236"/>
      <c r="CM25" s="236"/>
      <c r="CN25" s="236"/>
      <c r="CO25" s="236"/>
      <c r="CP25" s="236"/>
      <c r="CQ25" s="239"/>
      <c r="CR25" s="236"/>
      <c r="CS25" s="236"/>
      <c r="CT25" s="236"/>
      <c r="CU25" s="236"/>
      <c r="CV25" s="236"/>
      <c r="CW25" s="238"/>
      <c r="CX25" s="236"/>
      <c r="CY25" s="236"/>
      <c r="CZ25" s="236"/>
      <c r="DA25" s="236"/>
      <c r="DB25" s="236"/>
      <c r="DC25" s="239"/>
      <c r="DD25" s="236"/>
      <c r="DE25" s="236"/>
      <c r="DF25" s="236"/>
      <c r="DG25" s="236"/>
      <c r="DH25" s="236"/>
      <c r="DI25" s="238"/>
      <c r="DJ25" s="236"/>
      <c r="DK25" s="236"/>
      <c r="DL25" s="236"/>
      <c r="DM25" s="236"/>
      <c r="DN25" s="236"/>
      <c r="DO25" s="239"/>
      <c r="DP25" s="236"/>
      <c r="DQ25" s="236"/>
      <c r="DR25" s="236"/>
      <c r="DS25" s="236"/>
      <c r="DT25" s="236"/>
      <c r="DU25" s="240"/>
      <c r="DV25" s="235"/>
      <c r="DW25" s="236"/>
      <c r="DX25" s="236"/>
      <c r="DY25" s="236"/>
      <c r="DZ25" s="149"/>
      <c r="EA25" s="150"/>
      <c r="EB25" s="149"/>
      <c r="EC25" s="149"/>
      <c r="ED25" s="149"/>
      <c r="EE25" s="149"/>
      <c r="EF25" s="149"/>
      <c r="EG25" s="151"/>
      <c r="EH25" s="149"/>
      <c r="EI25" s="149"/>
      <c r="EJ25" s="149"/>
      <c r="EK25" s="149"/>
      <c r="EL25" s="149"/>
      <c r="EM25" s="152"/>
      <c r="EN25" s="149"/>
      <c r="EO25" s="149"/>
      <c r="EP25" s="149"/>
      <c r="EQ25" s="149"/>
      <c r="ER25" s="149"/>
      <c r="ES25" s="151"/>
      <c r="ET25" s="149"/>
      <c r="EU25" s="149"/>
      <c r="EV25" s="149"/>
      <c r="EW25" s="149"/>
      <c r="EX25" s="149"/>
      <c r="EY25" s="152"/>
      <c r="EZ25" s="149"/>
      <c r="FA25" s="149"/>
      <c r="FB25" s="149"/>
      <c r="FC25" s="149"/>
      <c r="FD25" s="149"/>
      <c r="FE25" s="151"/>
      <c r="FF25" s="149"/>
      <c r="FG25" s="149"/>
      <c r="FH25" s="149"/>
      <c r="FI25" s="149"/>
      <c r="FJ25" s="149"/>
      <c r="FK25" s="152"/>
      <c r="FL25" s="149"/>
      <c r="FM25" s="149"/>
      <c r="FN25" s="149"/>
      <c r="FO25" s="149"/>
      <c r="FP25" s="236"/>
      <c r="FQ25" s="238"/>
      <c r="FR25" s="236"/>
      <c r="FS25" s="236"/>
      <c r="FT25" s="236"/>
      <c r="FU25" s="236"/>
      <c r="FV25" s="236"/>
      <c r="FW25" s="239"/>
      <c r="FX25" s="236"/>
      <c r="FY25" s="236"/>
      <c r="FZ25" s="236"/>
      <c r="GA25" s="236"/>
      <c r="GB25" s="236"/>
      <c r="GC25" s="240"/>
      <c r="GD25" s="157"/>
      <c r="GE25" s="149"/>
      <c r="GF25" s="149"/>
      <c r="GG25" s="149"/>
      <c r="GH25" s="149"/>
      <c r="GI25" s="150"/>
      <c r="GJ25" s="149"/>
      <c r="GK25" s="149"/>
      <c r="GL25" s="149"/>
      <c r="GM25" s="149"/>
      <c r="GN25" s="149"/>
      <c r="GO25" s="151"/>
      <c r="GP25" s="149"/>
      <c r="GQ25" s="149"/>
      <c r="GR25" s="149"/>
      <c r="GS25" s="149"/>
      <c r="GT25" s="149"/>
      <c r="GU25" s="152"/>
      <c r="GV25" s="149"/>
      <c r="GW25" s="149"/>
      <c r="GX25" s="149"/>
      <c r="GY25" s="149"/>
      <c r="GZ25" s="149"/>
      <c r="HA25" s="151"/>
      <c r="HB25" s="236"/>
      <c r="HC25" s="236"/>
      <c r="HD25" s="236"/>
      <c r="HE25" s="236"/>
      <c r="HF25" s="236"/>
      <c r="HG25" s="239"/>
      <c r="HH25" s="236"/>
      <c r="HI25" s="236"/>
      <c r="HJ25" s="236"/>
      <c r="HK25" s="236"/>
      <c r="HL25" s="236"/>
      <c r="HM25" s="238"/>
      <c r="HN25" s="236"/>
      <c r="HO25" s="236"/>
      <c r="HP25" s="236"/>
      <c r="HQ25" s="236"/>
      <c r="HR25" s="236"/>
      <c r="HS25" s="239"/>
      <c r="HT25" s="236"/>
      <c r="HU25" s="236"/>
      <c r="HV25" s="236"/>
      <c r="HW25" s="236"/>
      <c r="HX25" s="236"/>
      <c r="HY25" s="238"/>
      <c r="HZ25" s="236"/>
      <c r="IA25" s="236"/>
      <c r="IB25" s="236"/>
      <c r="IC25" s="236"/>
      <c r="ID25" s="236"/>
      <c r="IE25" s="239"/>
      <c r="IF25" s="236"/>
      <c r="IG25" s="236"/>
      <c r="IH25" s="236"/>
      <c r="II25" s="236"/>
      <c r="IJ25" s="236"/>
      <c r="IK25" s="240"/>
      <c r="IL25" s="235"/>
      <c r="IM25" s="236"/>
      <c r="IN25" s="236"/>
      <c r="IO25" s="236"/>
      <c r="IP25" s="236"/>
      <c r="IQ25" s="237"/>
      <c r="IR25" s="236"/>
      <c r="IS25" s="236"/>
      <c r="IT25" s="236"/>
      <c r="IU25" s="236"/>
      <c r="IV25" s="236"/>
      <c r="IW25" s="238"/>
      <c r="IX25" s="236"/>
      <c r="IY25" s="236"/>
      <c r="IZ25" s="236"/>
      <c r="JA25" s="236"/>
      <c r="JB25" s="236"/>
      <c r="JC25" s="239"/>
      <c r="JD25" s="236"/>
      <c r="JE25" s="236"/>
      <c r="JF25" s="236"/>
      <c r="JG25" s="236"/>
      <c r="JH25" s="236"/>
      <c r="JI25" s="238"/>
      <c r="JJ25" s="236"/>
      <c r="JK25" s="236"/>
      <c r="JL25" s="236"/>
      <c r="JM25" s="236"/>
      <c r="JN25" s="236"/>
      <c r="JO25" s="239"/>
      <c r="JP25" s="236"/>
      <c r="JQ25" s="236"/>
      <c r="JR25" s="236"/>
      <c r="JS25" s="236"/>
      <c r="JT25" s="236"/>
      <c r="JU25" s="238"/>
      <c r="JV25" s="236"/>
      <c r="JW25" s="236"/>
      <c r="JX25" s="236"/>
      <c r="JY25" s="236"/>
      <c r="JZ25" s="236"/>
      <c r="KA25" s="239"/>
      <c r="KB25" s="236"/>
      <c r="KC25" s="236"/>
      <c r="KD25" s="236"/>
      <c r="KE25" s="236"/>
      <c r="KF25" s="236"/>
      <c r="KG25" s="238"/>
      <c r="KH25" s="236"/>
      <c r="KI25" s="236"/>
      <c r="KJ25" s="236"/>
      <c r="KK25" s="236"/>
      <c r="KL25" s="236"/>
      <c r="KM25" s="239"/>
      <c r="KN25" s="236"/>
      <c r="KO25" s="236"/>
      <c r="KP25" s="236"/>
      <c r="KQ25" s="236"/>
      <c r="KR25" s="236"/>
      <c r="KS25" s="240"/>
      <c r="KT25" s="235"/>
      <c r="KU25" s="236"/>
      <c r="KV25" s="236"/>
      <c r="KW25" s="236"/>
      <c r="KX25" s="236"/>
      <c r="KY25" s="237"/>
      <c r="KZ25" s="236"/>
      <c r="LA25" s="236"/>
      <c r="LB25" s="236"/>
      <c r="LC25" s="236"/>
      <c r="LD25" s="236"/>
      <c r="LE25" s="238"/>
      <c r="LF25" s="236"/>
      <c r="LG25" s="236"/>
      <c r="LH25" s="236"/>
      <c r="LI25" s="236"/>
      <c r="LJ25" s="236"/>
      <c r="LK25" s="239"/>
      <c r="LL25" s="236"/>
      <c r="LM25" s="236"/>
      <c r="LN25" s="236"/>
      <c r="LO25" s="236"/>
      <c r="LP25" s="236"/>
      <c r="LQ25" s="238"/>
      <c r="LR25" s="236"/>
      <c r="LS25" s="236"/>
      <c r="LT25" s="236"/>
      <c r="LU25" s="236"/>
      <c r="LV25" s="236"/>
      <c r="LW25" s="239"/>
      <c r="LX25" s="236"/>
      <c r="LY25" s="236"/>
      <c r="LZ25" s="236"/>
      <c r="MA25" s="236"/>
      <c r="MB25" s="236"/>
      <c r="MC25" s="238"/>
      <c r="MD25" s="236"/>
      <c r="ME25" s="236"/>
      <c r="MF25" s="236"/>
      <c r="MG25" s="236"/>
      <c r="MH25" s="236"/>
      <c r="MI25" s="239"/>
      <c r="MJ25" s="236"/>
      <c r="MK25" s="236"/>
      <c r="ML25" s="236"/>
      <c r="MM25" s="236"/>
      <c r="MN25" s="236"/>
      <c r="MO25" s="238"/>
      <c r="MP25" s="236"/>
      <c r="MQ25" s="236"/>
      <c r="MR25" s="236"/>
      <c r="MS25" s="236"/>
      <c r="MT25" s="236"/>
      <c r="MU25" s="239"/>
      <c r="MV25" s="236"/>
      <c r="MW25" s="236"/>
      <c r="MX25" s="236"/>
      <c r="MY25" s="236"/>
      <c r="MZ25" s="236"/>
      <c r="NA25" s="240"/>
      <c r="NB25" s="235"/>
      <c r="NC25" s="236"/>
      <c r="ND25" s="236"/>
      <c r="NE25" s="236"/>
      <c r="NF25" s="236"/>
      <c r="NG25" s="237"/>
      <c r="NH25" s="236"/>
      <c r="NI25" s="236"/>
      <c r="NJ25" s="236"/>
      <c r="NK25" s="236"/>
      <c r="NL25" s="236"/>
      <c r="NM25" s="238"/>
      <c r="NN25" s="236"/>
      <c r="NO25" s="236"/>
      <c r="NP25" s="236"/>
      <c r="NQ25" s="236"/>
      <c r="NR25" s="236"/>
      <c r="NS25" s="239"/>
      <c r="NT25" s="236"/>
      <c r="NU25" s="236"/>
      <c r="NV25" s="236"/>
      <c r="NW25" s="236"/>
      <c r="NX25" s="236"/>
      <c r="NY25" s="238"/>
      <c r="NZ25" s="236"/>
      <c r="OA25" s="236"/>
      <c r="OB25" s="236"/>
      <c r="OC25" s="236"/>
      <c r="OD25" s="236"/>
      <c r="OE25" s="239"/>
      <c r="OF25" s="236"/>
      <c r="OG25" s="236"/>
      <c r="OH25" s="236"/>
      <c r="OI25" s="236"/>
      <c r="OJ25" s="236"/>
      <c r="OK25" s="238"/>
      <c r="OL25" s="236"/>
      <c r="OM25" s="236"/>
      <c r="ON25" s="236"/>
      <c r="OO25" s="236"/>
      <c r="OP25" s="236"/>
      <c r="OQ25" s="239"/>
      <c r="OR25" s="236"/>
      <c r="OS25" s="236"/>
      <c r="OT25" s="236"/>
      <c r="OU25" s="236"/>
      <c r="OV25" s="236"/>
      <c r="OW25" s="238"/>
      <c r="OX25" s="236"/>
      <c r="OY25" s="236"/>
      <c r="OZ25" s="236"/>
      <c r="PA25" s="236"/>
      <c r="PB25" s="236"/>
      <c r="PC25" s="239"/>
      <c r="PD25" s="236"/>
      <c r="PE25" s="236"/>
      <c r="PF25" s="236"/>
      <c r="PG25" s="236"/>
      <c r="PH25" s="236"/>
      <c r="PI25" s="240"/>
      <c r="PJ25" s="235"/>
      <c r="PK25" s="236"/>
      <c r="PL25" s="236"/>
      <c r="PM25" s="236"/>
      <c r="PN25" s="236"/>
      <c r="PO25" s="237"/>
      <c r="PP25" s="236"/>
      <c r="PQ25" s="236"/>
      <c r="PR25" s="236"/>
      <c r="PS25" s="236"/>
      <c r="PT25" s="236"/>
      <c r="PU25" s="238"/>
      <c r="PV25" s="236"/>
      <c r="PW25" s="236"/>
      <c r="PX25" s="236"/>
      <c r="PY25" s="236"/>
      <c r="PZ25" s="236"/>
      <c r="QA25" s="239"/>
      <c r="QB25" s="236"/>
      <c r="QC25" s="236"/>
      <c r="QD25" s="236"/>
      <c r="QE25" s="236"/>
      <c r="QF25" s="236"/>
      <c r="QG25" s="238"/>
      <c r="QH25" s="236"/>
      <c r="QI25" s="236"/>
      <c r="QJ25" s="236"/>
      <c r="QK25" s="236"/>
      <c r="QL25" s="236"/>
      <c r="QM25" s="239"/>
      <c r="QN25" s="236"/>
      <c r="QO25" s="236"/>
      <c r="QP25" s="236"/>
      <c r="QQ25" s="236"/>
      <c r="QR25" s="236"/>
      <c r="QS25" s="238"/>
      <c r="QT25" s="236"/>
      <c r="QU25" s="236"/>
      <c r="QV25" s="236"/>
      <c r="QW25" s="236"/>
      <c r="QX25" s="236"/>
      <c r="QY25" s="239"/>
      <c r="QZ25" s="236"/>
      <c r="RA25" s="236"/>
      <c r="RB25" s="236"/>
      <c r="RC25" s="236"/>
      <c r="RD25" s="236"/>
      <c r="RE25" s="238"/>
      <c r="RF25" s="236"/>
      <c r="RG25" s="236"/>
      <c r="RH25" s="236"/>
      <c r="RI25" s="236"/>
      <c r="RJ25" s="236"/>
      <c r="RK25" s="239"/>
      <c r="RL25" s="236"/>
      <c r="RM25" s="236"/>
      <c r="RN25" s="236"/>
      <c r="RO25" s="236"/>
      <c r="RP25" s="236"/>
      <c r="RQ25" s="240"/>
      <c r="RR25" s="235"/>
      <c r="RS25" s="236"/>
      <c r="RT25" s="236"/>
      <c r="RU25" s="236"/>
      <c r="RV25" s="236"/>
      <c r="RW25" s="237"/>
      <c r="RX25" s="236"/>
      <c r="RY25" s="236"/>
      <c r="RZ25" s="236"/>
      <c r="SA25" s="236"/>
      <c r="SB25" s="236"/>
      <c r="SC25" s="238"/>
      <c r="SD25" s="236"/>
      <c r="SE25" s="236"/>
      <c r="SF25" s="236"/>
      <c r="SG25" s="236"/>
      <c r="SH25" s="236"/>
      <c r="SI25" s="239"/>
      <c r="SJ25" s="236"/>
      <c r="SK25" s="236"/>
      <c r="SL25" s="236"/>
      <c r="SM25" s="236"/>
      <c r="SN25" s="236"/>
      <c r="SO25" s="238"/>
      <c r="SP25" s="236"/>
      <c r="SQ25" s="236"/>
      <c r="SR25" s="236"/>
      <c r="SS25" s="236"/>
      <c r="ST25" s="236"/>
      <c r="SU25" s="239"/>
      <c r="SV25" s="236"/>
      <c r="SW25" s="236"/>
      <c r="SX25" s="236"/>
      <c r="SY25" s="236"/>
      <c r="SZ25" s="236"/>
      <c r="TA25" s="238"/>
      <c r="TB25" s="236"/>
      <c r="TC25" s="236"/>
      <c r="TD25" s="236"/>
      <c r="TE25" s="236"/>
      <c r="TF25" s="236"/>
      <c r="TG25" s="239"/>
      <c r="TH25" s="236"/>
      <c r="TI25" s="236"/>
      <c r="TJ25" s="236"/>
      <c r="TK25" s="236"/>
      <c r="TL25" s="236"/>
      <c r="TM25" s="238"/>
      <c r="TN25" s="236"/>
      <c r="TO25" s="236"/>
      <c r="TP25" s="236"/>
      <c r="TQ25" s="236"/>
      <c r="TR25" s="236"/>
      <c r="TS25" s="239"/>
      <c r="TT25" s="236"/>
      <c r="TU25" s="236"/>
      <c r="TV25" s="236"/>
      <c r="TW25" s="236"/>
      <c r="TX25" s="236"/>
      <c r="TY25" s="240"/>
      <c r="TZ25" s="235"/>
      <c r="UA25" s="236"/>
      <c r="UB25" s="236"/>
      <c r="UC25" s="236"/>
      <c r="UD25" s="236"/>
      <c r="UE25" s="237"/>
      <c r="UF25" s="236"/>
      <c r="UG25" s="236"/>
      <c r="UH25" s="236"/>
      <c r="UI25" s="236"/>
      <c r="UJ25" s="236"/>
      <c r="UK25" s="238"/>
      <c r="UL25" s="236"/>
      <c r="UM25" s="236"/>
      <c r="UN25" s="236"/>
      <c r="UO25" s="236"/>
      <c r="UP25" s="236"/>
      <c r="UQ25" s="239"/>
      <c r="UR25" s="236"/>
      <c r="US25" s="236"/>
      <c r="UT25" s="236"/>
      <c r="UU25" s="236"/>
      <c r="UV25" s="236"/>
      <c r="UW25" s="238"/>
      <c r="UX25" s="236"/>
      <c r="UY25" s="236"/>
      <c r="UZ25" s="236"/>
      <c r="VA25" s="236"/>
      <c r="VB25" s="236"/>
      <c r="VC25" s="239"/>
      <c r="VD25" s="236"/>
      <c r="VE25" s="236"/>
      <c r="VF25" s="236"/>
      <c r="VG25" s="236"/>
      <c r="VH25" s="236"/>
      <c r="VI25" s="238"/>
      <c r="VJ25" s="236"/>
      <c r="VK25" s="236"/>
      <c r="VL25" s="236"/>
      <c r="VM25" s="236"/>
      <c r="VN25" s="236"/>
      <c r="VO25" s="239"/>
      <c r="VP25" s="236"/>
      <c r="VQ25" s="236"/>
      <c r="VR25" s="236"/>
      <c r="VS25" s="236"/>
      <c r="VT25" s="236"/>
      <c r="VU25" s="238"/>
      <c r="VV25" s="236"/>
      <c r="VW25" s="236"/>
      <c r="VX25" s="236"/>
      <c r="VY25" s="236"/>
      <c r="VZ25" s="236"/>
      <c r="WA25" s="239"/>
      <c r="WB25" s="236"/>
      <c r="WC25" s="236"/>
      <c r="WD25" s="236"/>
      <c r="WE25" s="236"/>
      <c r="WF25" s="236"/>
      <c r="WG25" s="240"/>
      <c r="WH25" s="235"/>
      <c r="WI25" s="236"/>
      <c r="WJ25" s="236"/>
      <c r="WK25" s="236"/>
      <c r="WL25" s="236"/>
      <c r="WM25" s="237"/>
      <c r="WN25" s="236"/>
      <c r="WO25" s="236"/>
      <c r="WP25" s="236"/>
      <c r="WQ25" s="236"/>
      <c r="WR25" s="236"/>
      <c r="WS25" s="238"/>
      <c r="WT25" s="236"/>
      <c r="WU25" s="236"/>
      <c r="WV25" s="236"/>
      <c r="WW25" s="236"/>
      <c r="WX25" s="236"/>
      <c r="WY25" s="239"/>
      <c r="WZ25" s="236"/>
      <c r="XA25" s="236"/>
      <c r="XB25" s="236"/>
      <c r="XC25" s="236"/>
      <c r="XD25" s="236"/>
      <c r="XE25" s="238"/>
      <c r="XF25" s="236"/>
      <c r="XG25" s="236"/>
      <c r="XH25" s="236"/>
      <c r="XI25" s="236"/>
      <c r="XJ25" s="236"/>
      <c r="XK25" s="239"/>
      <c r="XL25" s="236"/>
      <c r="XM25" s="236"/>
      <c r="XN25" s="236"/>
      <c r="XO25" s="236"/>
      <c r="XP25" s="236"/>
      <c r="XQ25" s="238"/>
      <c r="XR25" s="236"/>
      <c r="XS25" s="236"/>
      <c r="XT25" s="236"/>
      <c r="XU25" s="236"/>
      <c r="XV25" s="236"/>
      <c r="XW25" s="239"/>
      <c r="XX25" s="236"/>
      <c r="XY25" s="236"/>
      <c r="XZ25" s="236"/>
      <c r="YA25" s="236"/>
      <c r="YB25" s="236"/>
      <c r="YC25" s="238"/>
      <c r="YD25" s="236"/>
      <c r="YE25" s="236"/>
      <c r="YF25" s="236"/>
      <c r="YG25" s="236"/>
      <c r="YH25" s="236"/>
      <c r="YI25" s="239"/>
      <c r="YJ25" s="236"/>
      <c r="YK25" s="236"/>
      <c r="YL25" s="236"/>
      <c r="YM25" s="236"/>
      <c r="YN25" s="236"/>
      <c r="YO25" s="240"/>
      <c r="YP25" s="235"/>
      <c r="YQ25" s="236"/>
      <c r="YR25" s="236"/>
      <c r="YS25" s="236"/>
      <c r="YT25" s="236"/>
      <c r="YU25" s="237"/>
      <c r="YV25" s="236"/>
      <c r="YW25" s="236"/>
      <c r="YX25" s="236"/>
      <c r="YY25" s="236"/>
      <c r="YZ25" s="236"/>
      <c r="ZA25" s="238"/>
      <c r="ZB25" s="236"/>
      <c r="ZC25" s="236"/>
      <c r="ZD25" s="236"/>
      <c r="ZE25" s="236"/>
      <c r="ZF25" s="236"/>
      <c r="ZG25" s="239"/>
      <c r="ZH25" s="236"/>
      <c r="ZI25" s="236"/>
      <c r="ZJ25" s="236"/>
      <c r="ZK25" s="236"/>
      <c r="ZL25" s="236"/>
      <c r="ZM25" s="238"/>
      <c r="ZN25" s="236"/>
      <c r="ZO25" s="236"/>
      <c r="ZP25" s="236"/>
      <c r="ZQ25" s="236"/>
      <c r="ZR25" s="236"/>
      <c r="ZS25" s="239"/>
      <c r="ZT25" s="236"/>
      <c r="ZU25" s="236"/>
      <c r="ZV25" s="236"/>
      <c r="ZW25" s="236"/>
      <c r="ZX25" s="236"/>
      <c r="ZY25" s="238"/>
      <c r="ZZ25" s="236"/>
      <c r="AAA25" s="236"/>
      <c r="AAB25" s="236"/>
      <c r="AAC25" s="236"/>
      <c r="AAD25" s="236"/>
      <c r="AAE25" s="239"/>
      <c r="AAF25" s="236"/>
      <c r="AAG25" s="236"/>
      <c r="AAH25" s="236"/>
      <c r="AAI25" s="236"/>
      <c r="AAJ25" s="236"/>
      <c r="AAK25" s="238"/>
      <c r="AAL25" s="236"/>
      <c r="AAM25" s="236"/>
      <c r="AAN25" s="236"/>
      <c r="AAO25" s="236"/>
      <c r="AAP25" s="236"/>
      <c r="AAQ25" s="239"/>
      <c r="AAR25" s="236"/>
      <c r="AAS25" s="236"/>
      <c r="AAT25" s="236"/>
      <c r="AAU25" s="236"/>
      <c r="AAV25" s="236"/>
      <c r="AAW25" s="240"/>
      <c r="AAX25" s="235"/>
      <c r="AAY25" s="236"/>
      <c r="AAZ25" s="236"/>
      <c r="ABA25" s="236"/>
      <c r="ABB25" s="236"/>
      <c r="ABC25" s="237"/>
      <c r="ABD25" s="236"/>
      <c r="ABE25" s="236"/>
      <c r="ABF25" s="236"/>
      <c r="ABG25" s="236"/>
      <c r="ABH25" s="236"/>
      <c r="ABI25" s="238"/>
      <c r="ABJ25" s="236"/>
      <c r="ABK25" s="236"/>
      <c r="ABL25" s="236"/>
      <c r="ABM25" s="236"/>
      <c r="ABN25" s="236"/>
      <c r="ABO25" s="239"/>
      <c r="ABP25" s="236"/>
      <c r="ABQ25" s="236"/>
      <c r="ABR25" s="236"/>
      <c r="ABS25" s="236"/>
      <c r="ABT25" s="236"/>
      <c r="ABU25" s="238"/>
      <c r="ABV25" s="236"/>
      <c r="ABW25" s="236"/>
      <c r="ABX25" s="236"/>
      <c r="ABY25" s="236"/>
      <c r="ABZ25" s="236"/>
      <c r="ACA25" s="239"/>
      <c r="ACB25" s="236"/>
      <c r="ACC25" s="236"/>
      <c r="ACD25" s="236"/>
      <c r="ACE25" s="236"/>
      <c r="ACF25" s="236"/>
      <c r="ACG25" s="238"/>
      <c r="ACH25" s="236"/>
      <c r="ACI25" s="236"/>
      <c r="ACJ25" s="236"/>
      <c r="ACK25" s="236"/>
      <c r="ACL25" s="236"/>
      <c r="ACM25" s="239"/>
      <c r="ACN25" s="236"/>
      <c r="ACO25" s="236"/>
      <c r="ACP25" s="236"/>
      <c r="ACQ25" s="236"/>
      <c r="ACR25" s="236"/>
      <c r="ACS25" s="238"/>
      <c r="ACT25" s="236"/>
      <c r="ACU25" s="236"/>
      <c r="ACV25" s="236"/>
      <c r="ACW25" s="236"/>
      <c r="ACX25" s="236"/>
      <c r="ACY25" s="239"/>
      <c r="ACZ25" s="236"/>
      <c r="ADA25" s="236"/>
      <c r="ADB25" s="236"/>
      <c r="ADC25" s="236"/>
      <c r="ADD25" s="236"/>
      <c r="ADE25" s="240"/>
      <c r="ADF25" s="235"/>
      <c r="ADG25" s="236"/>
      <c r="ADH25" s="236"/>
      <c r="ADI25" s="236"/>
      <c r="ADJ25" s="236"/>
      <c r="ADK25" s="237"/>
      <c r="ADL25" s="236"/>
      <c r="ADM25" s="236"/>
      <c r="ADN25" s="236"/>
      <c r="ADO25" s="236"/>
      <c r="ADP25" s="236"/>
      <c r="ADQ25" s="238"/>
      <c r="ADR25" s="236"/>
      <c r="ADS25" s="236"/>
      <c r="ADT25" s="236"/>
      <c r="ADU25" s="236"/>
      <c r="ADV25" s="236"/>
      <c r="ADW25" s="239"/>
      <c r="ADX25" s="236"/>
      <c r="ADY25" s="236"/>
      <c r="ADZ25" s="236"/>
      <c r="AEA25" s="236"/>
      <c r="AEB25" s="236"/>
      <c r="AEC25" s="238"/>
      <c r="AED25" s="236"/>
      <c r="AEE25" s="236"/>
      <c r="AEF25" s="236"/>
      <c r="AEG25" s="236"/>
      <c r="AEH25" s="236"/>
      <c r="AEI25" s="239"/>
      <c r="AEJ25" s="236"/>
      <c r="AEK25" s="236"/>
      <c r="AEL25" s="236"/>
      <c r="AEM25" s="236"/>
      <c r="AEN25" s="236"/>
      <c r="AEO25" s="238"/>
      <c r="AEP25" s="236"/>
      <c r="AEQ25" s="236"/>
      <c r="AER25" s="236"/>
      <c r="AES25" s="236"/>
      <c r="AET25" s="236"/>
      <c r="AEU25" s="239"/>
      <c r="AEV25" s="236"/>
      <c r="AEW25" s="236"/>
      <c r="AEX25" s="236"/>
      <c r="AEY25" s="236"/>
      <c r="AEZ25" s="236"/>
      <c r="AFA25" s="238"/>
      <c r="AFB25" s="236"/>
      <c r="AFC25" s="236"/>
      <c r="AFD25" s="236"/>
      <c r="AFE25" s="236"/>
      <c r="AFF25" s="236"/>
      <c r="AFG25" s="239"/>
      <c r="AFH25" s="236"/>
      <c r="AFI25" s="236"/>
      <c r="AFJ25" s="236"/>
      <c r="AFK25" s="236"/>
      <c r="AFL25" s="236"/>
      <c r="AFM25" s="240"/>
      <c r="AFN25" s="235"/>
      <c r="AFO25" s="236"/>
      <c r="AFP25" s="236"/>
      <c r="AFQ25" s="236"/>
      <c r="AFR25" s="236"/>
      <c r="AFS25" s="237"/>
      <c r="AFT25" s="236"/>
      <c r="AFU25" s="236"/>
      <c r="AFV25" s="236"/>
      <c r="AFW25" s="236"/>
      <c r="AFX25" s="236"/>
      <c r="AFY25" s="238"/>
      <c r="AFZ25" s="236"/>
      <c r="AGA25" s="236"/>
      <c r="AGB25" s="236"/>
      <c r="AGC25" s="236"/>
      <c r="AGD25" s="236"/>
      <c r="AGE25" s="239"/>
      <c r="AGF25" s="236"/>
      <c r="AGG25" s="236"/>
      <c r="AGH25" s="236"/>
      <c r="AGI25" s="236"/>
      <c r="AGJ25" s="236"/>
      <c r="AGK25" s="238"/>
      <c r="AGL25" s="236"/>
      <c r="AGM25" s="236"/>
      <c r="AGN25" s="236"/>
      <c r="AGO25" s="236"/>
      <c r="AGP25" s="236"/>
      <c r="AGQ25" s="239"/>
      <c r="AGR25" s="236"/>
      <c r="AGS25" s="236"/>
      <c r="AGT25" s="236"/>
      <c r="AGU25" s="236"/>
      <c r="AGV25" s="236"/>
      <c r="AGW25" s="238"/>
      <c r="AGX25" s="236"/>
      <c r="AGY25" s="236"/>
      <c r="AGZ25" s="236"/>
      <c r="AHA25" s="236"/>
      <c r="AHB25" s="236"/>
      <c r="AHC25" s="239"/>
      <c r="AHD25" s="236"/>
      <c r="AHE25" s="236"/>
      <c r="AHF25" s="236"/>
      <c r="AHG25" s="236"/>
      <c r="AHH25" s="236"/>
      <c r="AHI25" s="238"/>
      <c r="AHJ25" s="236"/>
      <c r="AHK25" s="236"/>
      <c r="AHL25" s="236"/>
      <c r="AHM25" s="236"/>
      <c r="AHN25" s="236"/>
      <c r="AHO25" s="239"/>
      <c r="AHP25" s="236"/>
      <c r="AHQ25" s="236"/>
      <c r="AHR25" s="236"/>
      <c r="AHS25" s="236"/>
      <c r="AHT25" s="236"/>
      <c r="AHU25" s="240"/>
      <c r="AHV25" s="235"/>
      <c r="AHW25" s="236"/>
      <c r="AHX25" s="236"/>
      <c r="AHY25" s="236"/>
      <c r="AHZ25" s="236"/>
      <c r="AIA25" s="237"/>
      <c r="AIB25" s="236"/>
      <c r="AIC25" s="236"/>
      <c r="AID25" s="236"/>
      <c r="AIE25" s="236"/>
      <c r="AIF25" s="236"/>
      <c r="AIG25" s="238"/>
      <c r="AIH25" s="236"/>
      <c r="AII25" s="236"/>
      <c r="AIJ25" s="236"/>
      <c r="AIK25" s="236"/>
      <c r="AIL25" s="236"/>
      <c r="AIM25" s="239"/>
      <c r="AIN25" s="236"/>
      <c r="AIO25" s="236"/>
      <c r="AIP25" s="236"/>
      <c r="AIQ25" s="236"/>
      <c r="AIR25" s="236"/>
      <c r="AIS25" s="238"/>
      <c r="AIT25" s="236"/>
      <c r="AIU25" s="236"/>
      <c r="AIV25" s="236"/>
      <c r="AIW25" s="236"/>
      <c r="AIX25" s="236"/>
      <c r="AIY25" s="239"/>
      <c r="AIZ25" s="236"/>
      <c r="AJA25" s="236"/>
      <c r="AJB25" s="236"/>
      <c r="AJC25" s="236"/>
      <c r="AJD25" s="236"/>
      <c r="AJE25" s="238"/>
      <c r="AJF25" s="236"/>
      <c r="AJG25" s="236"/>
      <c r="AJH25" s="236"/>
      <c r="AJI25" s="236"/>
      <c r="AJJ25" s="236"/>
      <c r="AJK25" s="239"/>
      <c r="AJL25" s="236"/>
      <c r="AJM25" s="236"/>
      <c r="AJN25" s="236"/>
      <c r="AJO25" s="236"/>
      <c r="AJP25" s="236"/>
      <c r="AJQ25" s="238"/>
      <c r="AJR25" s="236"/>
      <c r="AJS25" s="236"/>
      <c r="AJT25" s="236"/>
      <c r="AJU25" s="236"/>
      <c r="AJV25" s="236"/>
      <c r="AJW25" s="239"/>
      <c r="AJX25" s="236"/>
      <c r="AJY25" s="236"/>
      <c r="AJZ25" s="236"/>
      <c r="AKA25" s="236"/>
      <c r="AKB25" s="236"/>
      <c r="AKC25" s="240"/>
      <c r="AKD25" s="235"/>
      <c r="AKE25" s="236"/>
      <c r="AKF25" s="236"/>
      <c r="AKG25" s="236"/>
      <c r="AKH25" s="236"/>
      <c r="AKI25" s="237"/>
      <c r="AKJ25" s="236"/>
      <c r="AKK25" s="236"/>
      <c r="AKL25" s="236"/>
      <c r="AKM25" s="236"/>
      <c r="AKN25" s="236"/>
      <c r="AKO25" s="238"/>
      <c r="AKP25" s="236"/>
      <c r="AKQ25" s="236"/>
      <c r="AKR25" s="236"/>
      <c r="AKS25" s="236"/>
      <c r="AKT25" s="236"/>
      <c r="AKU25" s="239"/>
      <c r="AKV25" s="236"/>
      <c r="AKW25" s="236"/>
      <c r="AKX25" s="236"/>
      <c r="AKY25" s="236"/>
      <c r="AKZ25" s="236"/>
      <c r="ALA25" s="238"/>
      <c r="ALB25" s="236"/>
      <c r="ALC25" s="236"/>
      <c r="ALD25" s="236"/>
      <c r="ALE25" s="236"/>
      <c r="ALF25" s="236"/>
      <c r="ALG25" s="239"/>
      <c r="ALH25" s="236"/>
      <c r="ALI25" s="236"/>
      <c r="ALJ25" s="236"/>
      <c r="ALK25" s="236"/>
      <c r="ALL25" s="236"/>
      <c r="ALM25" s="238"/>
      <c r="ALN25" s="236"/>
      <c r="ALO25" s="236"/>
      <c r="ALP25" s="236"/>
      <c r="ALQ25" s="236"/>
      <c r="ALR25" s="236"/>
      <c r="ALS25" s="239"/>
      <c r="ALT25" s="236"/>
      <c r="ALU25" s="236"/>
      <c r="ALV25" s="236"/>
      <c r="ALW25" s="236"/>
      <c r="ALX25" s="236"/>
      <c r="ALY25" s="238"/>
      <c r="ALZ25" s="236"/>
      <c r="AMA25" s="236"/>
      <c r="AMB25" s="236"/>
      <c r="AMC25" s="236"/>
      <c r="AMD25" s="236"/>
      <c r="AME25" s="239"/>
      <c r="AMF25" s="236"/>
      <c r="AMG25" s="236"/>
      <c r="AMH25" s="236"/>
      <c r="AMI25" s="236"/>
      <c r="AMJ25" s="236"/>
      <c r="AMK25" s="240"/>
      <c r="AML25" s="235"/>
      <c r="AMM25" s="236"/>
      <c r="AMN25" s="236"/>
      <c r="AMO25" s="236"/>
      <c r="AMP25" s="236"/>
      <c r="AMQ25" s="237"/>
      <c r="AMR25" s="236"/>
      <c r="AMS25" s="236"/>
      <c r="AMT25" s="236"/>
      <c r="AMU25" s="236"/>
      <c r="AMV25" s="236"/>
      <c r="AMW25" s="238"/>
      <c r="AMX25" s="236"/>
      <c r="AMY25" s="236"/>
      <c r="AMZ25" s="236"/>
      <c r="ANA25" s="236"/>
      <c r="ANB25" s="236"/>
      <c r="ANC25" s="239"/>
      <c r="AND25" s="236"/>
      <c r="ANE25" s="236"/>
      <c r="ANF25" s="236"/>
      <c r="ANG25" s="236"/>
      <c r="ANH25" s="236"/>
      <c r="ANI25" s="238"/>
      <c r="ANJ25" s="236"/>
      <c r="ANK25" s="236"/>
      <c r="ANL25" s="236"/>
      <c r="ANM25" s="236"/>
      <c r="ANN25" s="236"/>
      <c r="ANO25" s="239"/>
      <c r="ANP25" s="236"/>
      <c r="ANQ25" s="236"/>
      <c r="ANR25" s="236"/>
      <c r="ANS25" s="236"/>
      <c r="ANT25" s="236"/>
      <c r="ANU25" s="238"/>
      <c r="ANV25" s="236"/>
      <c r="ANW25" s="236"/>
      <c r="ANX25" s="236"/>
      <c r="ANY25" s="236"/>
      <c r="ANZ25" s="236"/>
      <c r="AOA25" s="239"/>
      <c r="AOB25" s="236"/>
      <c r="AOC25" s="236"/>
      <c r="AOD25" s="236"/>
      <c r="AOE25" s="236"/>
      <c r="AOF25" s="236"/>
      <c r="AOG25" s="238"/>
      <c r="AOH25" s="236"/>
      <c r="AOI25" s="236"/>
      <c r="AOJ25" s="236"/>
      <c r="AOK25" s="236"/>
      <c r="AOL25" s="236"/>
      <c r="AOM25" s="239"/>
      <c r="AON25" s="236"/>
      <c r="AOO25" s="236"/>
      <c r="AOP25" s="236"/>
      <c r="AOQ25" s="236"/>
      <c r="AOR25" s="236"/>
      <c r="AOS25" s="240"/>
      <c r="AOT25" s="235"/>
      <c r="AOU25" s="236"/>
      <c r="AOV25" s="236"/>
      <c r="AOW25" s="236"/>
      <c r="AOX25" s="236"/>
      <c r="AOY25" s="237"/>
      <c r="AOZ25" s="236"/>
      <c r="APA25" s="236"/>
      <c r="APB25" s="236"/>
      <c r="APC25" s="236"/>
      <c r="APD25" s="236"/>
      <c r="APE25" s="238"/>
      <c r="APF25" s="236"/>
      <c r="APG25" s="236"/>
      <c r="APH25" s="236"/>
      <c r="API25" s="236"/>
      <c r="APJ25" s="236"/>
      <c r="APK25" s="239"/>
      <c r="APL25" s="236"/>
      <c r="APM25" s="236"/>
      <c r="APN25" s="236"/>
      <c r="APO25" s="236"/>
      <c r="APP25" s="236"/>
      <c r="APQ25" s="238"/>
      <c r="APR25" s="236"/>
      <c r="APS25" s="236"/>
      <c r="APT25" s="236"/>
      <c r="APU25" s="236"/>
      <c r="APV25" s="236"/>
      <c r="APW25" s="239"/>
      <c r="APX25" s="236"/>
      <c r="APY25" s="236"/>
      <c r="APZ25" s="236"/>
      <c r="AQA25" s="236"/>
      <c r="AQB25" s="236"/>
      <c r="AQC25" s="238"/>
      <c r="AQD25" s="236"/>
      <c r="AQE25" s="236"/>
      <c r="AQF25" s="236"/>
      <c r="AQG25" s="236"/>
      <c r="AQH25" s="236"/>
      <c r="AQI25" s="239"/>
      <c r="AQJ25" s="236"/>
      <c r="AQK25" s="236"/>
      <c r="AQL25" s="236"/>
      <c r="AQM25" s="236"/>
      <c r="AQN25" s="236"/>
      <c r="AQO25" s="238"/>
      <c r="AQP25" s="236"/>
      <c r="AQQ25" s="236"/>
      <c r="AQR25" s="236"/>
      <c r="AQS25" s="236"/>
      <c r="AQT25" s="236"/>
      <c r="AQU25" s="239"/>
      <c r="AQV25" s="236"/>
      <c r="AQW25" s="236"/>
      <c r="AQX25" s="236"/>
      <c r="AQY25" s="236"/>
      <c r="AQZ25" s="236"/>
      <c r="ARA25" s="240"/>
      <c r="ARB25" s="235"/>
      <c r="ARC25" s="236"/>
      <c r="ARD25" s="236"/>
      <c r="ARE25" s="236"/>
      <c r="ARF25" s="236"/>
      <c r="ARG25" s="237"/>
      <c r="ARH25" s="236"/>
      <c r="ARI25" s="236"/>
      <c r="ARJ25" s="236"/>
      <c r="ARK25" s="236"/>
      <c r="ARL25" s="236"/>
      <c r="ARM25" s="238"/>
      <c r="ARN25" s="236"/>
      <c r="ARO25" s="236"/>
      <c r="ARP25" s="236"/>
      <c r="ARQ25" s="236"/>
      <c r="ARR25" s="236"/>
      <c r="ARS25" s="239"/>
      <c r="ART25" s="236"/>
      <c r="ARU25" s="236"/>
      <c r="ARV25" s="236"/>
      <c r="ARW25" s="236"/>
      <c r="ARX25" s="236"/>
      <c r="ARY25" s="238"/>
      <c r="ARZ25" s="236"/>
      <c r="ASA25" s="236"/>
      <c r="ASB25" s="236"/>
      <c r="ASC25" s="236"/>
      <c r="ASD25" s="236"/>
      <c r="ASE25" s="239"/>
      <c r="ASF25" s="236"/>
      <c r="ASG25" s="236"/>
      <c r="ASH25" s="236"/>
      <c r="ASI25" s="236"/>
      <c r="ASJ25" s="236"/>
      <c r="ASK25" s="238"/>
      <c r="ASL25" s="236"/>
      <c r="ASM25" s="236"/>
      <c r="ASN25" s="236"/>
      <c r="ASO25" s="236"/>
      <c r="ASP25" s="236"/>
      <c r="ASQ25" s="239"/>
      <c r="ASR25" s="236"/>
      <c r="ASS25" s="236"/>
      <c r="AST25" s="236"/>
      <c r="ASU25" s="236"/>
      <c r="ASV25" s="236"/>
      <c r="ASW25" s="238"/>
      <c r="ASX25" s="236"/>
      <c r="ASY25" s="236"/>
      <c r="ASZ25" s="236"/>
      <c r="ATA25" s="236"/>
      <c r="ATB25" s="236"/>
      <c r="ATC25" s="239"/>
      <c r="ATD25" s="236"/>
      <c r="ATE25" s="236"/>
      <c r="ATF25" s="236"/>
      <c r="ATG25" s="236"/>
      <c r="ATH25" s="236"/>
      <c r="ATI25" s="240"/>
      <c r="ATJ25" s="235"/>
      <c r="ATK25" s="236"/>
      <c r="ATL25" s="236"/>
      <c r="ATM25" s="236"/>
      <c r="ATN25" s="236"/>
      <c r="ATO25" s="237"/>
      <c r="ATP25" s="236"/>
      <c r="ATQ25" s="236"/>
      <c r="ATR25" s="236"/>
      <c r="ATS25" s="236"/>
      <c r="ATT25" s="236"/>
      <c r="ATU25" s="238"/>
      <c r="ATV25" s="236"/>
      <c r="ATW25" s="236"/>
      <c r="ATX25" s="236"/>
      <c r="ATY25" s="236"/>
      <c r="ATZ25" s="236"/>
      <c r="AUA25" s="239"/>
      <c r="AUB25" s="236"/>
      <c r="AUC25" s="236"/>
      <c r="AUD25" s="236"/>
      <c r="AUE25" s="236"/>
      <c r="AUF25" s="236"/>
      <c r="AUG25" s="238"/>
      <c r="AUH25" s="236"/>
      <c r="AUI25" s="236"/>
      <c r="AUJ25" s="236"/>
      <c r="AUK25" s="236"/>
      <c r="AUL25" s="236"/>
      <c r="AUM25" s="239"/>
      <c r="AUN25" s="236"/>
      <c r="AUO25" s="236"/>
      <c r="AUP25" s="236"/>
      <c r="AUQ25" s="236"/>
      <c r="AUR25" s="236"/>
      <c r="AUS25" s="238"/>
      <c r="AUT25" s="236"/>
      <c r="AUU25" s="236"/>
      <c r="AUV25" s="236"/>
      <c r="AUW25" s="236"/>
      <c r="AUX25" s="236"/>
      <c r="AUY25" s="239"/>
      <c r="AUZ25" s="236"/>
      <c r="AVA25" s="236"/>
      <c r="AVB25" s="236"/>
      <c r="AVC25" s="236"/>
      <c r="AVD25" s="236"/>
      <c r="AVE25" s="238"/>
      <c r="AVF25" s="236"/>
      <c r="AVG25" s="236"/>
      <c r="AVH25" s="236"/>
      <c r="AVI25" s="236"/>
      <c r="AVJ25" s="236"/>
      <c r="AVK25" s="239"/>
      <c r="AVL25" s="236"/>
      <c r="AVM25" s="236"/>
      <c r="AVN25" s="236"/>
      <c r="AVO25" s="236"/>
      <c r="AVP25" s="236"/>
      <c r="AVQ25" s="240"/>
      <c r="AVR25" s="235"/>
      <c r="AVS25" s="236"/>
      <c r="AVT25" s="236"/>
      <c r="AVU25" s="236"/>
      <c r="AVV25" s="236"/>
      <c r="AVW25" s="237"/>
      <c r="AVX25" s="236"/>
      <c r="AVY25" s="236"/>
      <c r="AVZ25" s="236"/>
      <c r="AWA25" s="236"/>
      <c r="AWB25" s="236"/>
      <c r="AWC25" s="238"/>
      <c r="AWD25" s="236"/>
      <c r="AWE25" s="236"/>
      <c r="AWF25" s="236"/>
      <c r="AWG25" s="236"/>
      <c r="AWH25" s="236"/>
      <c r="AWI25" s="239"/>
      <c r="AWJ25" s="236"/>
      <c r="AWK25" s="236"/>
      <c r="AWL25" s="236"/>
      <c r="AWM25" s="236"/>
      <c r="AWN25" s="236"/>
      <c r="AWO25" s="238"/>
      <c r="AWP25" s="236"/>
      <c r="AWQ25" s="236"/>
      <c r="AWR25" s="236"/>
      <c r="AWS25" s="236"/>
      <c r="AWT25" s="236"/>
      <c r="AWU25" s="239"/>
      <c r="AWV25" s="236"/>
      <c r="AWW25" s="236"/>
      <c r="AWX25" s="236"/>
      <c r="AWY25" s="236"/>
      <c r="AWZ25" s="236"/>
      <c r="AXA25" s="238"/>
      <c r="AXB25" s="236"/>
      <c r="AXC25" s="236"/>
      <c r="AXD25" s="236"/>
      <c r="AXE25" s="236"/>
      <c r="AXF25" s="236"/>
      <c r="AXG25" s="239"/>
      <c r="AXH25" s="236"/>
      <c r="AXI25" s="236"/>
      <c r="AXJ25" s="236"/>
      <c r="AXK25" s="236"/>
      <c r="AXL25" s="236"/>
      <c r="AXM25" s="238"/>
      <c r="AXN25" s="236"/>
      <c r="AXO25" s="236"/>
      <c r="AXP25" s="236"/>
      <c r="AXQ25" s="236"/>
      <c r="AXR25" s="236"/>
      <c r="AXS25" s="239"/>
      <c r="AXT25" s="236"/>
      <c r="AXU25" s="236"/>
      <c r="AXV25" s="236"/>
      <c r="AXW25" s="236"/>
      <c r="AXX25" s="236"/>
      <c r="AXY25" s="240"/>
      <c r="AXZ25" s="235"/>
      <c r="AYA25" s="236"/>
      <c r="AYB25" s="236"/>
      <c r="AYC25" s="236"/>
      <c r="AYD25" s="236"/>
      <c r="AYE25" s="237"/>
      <c r="AYF25" s="236"/>
      <c r="AYG25" s="236"/>
      <c r="AYH25" s="236"/>
      <c r="AYI25" s="236"/>
      <c r="AYJ25" s="236"/>
      <c r="AYK25" s="238"/>
      <c r="AYL25" s="236"/>
      <c r="AYM25" s="236"/>
      <c r="AYN25" s="236"/>
      <c r="AYO25" s="236"/>
      <c r="AYP25" s="236"/>
      <c r="AYQ25" s="239"/>
      <c r="AYR25" s="236"/>
      <c r="AYS25" s="236"/>
      <c r="AYT25" s="236"/>
      <c r="AYU25" s="236"/>
      <c r="AYV25" s="236"/>
      <c r="AYW25" s="238"/>
      <c r="AYX25" s="236"/>
      <c r="AYY25" s="236"/>
      <c r="AYZ25" s="236"/>
      <c r="AZA25" s="236"/>
      <c r="AZB25" s="236"/>
      <c r="AZC25" s="239"/>
      <c r="AZD25" s="236"/>
      <c r="AZE25" s="236"/>
      <c r="AZF25" s="236"/>
      <c r="AZG25" s="236"/>
      <c r="AZH25" s="236"/>
      <c r="AZI25" s="238"/>
      <c r="AZJ25" s="236"/>
      <c r="AZK25" s="236"/>
      <c r="AZL25" s="236"/>
      <c r="AZM25" s="236"/>
      <c r="AZN25" s="236"/>
      <c r="AZO25" s="239"/>
      <c r="AZP25" s="236"/>
      <c r="AZQ25" s="236"/>
      <c r="AZR25" s="236"/>
      <c r="AZS25" s="236"/>
      <c r="AZT25" s="236"/>
      <c r="AZU25" s="238"/>
      <c r="AZV25" s="236"/>
      <c r="AZW25" s="236"/>
      <c r="AZX25" s="236"/>
      <c r="AZY25" s="236"/>
      <c r="AZZ25" s="236"/>
      <c r="BAA25" s="239"/>
      <c r="BAB25" s="236"/>
      <c r="BAC25" s="236"/>
      <c r="BAD25" s="236"/>
      <c r="BAE25" s="236"/>
      <c r="BAF25" s="236"/>
      <c r="BAG25" s="240"/>
      <c r="BAH25" s="235"/>
      <c r="BAI25" s="236"/>
      <c r="BAJ25" s="236"/>
      <c r="BAK25" s="236"/>
      <c r="BAL25" s="236"/>
      <c r="BAM25" s="237"/>
      <c r="BAN25" s="236"/>
      <c r="BAO25" s="236"/>
      <c r="BAP25" s="236"/>
      <c r="BAQ25" s="236"/>
      <c r="BAR25" s="236"/>
      <c r="BAS25" s="238"/>
      <c r="BAT25" s="236"/>
      <c r="BAU25" s="236"/>
      <c r="BAV25" s="236"/>
      <c r="BAW25" s="236"/>
      <c r="BAX25" s="236"/>
      <c r="BAY25" s="239"/>
      <c r="BAZ25" s="236"/>
      <c r="BBA25" s="236"/>
      <c r="BBB25" s="236"/>
      <c r="BBC25" s="236"/>
      <c r="BBD25" s="236"/>
      <c r="BBE25" s="238"/>
      <c r="BBF25" s="236"/>
      <c r="BBG25" s="236"/>
      <c r="BBH25" s="236"/>
      <c r="BBI25" s="236"/>
      <c r="BBJ25" s="236"/>
      <c r="BBK25" s="239"/>
      <c r="BBL25" s="236"/>
      <c r="BBM25" s="236"/>
      <c r="BBN25" s="236"/>
      <c r="BBO25" s="236"/>
      <c r="BBP25" s="236"/>
      <c r="BBQ25" s="238"/>
      <c r="BBR25" s="236"/>
      <c r="BBS25" s="236"/>
      <c r="BBT25" s="236"/>
      <c r="BBU25" s="236"/>
      <c r="BBV25" s="236"/>
      <c r="BBW25" s="239"/>
      <c r="BBX25" s="236"/>
      <c r="BBY25" s="236"/>
      <c r="BBZ25" s="236"/>
      <c r="BCA25" s="236"/>
      <c r="BCB25" s="236"/>
      <c r="BCC25" s="238"/>
      <c r="BCD25" s="236"/>
      <c r="BCE25" s="236"/>
      <c r="BCF25" s="236"/>
      <c r="BCG25" s="236"/>
      <c r="BCH25" s="236"/>
      <c r="BCI25" s="239"/>
      <c r="BCJ25" s="236"/>
      <c r="BCK25" s="236"/>
      <c r="BCL25" s="236"/>
      <c r="BCM25" s="236"/>
      <c r="BCN25" s="236"/>
      <c r="BCO25" s="240"/>
      <c r="BCP25" s="235"/>
      <c r="BCQ25" s="236"/>
      <c r="BCR25" s="236"/>
      <c r="BCS25" s="236"/>
      <c r="BCT25" s="236"/>
      <c r="BCU25" s="237"/>
      <c r="BCV25" s="236"/>
      <c r="BCW25" s="236"/>
      <c r="BCX25" s="236"/>
      <c r="BCY25" s="236"/>
      <c r="BCZ25" s="236"/>
      <c r="BDA25" s="238"/>
      <c r="BDB25" s="236"/>
      <c r="BDC25" s="236"/>
      <c r="BDD25" s="236"/>
      <c r="BDE25" s="236"/>
      <c r="BDF25" s="236"/>
      <c r="BDG25" s="239"/>
      <c r="BDH25" s="236"/>
      <c r="BDI25" s="236"/>
      <c r="BDJ25" s="236"/>
      <c r="BDK25" s="236"/>
      <c r="BDL25" s="236"/>
      <c r="BDM25" s="238"/>
      <c r="BDN25" s="236"/>
      <c r="BDO25" s="236"/>
      <c r="BDP25" s="236"/>
      <c r="BDQ25" s="236"/>
      <c r="BDR25" s="236"/>
      <c r="BDS25" s="239"/>
      <c r="BDT25" s="236"/>
      <c r="BDU25" s="236"/>
      <c r="BDV25" s="236"/>
      <c r="BDW25" s="236"/>
      <c r="BDX25" s="236"/>
      <c r="BDY25" s="238"/>
      <c r="BDZ25" s="236"/>
      <c r="BEA25" s="236"/>
      <c r="BEB25" s="236"/>
      <c r="BEC25" s="236"/>
      <c r="BED25" s="236"/>
      <c r="BEE25" s="239"/>
      <c r="BEF25" s="236"/>
      <c r="BEG25" s="236"/>
      <c r="BEH25" s="236"/>
      <c r="BEI25" s="236"/>
      <c r="BEJ25" s="236"/>
      <c r="BEK25" s="238"/>
      <c r="BEL25" s="236"/>
      <c r="BEM25" s="236"/>
      <c r="BEN25" s="236"/>
      <c r="BEO25" s="236"/>
      <c r="BEP25" s="236"/>
      <c r="BEQ25" s="239"/>
      <c r="BER25" s="236"/>
      <c r="BES25" s="236"/>
      <c r="BET25" s="236"/>
      <c r="BEU25" s="236"/>
      <c r="BEV25" s="236"/>
      <c r="BEW25" s="240"/>
      <c r="BEX25" s="235"/>
      <c r="BEY25" s="236"/>
      <c r="BEZ25" s="236"/>
      <c r="BFA25" s="236"/>
      <c r="BFB25" s="236"/>
      <c r="BFC25" s="237"/>
      <c r="BFD25" s="236"/>
      <c r="BFE25" s="236"/>
      <c r="BFF25" s="236"/>
      <c r="BFG25" s="236"/>
      <c r="BFH25" s="236"/>
      <c r="BFI25" s="238"/>
      <c r="BFJ25" s="236"/>
      <c r="BFK25" s="236"/>
      <c r="BFL25" s="236"/>
      <c r="BFM25" s="236"/>
      <c r="BFN25" s="236"/>
      <c r="BFO25" s="239"/>
      <c r="BFP25" s="236"/>
      <c r="BFQ25" s="236"/>
      <c r="BFR25" s="236"/>
      <c r="BFS25" s="236"/>
      <c r="BFT25" s="236"/>
      <c r="BFU25" s="238"/>
      <c r="BFV25" s="236"/>
      <c r="BFW25" s="236"/>
      <c r="BFX25" s="236"/>
      <c r="BFY25" s="236"/>
      <c r="BFZ25" s="236"/>
      <c r="BGA25" s="239"/>
      <c r="BGB25" s="236"/>
      <c r="BGC25" s="236"/>
      <c r="BGD25" s="236"/>
      <c r="BGE25" s="236"/>
      <c r="BGF25" s="236"/>
      <c r="BGG25" s="238"/>
      <c r="BGH25" s="236"/>
      <c r="BGI25" s="236"/>
      <c r="BGJ25" s="236"/>
      <c r="BGK25" s="236"/>
      <c r="BGL25" s="236"/>
      <c r="BGM25" s="239"/>
      <c r="BGN25" s="236"/>
      <c r="BGO25" s="236"/>
      <c r="BGP25" s="236"/>
      <c r="BGQ25" s="236"/>
      <c r="BGR25" s="236"/>
      <c r="BGS25" s="238"/>
      <c r="BGT25" s="236"/>
      <c r="BGU25" s="236"/>
      <c r="BGV25" s="236"/>
      <c r="BGW25" s="236"/>
      <c r="BGX25" s="236"/>
      <c r="BGY25" s="239"/>
      <c r="BGZ25" s="236"/>
      <c r="BHA25" s="236"/>
      <c r="BHB25" s="236"/>
      <c r="BHC25" s="236"/>
      <c r="BHD25" s="236"/>
      <c r="BHE25" s="240"/>
      <c r="BHF25" s="235"/>
      <c r="BHG25" s="236"/>
      <c r="BHH25" s="236"/>
      <c r="BHI25" s="236"/>
      <c r="BHJ25" s="236"/>
      <c r="BHK25" s="237"/>
      <c r="BHL25" s="236"/>
      <c r="BHM25" s="236"/>
      <c r="BHN25" s="236"/>
      <c r="BHO25" s="236"/>
      <c r="BHP25" s="236"/>
      <c r="BHQ25" s="238"/>
      <c r="BHR25" s="236"/>
      <c r="BHS25" s="236"/>
      <c r="BHT25" s="236"/>
      <c r="BHU25" s="236"/>
      <c r="BHV25" s="236"/>
      <c r="BHW25" s="239"/>
      <c r="BHX25" s="236"/>
      <c r="BHY25" s="236"/>
      <c r="BHZ25" s="236"/>
      <c r="BIA25" s="236"/>
      <c r="BIB25" s="236"/>
      <c r="BIC25" s="238"/>
      <c r="BID25" s="236"/>
      <c r="BIE25" s="236"/>
      <c r="BIF25" s="236"/>
      <c r="BIG25" s="236"/>
      <c r="BIH25" s="236"/>
      <c r="BII25" s="239"/>
      <c r="BIJ25" s="236"/>
      <c r="BIK25" s="236"/>
      <c r="BIL25" s="236"/>
      <c r="BIM25" s="236"/>
      <c r="BIN25" s="236"/>
      <c r="BIO25" s="238"/>
      <c r="BIP25" s="236"/>
      <c r="BIQ25" s="236"/>
      <c r="BIR25" s="236"/>
      <c r="BIS25" s="236"/>
      <c r="BIT25" s="236"/>
      <c r="BIU25" s="239"/>
      <c r="BIV25" s="236"/>
      <c r="BIW25" s="236"/>
      <c r="BIX25" s="236"/>
      <c r="BIY25" s="236"/>
      <c r="BIZ25" s="236"/>
      <c r="BJA25" s="238"/>
      <c r="BJB25" s="236"/>
      <c r="BJC25" s="236"/>
      <c r="BJD25" s="236"/>
      <c r="BJE25" s="236"/>
      <c r="BJF25" s="236"/>
      <c r="BJG25" s="239"/>
      <c r="BJH25" s="236"/>
      <c r="BJI25" s="236"/>
      <c r="BJJ25" s="236"/>
      <c r="BJK25" s="236"/>
      <c r="BJL25" s="236"/>
      <c r="BJM25" s="240"/>
      <c r="BJN25" s="233"/>
      <c r="BJO25" s="234"/>
      <c r="BJP25" s="234"/>
      <c r="BJQ25" s="234"/>
      <c r="BJR25" s="234"/>
      <c r="BJS25" s="234"/>
      <c r="BJT25" s="234"/>
      <c r="BJU25" s="234"/>
      <c r="BJV25" s="234"/>
      <c r="BJW25" s="234"/>
      <c r="BJX25" s="234"/>
      <c r="BJY25" s="234"/>
      <c r="BJZ25" s="234"/>
      <c r="BKA25" s="234"/>
      <c r="BKB25" s="234"/>
      <c r="BKC25" s="234"/>
      <c r="BKD25" s="234"/>
      <c r="BKE25" s="234"/>
      <c r="BKF25" s="234"/>
      <c r="BKG25" s="234"/>
      <c r="BKH25" s="234"/>
      <c r="BKI25" s="234"/>
      <c r="BKJ25" s="234"/>
      <c r="BKK25" s="234"/>
      <c r="BKL25" s="234"/>
      <c r="BKM25" s="234"/>
      <c r="BKN25" s="234"/>
    </row>
    <row r="26" spans="1:1653" ht="20.100000000000001" customHeight="1" x14ac:dyDescent="0.3">
      <c r="A26" s="84" t="s">
        <v>20</v>
      </c>
      <c r="B26" s="53" t="str">
        <f>IF(LEN(C37)=0,"",C37)</f>
        <v>Réalisation - Consulter les activités</v>
      </c>
      <c r="C26" s="178"/>
      <c r="D26" s="131" t="str">
        <f t="shared" si="0"/>
        <v>6h35min</v>
      </c>
      <c r="E26" s="30">
        <v>79</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165"/>
      <c r="GE26" s="166"/>
      <c r="GF26" s="166"/>
      <c r="GG26" s="166"/>
      <c r="GH26" s="166"/>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165"/>
      <c r="IM26" s="166"/>
      <c r="IN26" s="166"/>
      <c r="IO26" s="166"/>
      <c r="IP26" s="166"/>
      <c r="IQ26" s="167"/>
      <c r="IR26" s="166"/>
      <c r="IS26" s="166"/>
      <c r="IT26" s="166"/>
      <c r="IU26" s="166"/>
      <c r="IV26" s="166"/>
      <c r="IW26" s="168"/>
      <c r="IX26" s="32"/>
      <c r="IY26" s="32"/>
      <c r="IZ26" s="32"/>
      <c r="JA26" s="32"/>
      <c r="JB26" s="32"/>
      <c r="JC26" s="60"/>
      <c r="JD26" s="32"/>
      <c r="JE26" s="32"/>
      <c r="JF26" s="32"/>
      <c r="JG26" s="32"/>
      <c r="JH26" s="32"/>
      <c r="JI26" s="121"/>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165"/>
      <c r="KU26" s="166"/>
      <c r="KV26" s="166"/>
      <c r="KW26" s="166"/>
      <c r="KX26" s="166"/>
      <c r="KY26" s="167"/>
      <c r="KZ26" s="166"/>
      <c r="LA26" s="166"/>
      <c r="LB26" s="166"/>
      <c r="LC26" s="166"/>
      <c r="LD26" s="166"/>
      <c r="LE26" s="168"/>
      <c r="LF26" s="166"/>
      <c r="LG26" s="166"/>
      <c r="LH26" s="166"/>
      <c r="LI26" s="166"/>
      <c r="LJ26" s="166"/>
      <c r="LK26" s="169"/>
      <c r="LL26" s="166"/>
      <c r="LM26" s="166"/>
      <c r="LN26" s="166"/>
      <c r="LO26" s="166"/>
      <c r="LP26" s="166"/>
      <c r="LQ26" s="168"/>
      <c r="LR26" s="166"/>
      <c r="LS26" s="166"/>
      <c r="LT26" s="166"/>
      <c r="LU26" s="166"/>
      <c r="LV26" s="166"/>
      <c r="LW26" s="169"/>
      <c r="LX26" s="166"/>
      <c r="LY26" s="166"/>
      <c r="LZ26" s="166"/>
      <c r="MA26" s="166"/>
      <c r="MB26" s="166"/>
      <c r="MC26" s="168"/>
      <c r="MD26" s="166"/>
      <c r="ME26" s="166"/>
      <c r="MF26" s="166"/>
      <c r="MG26" s="166"/>
      <c r="MH26" s="166"/>
      <c r="MI26" s="169"/>
      <c r="MJ26" s="166"/>
      <c r="MK26" s="166"/>
      <c r="ML26" s="32"/>
      <c r="MM26" s="32"/>
      <c r="MN26" s="32"/>
      <c r="MO26" s="121"/>
      <c r="MP26" s="32"/>
      <c r="MQ26" s="32"/>
      <c r="MR26" s="32"/>
      <c r="MS26" s="32"/>
      <c r="MT26" s="32"/>
      <c r="MU26" s="60"/>
      <c r="MV26" s="32"/>
      <c r="MW26" s="32"/>
      <c r="MX26" s="32"/>
      <c r="MY26" s="32"/>
      <c r="MZ26" s="32"/>
      <c r="NA26" s="33"/>
      <c r="NB26" s="165"/>
      <c r="NC26" s="166"/>
      <c r="ND26" s="166"/>
      <c r="NE26" s="166"/>
      <c r="NF26" s="166"/>
      <c r="NG26" s="167"/>
      <c r="NH26" s="166"/>
      <c r="NI26" s="166"/>
      <c r="NJ26" s="166"/>
      <c r="NK26" s="166"/>
      <c r="NL26" s="166"/>
      <c r="NM26" s="168"/>
      <c r="NN26" s="166"/>
      <c r="NO26" s="166"/>
      <c r="NP26" s="166"/>
      <c r="NQ26" s="166"/>
      <c r="NR26" s="166"/>
      <c r="NS26" s="169"/>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174"/>
      <c r="BJO26" s="4"/>
      <c r="BJP26" s="4"/>
      <c r="BJQ26" s="4"/>
      <c r="BJR26" s="4"/>
      <c r="BJS26" s="4"/>
      <c r="BJT26" s="4"/>
      <c r="BJU26" s="4"/>
      <c r="BJV26" s="4"/>
      <c r="BJW26" s="4"/>
      <c r="BJX26" s="4"/>
      <c r="BJY26" s="4"/>
      <c r="BJZ26" s="4"/>
      <c r="BKA26" s="4"/>
      <c r="BKB26" s="4"/>
      <c r="BKC26" s="4"/>
      <c r="BKD26" s="4"/>
      <c r="BKE26" s="4"/>
      <c r="BKF26" s="4"/>
      <c r="BKG26" s="4"/>
      <c r="BKH26" s="4"/>
      <c r="BKI26" s="4"/>
      <c r="BKJ26" s="4"/>
      <c r="BKK26" s="4"/>
      <c r="BKL26" s="4"/>
      <c r="BKM26" s="4"/>
      <c r="BKN26" s="4"/>
    </row>
    <row r="27" spans="1:1653" ht="20.100000000000001" customHeight="1" x14ac:dyDescent="0.25">
      <c r="A27" s="84" t="s">
        <v>19</v>
      </c>
      <c r="B27" s="53" t="str">
        <f>IF(LEN(C39)=0,"",C39)</f>
        <v>Réalisation - S'inscrire à une activité</v>
      </c>
      <c r="C27" s="177" t="s">
        <v>56</v>
      </c>
      <c r="D27" s="129" t="str">
        <f t="shared" si="0"/>
        <v>3h10min</v>
      </c>
      <c r="E27" s="34">
        <v>38</v>
      </c>
      <c r="F27" s="241"/>
      <c r="G27" s="242"/>
      <c r="H27" s="242"/>
      <c r="I27" s="242"/>
      <c r="J27" s="242"/>
      <c r="K27" s="243"/>
      <c r="L27" s="242"/>
      <c r="M27" s="242"/>
      <c r="N27" s="242"/>
      <c r="O27" s="242"/>
      <c r="P27" s="242"/>
      <c r="Q27" s="244"/>
      <c r="R27" s="242"/>
      <c r="S27" s="242"/>
      <c r="T27" s="242"/>
      <c r="U27" s="242"/>
      <c r="V27" s="242"/>
      <c r="W27" s="245"/>
      <c r="X27" s="242"/>
      <c r="Y27" s="242"/>
      <c r="Z27" s="242"/>
      <c r="AA27" s="242"/>
      <c r="AB27" s="242"/>
      <c r="AC27" s="244"/>
      <c r="AD27" s="242"/>
      <c r="AE27" s="242"/>
      <c r="AF27" s="242"/>
      <c r="AG27" s="242"/>
      <c r="AH27" s="242"/>
      <c r="AI27" s="245"/>
      <c r="AJ27" s="242"/>
      <c r="AK27" s="242"/>
      <c r="AL27" s="242"/>
      <c r="AM27" s="242"/>
      <c r="AN27" s="242"/>
      <c r="AO27" s="244"/>
      <c r="AP27" s="242"/>
      <c r="AQ27" s="242"/>
      <c r="AR27" s="242"/>
      <c r="AS27" s="242"/>
      <c r="AT27" s="242"/>
      <c r="AU27" s="245"/>
      <c r="AV27" s="242"/>
      <c r="AW27" s="242"/>
      <c r="AX27" s="242"/>
      <c r="AY27" s="242"/>
      <c r="AZ27" s="242"/>
      <c r="BA27" s="244"/>
      <c r="BB27" s="242"/>
      <c r="BC27" s="242"/>
      <c r="BD27" s="242"/>
      <c r="BE27" s="242"/>
      <c r="BF27" s="242"/>
      <c r="BG27" s="245"/>
      <c r="BH27" s="242"/>
      <c r="BI27" s="242"/>
      <c r="BJ27" s="242"/>
      <c r="BK27" s="242"/>
      <c r="BL27" s="242"/>
      <c r="BM27" s="246"/>
      <c r="BN27" s="241"/>
      <c r="BO27" s="242"/>
      <c r="BP27" s="242"/>
      <c r="BQ27" s="242"/>
      <c r="BR27" s="242"/>
      <c r="BS27" s="243"/>
      <c r="BT27" s="242"/>
      <c r="BU27" s="242"/>
      <c r="BV27" s="242"/>
      <c r="BW27" s="242"/>
      <c r="BX27" s="242"/>
      <c r="BY27" s="244"/>
      <c r="BZ27" s="242"/>
      <c r="CA27" s="242"/>
      <c r="CB27" s="242"/>
      <c r="CC27" s="242"/>
      <c r="CD27" s="242"/>
      <c r="CE27" s="245"/>
      <c r="CF27" s="242"/>
      <c r="CG27" s="242"/>
      <c r="CH27" s="242"/>
      <c r="CI27" s="242"/>
      <c r="CJ27" s="242"/>
      <c r="CK27" s="244"/>
      <c r="CL27" s="242"/>
      <c r="CM27" s="242"/>
      <c r="CN27" s="242"/>
      <c r="CO27" s="242"/>
      <c r="CP27" s="242"/>
      <c r="CQ27" s="245"/>
      <c r="CR27" s="242"/>
      <c r="CS27" s="242"/>
      <c r="CT27" s="242"/>
      <c r="CU27" s="242"/>
      <c r="CV27" s="242"/>
      <c r="CW27" s="244"/>
      <c r="CX27" s="242"/>
      <c r="CY27" s="242"/>
      <c r="CZ27" s="242"/>
      <c r="DA27" s="242"/>
      <c r="DB27" s="242"/>
      <c r="DC27" s="245"/>
      <c r="DD27" s="242"/>
      <c r="DE27" s="242"/>
      <c r="DF27" s="242"/>
      <c r="DG27" s="242"/>
      <c r="DH27" s="242"/>
      <c r="DI27" s="244"/>
      <c r="DJ27" s="242"/>
      <c r="DK27" s="242"/>
      <c r="DL27" s="242"/>
      <c r="DM27" s="242"/>
      <c r="DN27" s="242"/>
      <c r="DO27" s="245"/>
      <c r="DP27" s="242"/>
      <c r="DQ27" s="242"/>
      <c r="DR27" s="242"/>
      <c r="DS27" s="242"/>
      <c r="DT27" s="242"/>
      <c r="DU27" s="246"/>
      <c r="DV27" s="241"/>
      <c r="DW27" s="242"/>
      <c r="DX27" s="242"/>
      <c r="DY27" s="242"/>
      <c r="DZ27" s="242"/>
      <c r="EA27" s="243"/>
      <c r="EB27" s="242"/>
      <c r="EC27" s="242"/>
      <c r="ED27" s="242"/>
      <c r="EE27" s="242"/>
      <c r="EF27" s="242"/>
      <c r="EG27" s="244"/>
      <c r="EH27" s="242"/>
      <c r="EI27" s="242"/>
      <c r="EJ27" s="242"/>
      <c r="EK27" s="242"/>
      <c r="EL27" s="242"/>
      <c r="EM27" s="245"/>
      <c r="EN27" s="242"/>
      <c r="EO27" s="242"/>
      <c r="EP27" s="242"/>
      <c r="EQ27" s="242"/>
      <c r="ER27" s="242"/>
      <c r="ES27" s="244"/>
      <c r="ET27" s="242"/>
      <c r="EU27" s="242"/>
      <c r="EV27" s="242"/>
      <c r="EW27" s="242"/>
      <c r="EX27" s="242"/>
      <c r="EY27" s="245"/>
      <c r="EZ27" s="242"/>
      <c r="FA27" s="242"/>
      <c r="FB27" s="242"/>
      <c r="FC27" s="242"/>
      <c r="FD27" s="242"/>
      <c r="FE27" s="244"/>
      <c r="FF27" s="242"/>
      <c r="FG27" s="242"/>
      <c r="FH27" s="242"/>
      <c r="FI27" s="242"/>
      <c r="FJ27" s="242"/>
      <c r="FK27" s="245"/>
      <c r="FL27" s="242"/>
      <c r="FM27" s="242"/>
      <c r="FN27" s="242"/>
      <c r="FO27" s="242"/>
      <c r="FP27" s="242"/>
      <c r="FQ27" s="244"/>
      <c r="FR27" s="242"/>
      <c r="FS27" s="242"/>
      <c r="FT27" s="242"/>
      <c r="FU27" s="242"/>
      <c r="FV27" s="242"/>
      <c r="FW27" s="245"/>
      <c r="FX27" s="242"/>
      <c r="FY27" s="242"/>
      <c r="FZ27" s="242"/>
      <c r="GA27" s="242"/>
      <c r="GB27" s="242"/>
      <c r="GC27" s="246"/>
      <c r="GD27" s="241"/>
      <c r="GE27" s="242"/>
      <c r="GF27" s="242"/>
      <c r="GG27" s="242"/>
      <c r="GH27" s="242"/>
      <c r="GI27" s="243"/>
      <c r="GJ27" s="242"/>
      <c r="GK27" s="242"/>
      <c r="GL27" s="242"/>
      <c r="GM27" s="242"/>
      <c r="GN27" s="242"/>
      <c r="GO27" s="244"/>
      <c r="GP27" s="242"/>
      <c r="GQ27" s="242"/>
      <c r="GR27" s="242"/>
      <c r="GS27" s="242"/>
      <c r="GT27" s="242"/>
      <c r="GU27" s="245"/>
      <c r="GV27" s="242"/>
      <c r="GW27" s="242"/>
      <c r="GX27" s="242"/>
      <c r="GY27" s="242"/>
      <c r="GZ27" s="242"/>
      <c r="HA27" s="244"/>
      <c r="HB27" s="242"/>
      <c r="HC27" s="242"/>
      <c r="HD27" s="242"/>
      <c r="HE27" s="242"/>
      <c r="HF27" s="242"/>
      <c r="HG27" s="245"/>
      <c r="HH27" s="242"/>
      <c r="HI27" s="242"/>
      <c r="HJ27" s="242"/>
      <c r="HK27" s="242"/>
      <c r="HL27" s="242"/>
      <c r="HM27" s="244"/>
      <c r="HN27" s="242"/>
      <c r="HO27" s="242"/>
      <c r="HP27" s="242"/>
      <c r="HQ27" s="242"/>
      <c r="HR27" s="242"/>
      <c r="HS27" s="245"/>
      <c r="HT27" s="242"/>
      <c r="HU27" s="242"/>
      <c r="HV27" s="242"/>
      <c r="HW27" s="242"/>
      <c r="HX27" s="242"/>
      <c r="HY27" s="244"/>
      <c r="HZ27" s="242"/>
      <c r="IA27" s="242"/>
      <c r="IB27" s="242"/>
      <c r="IC27" s="242"/>
      <c r="ID27" s="242"/>
      <c r="IE27" s="245"/>
      <c r="IF27" s="242"/>
      <c r="IG27" s="242"/>
      <c r="IH27" s="242"/>
      <c r="II27" s="242"/>
      <c r="IJ27" s="242"/>
      <c r="IK27" s="246"/>
      <c r="IL27" s="148"/>
      <c r="IM27" s="153"/>
      <c r="IN27" s="153"/>
      <c r="IO27" s="153"/>
      <c r="IP27" s="153"/>
      <c r="IQ27" s="155"/>
      <c r="IR27" s="153"/>
      <c r="IS27" s="153"/>
      <c r="IT27" s="153"/>
      <c r="IU27" s="153"/>
      <c r="IV27" s="153"/>
      <c r="IW27" s="154"/>
      <c r="IX27" s="153"/>
      <c r="IY27" s="153"/>
      <c r="IZ27" s="153"/>
      <c r="JA27" s="153"/>
      <c r="JB27" s="153"/>
      <c r="JC27" s="156"/>
      <c r="JD27" s="153"/>
      <c r="JE27" s="153"/>
      <c r="JF27" s="153"/>
      <c r="JG27" s="153"/>
      <c r="JH27" s="242"/>
      <c r="JI27" s="244"/>
      <c r="JJ27" s="242"/>
      <c r="JK27" s="242"/>
      <c r="JL27" s="242"/>
      <c r="JM27" s="242"/>
      <c r="JN27" s="242"/>
      <c r="JO27" s="245"/>
      <c r="JP27" s="242"/>
      <c r="JQ27" s="242"/>
      <c r="JR27" s="242"/>
      <c r="JS27" s="242"/>
      <c r="JT27" s="242"/>
      <c r="JU27" s="244"/>
      <c r="JV27" s="242"/>
      <c r="JW27" s="242"/>
      <c r="JX27" s="242"/>
      <c r="JY27" s="242"/>
      <c r="JZ27" s="242"/>
      <c r="KA27" s="245"/>
      <c r="KB27" s="242"/>
      <c r="KC27" s="242"/>
      <c r="KD27" s="242"/>
      <c r="KE27" s="242"/>
      <c r="KF27" s="242"/>
      <c r="KG27" s="244"/>
      <c r="KH27" s="242"/>
      <c r="KI27" s="242"/>
      <c r="KJ27" s="242"/>
      <c r="KK27" s="242"/>
      <c r="KL27" s="242"/>
      <c r="KM27" s="245"/>
      <c r="KN27" s="242"/>
      <c r="KO27" s="242"/>
      <c r="KP27" s="242"/>
      <c r="KQ27" s="242"/>
      <c r="KR27" s="242"/>
      <c r="KS27" s="246"/>
      <c r="KT27" s="148"/>
      <c r="KU27" s="153"/>
      <c r="KV27" s="153"/>
      <c r="KW27" s="153"/>
      <c r="KX27" s="153"/>
      <c r="KY27" s="155"/>
      <c r="KZ27" s="153"/>
      <c r="LA27" s="153"/>
      <c r="LB27" s="153"/>
      <c r="LC27" s="153"/>
      <c r="LD27" s="153"/>
      <c r="LE27" s="154"/>
      <c r="LF27" s="153"/>
      <c r="LG27" s="153"/>
      <c r="LH27" s="153"/>
      <c r="LI27" s="153"/>
      <c r="LJ27" s="242"/>
      <c r="LK27" s="245"/>
      <c r="LL27" s="242"/>
      <c r="LM27" s="242"/>
      <c r="LN27" s="242"/>
      <c r="LO27" s="242"/>
      <c r="LP27" s="242"/>
      <c r="LQ27" s="244"/>
      <c r="LR27" s="242"/>
      <c r="LS27" s="242"/>
      <c r="LT27" s="242"/>
      <c r="LU27" s="242"/>
      <c r="LV27" s="242"/>
      <c r="LW27" s="245"/>
      <c r="LX27" s="242"/>
      <c r="LY27" s="242"/>
      <c r="LZ27" s="242"/>
      <c r="MA27" s="242"/>
      <c r="MB27" s="242"/>
      <c r="MC27" s="244"/>
      <c r="MD27" s="242"/>
      <c r="ME27" s="242"/>
      <c r="MF27" s="242"/>
      <c r="MG27" s="242"/>
      <c r="MH27" s="242"/>
      <c r="MI27" s="245"/>
      <c r="MJ27" s="242"/>
      <c r="MK27" s="242"/>
      <c r="ML27" s="242"/>
      <c r="MM27" s="242"/>
      <c r="MN27" s="242"/>
      <c r="MO27" s="244"/>
      <c r="MP27" s="242"/>
      <c r="MQ27" s="242"/>
      <c r="MR27" s="242"/>
      <c r="MS27" s="242"/>
      <c r="MT27" s="242"/>
      <c r="MU27" s="245"/>
      <c r="MV27" s="242"/>
      <c r="MW27" s="242"/>
      <c r="MX27" s="242"/>
      <c r="MY27" s="242"/>
      <c r="MZ27" s="242"/>
      <c r="NA27" s="246"/>
      <c r="NB27" s="241"/>
      <c r="NC27" s="242"/>
      <c r="ND27" s="242"/>
      <c r="NE27" s="242"/>
      <c r="NF27" s="242"/>
      <c r="NG27" s="243"/>
      <c r="NH27" s="242"/>
      <c r="NI27" s="242"/>
      <c r="NJ27" s="242"/>
      <c r="NK27" s="242"/>
      <c r="NL27" s="242"/>
      <c r="NM27" s="244"/>
      <c r="NN27" s="242"/>
      <c r="NO27" s="242"/>
      <c r="NP27" s="242"/>
      <c r="NQ27" s="242"/>
      <c r="NR27" s="242"/>
      <c r="NS27" s="245"/>
      <c r="NT27" s="242"/>
      <c r="NU27" s="242"/>
      <c r="NV27" s="242"/>
      <c r="NW27" s="242"/>
      <c r="NX27" s="242"/>
      <c r="NY27" s="244"/>
      <c r="NZ27" s="242"/>
      <c r="OA27" s="242"/>
      <c r="OB27" s="242"/>
      <c r="OC27" s="242"/>
      <c r="OD27" s="242"/>
      <c r="OE27" s="245"/>
      <c r="OF27" s="242"/>
      <c r="OG27" s="242"/>
      <c r="OH27" s="242"/>
      <c r="OI27" s="242"/>
      <c r="OJ27" s="242"/>
      <c r="OK27" s="244"/>
      <c r="OL27" s="242"/>
      <c r="OM27" s="242"/>
      <c r="ON27" s="242"/>
      <c r="OO27" s="242"/>
      <c r="OP27" s="242"/>
      <c r="OQ27" s="245"/>
      <c r="OR27" s="242"/>
      <c r="OS27" s="242"/>
      <c r="OT27" s="242"/>
      <c r="OU27" s="242"/>
      <c r="OV27" s="242"/>
      <c r="OW27" s="244"/>
      <c r="OX27" s="242"/>
      <c r="OY27" s="242"/>
      <c r="OZ27" s="242"/>
      <c r="PA27" s="242"/>
      <c r="PB27" s="242"/>
      <c r="PC27" s="245"/>
      <c r="PD27" s="242"/>
      <c r="PE27" s="242"/>
      <c r="PF27" s="242"/>
      <c r="PG27" s="242"/>
      <c r="PH27" s="242"/>
      <c r="PI27" s="246"/>
      <c r="PJ27" s="241"/>
      <c r="PK27" s="242"/>
      <c r="PL27" s="242"/>
      <c r="PM27" s="242"/>
      <c r="PN27" s="242"/>
      <c r="PO27" s="243"/>
      <c r="PP27" s="242"/>
      <c r="PQ27" s="242"/>
      <c r="PR27" s="242"/>
      <c r="PS27" s="242"/>
      <c r="PT27" s="242"/>
      <c r="PU27" s="244"/>
      <c r="PV27" s="242"/>
      <c r="PW27" s="242"/>
      <c r="PX27" s="242"/>
      <c r="PY27" s="242"/>
      <c r="PZ27" s="242"/>
      <c r="QA27" s="245"/>
      <c r="QB27" s="242"/>
      <c r="QC27" s="242"/>
      <c r="QD27" s="242"/>
      <c r="QE27" s="242"/>
      <c r="QF27" s="242"/>
      <c r="QG27" s="244"/>
      <c r="QH27" s="242"/>
      <c r="QI27" s="242"/>
      <c r="QJ27" s="242"/>
      <c r="QK27" s="242"/>
      <c r="QL27" s="242"/>
      <c r="QM27" s="245"/>
      <c r="QN27" s="242"/>
      <c r="QO27" s="242"/>
      <c r="QP27" s="242"/>
      <c r="QQ27" s="242"/>
      <c r="QR27" s="242"/>
      <c r="QS27" s="244"/>
      <c r="QT27" s="242"/>
      <c r="QU27" s="242"/>
      <c r="QV27" s="242"/>
      <c r="QW27" s="242"/>
      <c r="QX27" s="242"/>
      <c r="QY27" s="245"/>
      <c r="QZ27" s="242"/>
      <c r="RA27" s="242"/>
      <c r="RB27" s="242"/>
      <c r="RC27" s="242"/>
      <c r="RD27" s="242"/>
      <c r="RE27" s="244"/>
      <c r="RF27" s="242"/>
      <c r="RG27" s="242"/>
      <c r="RH27" s="242"/>
      <c r="RI27" s="242"/>
      <c r="RJ27" s="242"/>
      <c r="RK27" s="245"/>
      <c r="RL27" s="242"/>
      <c r="RM27" s="242"/>
      <c r="RN27" s="242"/>
      <c r="RO27" s="242"/>
      <c r="RP27" s="242"/>
      <c r="RQ27" s="246"/>
      <c r="RR27" s="241"/>
      <c r="RS27" s="242"/>
      <c r="RT27" s="242"/>
      <c r="RU27" s="242"/>
      <c r="RV27" s="242"/>
      <c r="RW27" s="243"/>
      <c r="RX27" s="242"/>
      <c r="RY27" s="242"/>
      <c r="RZ27" s="242"/>
      <c r="SA27" s="242"/>
      <c r="SB27" s="242"/>
      <c r="SC27" s="244"/>
      <c r="SD27" s="242"/>
      <c r="SE27" s="242"/>
      <c r="SF27" s="242"/>
      <c r="SG27" s="242"/>
      <c r="SH27" s="242"/>
      <c r="SI27" s="245"/>
      <c r="SJ27" s="242"/>
      <c r="SK27" s="242"/>
      <c r="SL27" s="242"/>
      <c r="SM27" s="242"/>
      <c r="SN27" s="242"/>
      <c r="SO27" s="244"/>
      <c r="SP27" s="242"/>
      <c r="SQ27" s="242"/>
      <c r="SR27" s="242"/>
      <c r="SS27" s="242"/>
      <c r="ST27" s="242"/>
      <c r="SU27" s="245"/>
      <c r="SV27" s="242"/>
      <c r="SW27" s="242"/>
      <c r="SX27" s="242"/>
      <c r="SY27" s="242"/>
      <c r="SZ27" s="242"/>
      <c r="TA27" s="244"/>
      <c r="TB27" s="242"/>
      <c r="TC27" s="242"/>
      <c r="TD27" s="242"/>
      <c r="TE27" s="242"/>
      <c r="TF27" s="242"/>
      <c r="TG27" s="245"/>
      <c r="TH27" s="242"/>
      <c r="TI27" s="242"/>
      <c r="TJ27" s="242"/>
      <c r="TK27" s="242"/>
      <c r="TL27" s="242"/>
      <c r="TM27" s="244"/>
      <c r="TN27" s="242"/>
      <c r="TO27" s="242"/>
      <c r="TP27" s="242"/>
      <c r="TQ27" s="242"/>
      <c r="TR27" s="242"/>
      <c r="TS27" s="245"/>
      <c r="TT27" s="242"/>
      <c r="TU27" s="242"/>
      <c r="TV27" s="242"/>
      <c r="TW27" s="242"/>
      <c r="TX27" s="242"/>
      <c r="TY27" s="246"/>
      <c r="TZ27" s="241"/>
      <c r="UA27" s="242"/>
      <c r="UB27" s="242"/>
      <c r="UC27" s="242"/>
      <c r="UD27" s="242"/>
      <c r="UE27" s="243"/>
      <c r="UF27" s="242"/>
      <c r="UG27" s="242"/>
      <c r="UH27" s="242"/>
      <c r="UI27" s="242"/>
      <c r="UJ27" s="242"/>
      <c r="UK27" s="244"/>
      <c r="UL27" s="242"/>
      <c r="UM27" s="242"/>
      <c r="UN27" s="242"/>
      <c r="UO27" s="242"/>
      <c r="UP27" s="242"/>
      <c r="UQ27" s="245"/>
      <c r="UR27" s="242"/>
      <c r="US27" s="242"/>
      <c r="UT27" s="242"/>
      <c r="UU27" s="242"/>
      <c r="UV27" s="242"/>
      <c r="UW27" s="244"/>
      <c r="UX27" s="242"/>
      <c r="UY27" s="242"/>
      <c r="UZ27" s="242"/>
      <c r="VA27" s="242"/>
      <c r="VB27" s="242"/>
      <c r="VC27" s="245"/>
      <c r="VD27" s="242"/>
      <c r="VE27" s="242"/>
      <c r="VF27" s="242"/>
      <c r="VG27" s="242"/>
      <c r="VH27" s="242"/>
      <c r="VI27" s="244"/>
      <c r="VJ27" s="242"/>
      <c r="VK27" s="242"/>
      <c r="VL27" s="242"/>
      <c r="VM27" s="242"/>
      <c r="VN27" s="242"/>
      <c r="VO27" s="245"/>
      <c r="VP27" s="242"/>
      <c r="VQ27" s="242"/>
      <c r="VR27" s="242"/>
      <c r="VS27" s="242"/>
      <c r="VT27" s="242"/>
      <c r="VU27" s="244"/>
      <c r="VV27" s="242"/>
      <c r="VW27" s="242"/>
      <c r="VX27" s="242"/>
      <c r="VY27" s="242"/>
      <c r="VZ27" s="242"/>
      <c r="WA27" s="245"/>
      <c r="WB27" s="242"/>
      <c r="WC27" s="242"/>
      <c r="WD27" s="242"/>
      <c r="WE27" s="242"/>
      <c r="WF27" s="242"/>
      <c r="WG27" s="246"/>
      <c r="WH27" s="241"/>
      <c r="WI27" s="242"/>
      <c r="WJ27" s="242"/>
      <c r="WK27" s="242"/>
      <c r="WL27" s="242"/>
      <c r="WM27" s="243"/>
      <c r="WN27" s="242"/>
      <c r="WO27" s="242"/>
      <c r="WP27" s="242"/>
      <c r="WQ27" s="242"/>
      <c r="WR27" s="242"/>
      <c r="WS27" s="244"/>
      <c r="WT27" s="242"/>
      <c r="WU27" s="242"/>
      <c r="WV27" s="242"/>
      <c r="WW27" s="242"/>
      <c r="WX27" s="242"/>
      <c r="WY27" s="245"/>
      <c r="WZ27" s="242"/>
      <c r="XA27" s="242"/>
      <c r="XB27" s="242"/>
      <c r="XC27" s="242"/>
      <c r="XD27" s="242"/>
      <c r="XE27" s="244"/>
      <c r="XF27" s="242"/>
      <c r="XG27" s="242"/>
      <c r="XH27" s="242"/>
      <c r="XI27" s="242"/>
      <c r="XJ27" s="242"/>
      <c r="XK27" s="245"/>
      <c r="XL27" s="242"/>
      <c r="XM27" s="242"/>
      <c r="XN27" s="242"/>
      <c r="XO27" s="242"/>
      <c r="XP27" s="242"/>
      <c r="XQ27" s="244"/>
      <c r="XR27" s="242"/>
      <c r="XS27" s="242"/>
      <c r="XT27" s="242"/>
      <c r="XU27" s="242"/>
      <c r="XV27" s="242"/>
      <c r="XW27" s="245"/>
      <c r="XX27" s="242"/>
      <c r="XY27" s="242"/>
      <c r="XZ27" s="242"/>
      <c r="YA27" s="242"/>
      <c r="YB27" s="242"/>
      <c r="YC27" s="244"/>
      <c r="YD27" s="242"/>
      <c r="YE27" s="242"/>
      <c r="YF27" s="242"/>
      <c r="YG27" s="242"/>
      <c r="YH27" s="242"/>
      <c r="YI27" s="245"/>
      <c r="YJ27" s="242"/>
      <c r="YK27" s="242"/>
      <c r="YL27" s="242"/>
      <c r="YM27" s="242"/>
      <c r="YN27" s="242"/>
      <c r="YO27" s="246"/>
      <c r="YP27" s="241"/>
      <c r="YQ27" s="242"/>
      <c r="YR27" s="242"/>
      <c r="YS27" s="242"/>
      <c r="YT27" s="242"/>
      <c r="YU27" s="243"/>
      <c r="YV27" s="242"/>
      <c r="YW27" s="242"/>
      <c r="YX27" s="242"/>
      <c r="YY27" s="242"/>
      <c r="YZ27" s="242"/>
      <c r="ZA27" s="244"/>
      <c r="ZB27" s="242"/>
      <c r="ZC27" s="242"/>
      <c r="ZD27" s="242"/>
      <c r="ZE27" s="242"/>
      <c r="ZF27" s="242"/>
      <c r="ZG27" s="245"/>
      <c r="ZH27" s="242"/>
      <c r="ZI27" s="242"/>
      <c r="ZJ27" s="242"/>
      <c r="ZK27" s="242"/>
      <c r="ZL27" s="242"/>
      <c r="ZM27" s="244"/>
      <c r="ZN27" s="242"/>
      <c r="ZO27" s="242"/>
      <c r="ZP27" s="242"/>
      <c r="ZQ27" s="242"/>
      <c r="ZR27" s="242"/>
      <c r="ZS27" s="245"/>
      <c r="ZT27" s="242"/>
      <c r="ZU27" s="242"/>
      <c r="ZV27" s="242"/>
      <c r="ZW27" s="242"/>
      <c r="ZX27" s="242"/>
      <c r="ZY27" s="244"/>
      <c r="ZZ27" s="242"/>
      <c r="AAA27" s="242"/>
      <c r="AAB27" s="242"/>
      <c r="AAC27" s="242"/>
      <c r="AAD27" s="242"/>
      <c r="AAE27" s="245"/>
      <c r="AAF27" s="242"/>
      <c r="AAG27" s="242"/>
      <c r="AAH27" s="242"/>
      <c r="AAI27" s="242"/>
      <c r="AAJ27" s="242"/>
      <c r="AAK27" s="244"/>
      <c r="AAL27" s="242"/>
      <c r="AAM27" s="242"/>
      <c r="AAN27" s="242"/>
      <c r="AAO27" s="242"/>
      <c r="AAP27" s="242"/>
      <c r="AAQ27" s="245"/>
      <c r="AAR27" s="242"/>
      <c r="AAS27" s="242"/>
      <c r="AAT27" s="242"/>
      <c r="AAU27" s="242"/>
      <c r="AAV27" s="242"/>
      <c r="AAW27" s="246"/>
      <c r="AAX27" s="241"/>
      <c r="AAY27" s="242"/>
      <c r="AAZ27" s="242"/>
      <c r="ABA27" s="242"/>
      <c r="ABB27" s="242"/>
      <c r="ABC27" s="243"/>
      <c r="ABD27" s="242"/>
      <c r="ABE27" s="242"/>
      <c r="ABF27" s="242"/>
      <c r="ABG27" s="242"/>
      <c r="ABH27" s="242"/>
      <c r="ABI27" s="244"/>
      <c r="ABJ27" s="242"/>
      <c r="ABK27" s="242"/>
      <c r="ABL27" s="242"/>
      <c r="ABM27" s="242"/>
      <c r="ABN27" s="242"/>
      <c r="ABO27" s="245"/>
      <c r="ABP27" s="242"/>
      <c r="ABQ27" s="242"/>
      <c r="ABR27" s="242"/>
      <c r="ABS27" s="242"/>
      <c r="ABT27" s="242"/>
      <c r="ABU27" s="244"/>
      <c r="ABV27" s="242"/>
      <c r="ABW27" s="242"/>
      <c r="ABX27" s="242"/>
      <c r="ABY27" s="242"/>
      <c r="ABZ27" s="242"/>
      <c r="ACA27" s="245"/>
      <c r="ACB27" s="242"/>
      <c r="ACC27" s="242"/>
      <c r="ACD27" s="242"/>
      <c r="ACE27" s="242"/>
      <c r="ACF27" s="242"/>
      <c r="ACG27" s="244"/>
      <c r="ACH27" s="242"/>
      <c r="ACI27" s="242"/>
      <c r="ACJ27" s="242"/>
      <c r="ACK27" s="242"/>
      <c r="ACL27" s="242"/>
      <c r="ACM27" s="245"/>
      <c r="ACN27" s="242"/>
      <c r="ACO27" s="242"/>
      <c r="ACP27" s="242"/>
      <c r="ACQ27" s="242"/>
      <c r="ACR27" s="242"/>
      <c r="ACS27" s="244"/>
      <c r="ACT27" s="242"/>
      <c r="ACU27" s="242"/>
      <c r="ACV27" s="242"/>
      <c r="ACW27" s="242"/>
      <c r="ACX27" s="242"/>
      <c r="ACY27" s="245"/>
      <c r="ACZ27" s="242"/>
      <c r="ADA27" s="242"/>
      <c r="ADB27" s="242"/>
      <c r="ADC27" s="242"/>
      <c r="ADD27" s="242"/>
      <c r="ADE27" s="246"/>
      <c r="ADF27" s="241"/>
      <c r="ADG27" s="242"/>
      <c r="ADH27" s="242"/>
      <c r="ADI27" s="242"/>
      <c r="ADJ27" s="242"/>
      <c r="ADK27" s="243"/>
      <c r="ADL27" s="242"/>
      <c r="ADM27" s="242"/>
      <c r="ADN27" s="242"/>
      <c r="ADO27" s="242"/>
      <c r="ADP27" s="242"/>
      <c r="ADQ27" s="244"/>
      <c r="ADR27" s="242"/>
      <c r="ADS27" s="242"/>
      <c r="ADT27" s="242"/>
      <c r="ADU27" s="242"/>
      <c r="ADV27" s="242"/>
      <c r="ADW27" s="245"/>
      <c r="ADX27" s="242"/>
      <c r="ADY27" s="242"/>
      <c r="ADZ27" s="242"/>
      <c r="AEA27" s="242"/>
      <c r="AEB27" s="242"/>
      <c r="AEC27" s="244"/>
      <c r="AED27" s="242"/>
      <c r="AEE27" s="242"/>
      <c r="AEF27" s="242"/>
      <c r="AEG27" s="242"/>
      <c r="AEH27" s="242"/>
      <c r="AEI27" s="245"/>
      <c r="AEJ27" s="242"/>
      <c r="AEK27" s="242"/>
      <c r="AEL27" s="242"/>
      <c r="AEM27" s="242"/>
      <c r="AEN27" s="242"/>
      <c r="AEO27" s="244"/>
      <c r="AEP27" s="242"/>
      <c r="AEQ27" s="242"/>
      <c r="AER27" s="242"/>
      <c r="AES27" s="242"/>
      <c r="AET27" s="242"/>
      <c r="AEU27" s="245"/>
      <c r="AEV27" s="242"/>
      <c r="AEW27" s="242"/>
      <c r="AEX27" s="242"/>
      <c r="AEY27" s="242"/>
      <c r="AEZ27" s="242"/>
      <c r="AFA27" s="244"/>
      <c r="AFB27" s="242"/>
      <c r="AFC27" s="242"/>
      <c r="AFD27" s="242"/>
      <c r="AFE27" s="242"/>
      <c r="AFF27" s="242"/>
      <c r="AFG27" s="245"/>
      <c r="AFH27" s="242"/>
      <c r="AFI27" s="242"/>
      <c r="AFJ27" s="242"/>
      <c r="AFK27" s="242"/>
      <c r="AFL27" s="242"/>
      <c r="AFM27" s="246"/>
      <c r="AFN27" s="241"/>
      <c r="AFO27" s="242"/>
      <c r="AFP27" s="242"/>
      <c r="AFQ27" s="242"/>
      <c r="AFR27" s="242"/>
      <c r="AFS27" s="243"/>
      <c r="AFT27" s="242"/>
      <c r="AFU27" s="242"/>
      <c r="AFV27" s="242"/>
      <c r="AFW27" s="242"/>
      <c r="AFX27" s="242"/>
      <c r="AFY27" s="244"/>
      <c r="AFZ27" s="242"/>
      <c r="AGA27" s="242"/>
      <c r="AGB27" s="242"/>
      <c r="AGC27" s="242"/>
      <c r="AGD27" s="242"/>
      <c r="AGE27" s="245"/>
      <c r="AGF27" s="242"/>
      <c r="AGG27" s="242"/>
      <c r="AGH27" s="242"/>
      <c r="AGI27" s="242"/>
      <c r="AGJ27" s="242"/>
      <c r="AGK27" s="244"/>
      <c r="AGL27" s="242"/>
      <c r="AGM27" s="242"/>
      <c r="AGN27" s="242"/>
      <c r="AGO27" s="242"/>
      <c r="AGP27" s="242"/>
      <c r="AGQ27" s="245"/>
      <c r="AGR27" s="242"/>
      <c r="AGS27" s="242"/>
      <c r="AGT27" s="242"/>
      <c r="AGU27" s="242"/>
      <c r="AGV27" s="242"/>
      <c r="AGW27" s="244"/>
      <c r="AGX27" s="242"/>
      <c r="AGY27" s="242"/>
      <c r="AGZ27" s="242"/>
      <c r="AHA27" s="242"/>
      <c r="AHB27" s="242"/>
      <c r="AHC27" s="245"/>
      <c r="AHD27" s="242"/>
      <c r="AHE27" s="242"/>
      <c r="AHF27" s="242"/>
      <c r="AHG27" s="242"/>
      <c r="AHH27" s="242"/>
      <c r="AHI27" s="244"/>
      <c r="AHJ27" s="242"/>
      <c r="AHK27" s="242"/>
      <c r="AHL27" s="242"/>
      <c r="AHM27" s="242"/>
      <c r="AHN27" s="242"/>
      <c r="AHO27" s="245"/>
      <c r="AHP27" s="242"/>
      <c r="AHQ27" s="242"/>
      <c r="AHR27" s="242"/>
      <c r="AHS27" s="242"/>
      <c r="AHT27" s="242"/>
      <c r="AHU27" s="246"/>
      <c r="AHV27" s="241"/>
      <c r="AHW27" s="242"/>
      <c r="AHX27" s="242"/>
      <c r="AHY27" s="242"/>
      <c r="AHZ27" s="242"/>
      <c r="AIA27" s="243"/>
      <c r="AIB27" s="242"/>
      <c r="AIC27" s="242"/>
      <c r="AID27" s="242"/>
      <c r="AIE27" s="242"/>
      <c r="AIF27" s="242"/>
      <c r="AIG27" s="244"/>
      <c r="AIH27" s="242"/>
      <c r="AII27" s="242"/>
      <c r="AIJ27" s="242"/>
      <c r="AIK27" s="242"/>
      <c r="AIL27" s="242"/>
      <c r="AIM27" s="245"/>
      <c r="AIN27" s="242"/>
      <c r="AIO27" s="242"/>
      <c r="AIP27" s="242"/>
      <c r="AIQ27" s="242"/>
      <c r="AIR27" s="242"/>
      <c r="AIS27" s="244"/>
      <c r="AIT27" s="242"/>
      <c r="AIU27" s="242"/>
      <c r="AIV27" s="242"/>
      <c r="AIW27" s="242"/>
      <c r="AIX27" s="242"/>
      <c r="AIY27" s="245"/>
      <c r="AIZ27" s="242"/>
      <c r="AJA27" s="242"/>
      <c r="AJB27" s="242"/>
      <c r="AJC27" s="242"/>
      <c r="AJD27" s="242"/>
      <c r="AJE27" s="244"/>
      <c r="AJF27" s="242"/>
      <c r="AJG27" s="242"/>
      <c r="AJH27" s="242"/>
      <c r="AJI27" s="242"/>
      <c r="AJJ27" s="242"/>
      <c r="AJK27" s="245"/>
      <c r="AJL27" s="242"/>
      <c r="AJM27" s="242"/>
      <c r="AJN27" s="242"/>
      <c r="AJO27" s="242"/>
      <c r="AJP27" s="242"/>
      <c r="AJQ27" s="244"/>
      <c r="AJR27" s="242"/>
      <c r="AJS27" s="242"/>
      <c r="AJT27" s="242"/>
      <c r="AJU27" s="242"/>
      <c r="AJV27" s="242"/>
      <c r="AJW27" s="245"/>
      <c r="AJX27" s="242"/>
      <c r="AJY27" s="242"/>
      <c r="AJZ27" s="242"/>
      <c r="AKA27" s="242"/>
      <c r="AKB27" s="242"/>
      <c r="AKC27" s="246"/>
      <c r="AKD27" s="241"/>
      <c r="AKE27" s="242"/>
      <c r="AKF27" s="242"/>
      <c r="AKG27" s="242"/>
      <c r="AKH27" s="242"/>
      <c r="AKI27" s="243"/>
      <c r="AKJ27" s="242"/>
      <c r="AKK27" s="242"/>
      <c r="AKL27" s="242"/>
      <c r="AKM27" s="242"/>
      <c r="AKN27" s="242"/>
      <c r="AKO27" s="244"/>
      <c r="AKP27" s="242"/>
      <c r="AKQ27" s="242"/>
      <c r="AKR27" s="242"/>
      <c r="AKS27" s="242"/>
      <c r="AKT27" s="242"/>
      <c r="AKU27" s="245"/>
      <c r="AKV27" s="242"/>
      <c r="AKW27" s="242"/>
      <c r="AKX27" s="242"/>
      <c r="AKY27" s="242"/>
      <c r="AKZ27" s="242"/>
      <c r="ALA27" s="244"/>
      <c r="ALB27" s="242"/>
      <c r="ALC27" s="242"/>
      <c r="ALD27" s="242"/>
      <c r="ALE27" s="242"/>
      <c r="ALF27" s="242"/>
      <c r="ALG27" s="245"/>
      <c r="ALH27" s="242"/>
      <c r="ALI27" s="242"/>
      <c r="ALJ27" s="242"/>
      <c r="ALK27" s="242"/>
      <c r="ALL27" s="242"/>
      <c r="ALM27" s="244"/>
      <c r="ALN27" s="242"/>
      <c r="ALO27" s="242"/>
      <c r="ALP27" s="242"/>
      <c r="ALQ27" s="242"/>
      <c r="ALR27" s="242"/>
      <c r="ALS27" s="245"/>
      <c r="ALT27" s="242"/>
      <c r="ALU27" s="242"/>
      <c r="ALV27" s="242"/>
      <c r="ALW27" s="242"/>
      <c r="ALX27" s="242"/>
      <c r="ALY27" s="244"/>
      <c r="ALZ27" s="242"/>
      <c r="AMA27" s="242"/>
      <c r="AMB27" s="242"/>
      <c r="AMC27" s="242"/>
      <c r="AMD27" s="242"/>
      <c r="AME27" s="245"/>
      <c r="AMF27" s="242"/>
      <c r="AMG27" s="242"/>
      <c r="AMH27" s="242"/>
      <c r="AMI27" s="242"/>
      <c r="AMJ27" s="242"/>
      <c r="AMK27" s="246"/>
      <c r="AML27" s="241"/>
      <c r="AMM27" s="242"/>
      <c r="AMN27" s="242"/>
      <c r="AMO27" s="242"/>
      <c r="AMP27" s="242"/>
      <c r="AMQ27" s="243"/>
      <c r="AMR27" s="242"/>
      <c r="AMS27" s="242"/>
      <c r="AMT27" s="242"/>
      <c r="AMU27" s="242"/>
      <c r="AMV27" s="242"/>
      <c r="AMW27" s="244"/>
      <c r="AMX27" s="242"/>
      <c r="AMY27" s="242"/>
      <c r="AMZ27" s="242"/>
      <c r="ANA27" s="242"/>
      <c r="ANB27" s="242"/>
      <c r="ANC27" s="245"/>
      <c r="AND27" s="242"/>
      <c r="ANE27" s="242"/>
      <c r="ANF27" s="242"/>
      <c r="ANG27" s="242"/>
      <c r="ANH27" s="242"/>
      <c r="ANI27" s="244"/>
      <c r="ANJ27" s="242"/>
      <c r="ANK27" s="242"/>
      <c r="ANL27" s="242"/>
      <c r="ANM27" s="242"/>
      <c r="ANN27" s="242"/>
      <c r="ANO27" s="245"/>
      <c r="ANP27" s="242"/>
      <c r="ANQ27" s="242"/>
      <c r="ANR27" s="242"/>
      <c r="ANS27" s="242"/>
      <c r="ANT27" s="242"/>
      <c r="ANU27" s="244"/>
      <c r="ANV27" s="242"/>
      <c r="ANW27" s="242"/>
      <c r="ANX27" s="242"/>
      <c r="ANY27" s="242"/>
      <c r="ANZ27" s="242"/>
      <c r="AOA27" s="245"/>
      <c r="AOB27" s="242"/>
      <c r="AOC27" s="242"/>
      <c r="AOD27" s="242"/>
      <c r="AOE27" s="242"/>
      <c r="AOF27" s="242"/>
      <c r="AOG27" s="244"/>
      <c r="AOH27" s="242"/>
      <c r="AOI27" s="242"/>
      <c r="AOJ27" s="242"/>
      <c r="AOK27" s="242"/>
      <c r="AOL27" s="242"/>
      <c r="AOM27" s="245"/>
      <c r="AON27" s="242"/>
      <c r="AOO27" s="242"/>
      <c r="AOP27" s="242"/>
      <c r="AOQ27" s="242"/>
      <c r="AOR27" s="242"/>
      <c r="AOS27" s="246"/>
      <c r="AOT27" s="241"/>
      <c r="AOU27" s="242"/>
      <c r="AOV27" s="242"/>
      <c r="AOW27" s="242"/>
      <c r="AOX27" s="242"/>
      <c r="AOY27" s="243"/>
      <c r="AOZ27" s="242"/>
      <c r="APA27" s="242"/>
      <c r="APB27" s="242"/>
      <c r="APC27" s="242"/>
      <c r="APD27" s="242"/>
      <c r="APE27" s="244"/>
      <c r="APF27" s="242"/>
      <c r="APG27" s="242"/>
      <c r="APH27" s="242"/>
      <c r="API27" s="242"/>
      <c r="APJ27" s="242"/>
      <c r="APK27" s="245"/>
      <c r="APL27" s="242"/>
      <c r="APM27" s="242"/>
      <c r="APN27" s="242"/>
      <c r="APO27" s="242"/>
      <c r="APP27" s="242"/>
      <c r="APQ27" s="244"/>
      <c r="APR27" s="242"/>
      <c r="APS27" s="242"/>
      <c r="APT27" s="242"/>
      <c r="APU27" s="242"/>
      <c r="APV27" s="242"/>
      <c r="APW27" s="245"/>
      <c r="APX27" s="242"/>
      <c r="APY27" s="242"/>
      <c r="APZ27" s="242"/>
      <c r="AQA27" s="242"/>
      <c r="AQB27" s="242"/>
      <c r="AQC27" s="244"/>
      <c r="AQD27" s="242"/>
      <c r="AQE27" s="242"/>
      <c r="AQF27" s="242"/>
      <c r="AQG27" s="242"/>
      <c r="AQH27" s="242"/>
      <c r="AQI27" s="245"/>
      <c r="AQJ27" s="242"/>
      <c r="AQK27" s="242"/>
      <c r="AQL27" s="242"/>
      <c r="AQM27" s="242"/>
      <c r="AQN27" s="242"/>
      <c r="AQO27" s="244"/>
      <c r="AQP27" s="242"/>
      <c r="AQQ27" s="242"/>
      <c r="AQR27" s="242"/>
      <c r="AQS27" s="242"/>
      <c r="AQT27" s="242"/>
      <c r="AQU27" s="245"/>
      <c r="AQV27" s="242"/>
      <c r="AQW27" s="242"/>
      <c r="AQX27" s="242"/>
      <c r="AQY27" s="242"/>
      <c r="AQZ27" s="242"/>
      <c r="ARA27" s="246"/>
      <c r="ARB27" s="241"/>
      <c r="ARC27" s="242"/>
      <c r="ARD27" s="242"/>
      <c r="ARE27" s="242"/>
      <c r="ARF27" s="242"/>
      <c r="ARG27" s="243"/>
      <c r="ARH27" s="242"/>
      <c r="ARI27" s="242"/>
      <c r="ARJ27" s="242"/>
      <c r="ARK27" s="242"/>
      <c r="ARL27" s="242"/>
      <c r="ARM27" s="244"/>
      <c r="ARN27" s="242"/>
      <c r="ARO27" s="242"/>
      <c r="ARP27" s="242"/>
      <c r="ARQ27" s="242"/>
      <c r="ARR27" s="242"/>
      <c r="ARS27" s="245"/>
      <c r="ART27" s="242"/>
      <c r="ARU27" s="242"/>
      <c r="ARV27" s="242"/>
      <c r="ARW27" s="242"/>
      <c r="ARX27" s="242"/>
      <c r="ARY27" s="244"/>
      <c r="ARZ27" s="242"/>
      <c r="ASA27" s="242"/>
      <c r="ASB27" s="242"/>
      <c r="ASC27" s="242"/>
      <c r="ASD27" s="242"/>
      <c r="ASE27" s="245"/>
      <c r="ASF27" s="242"/>
      <c r="ASG27" s="242"/>
      <c r="ASH27" s="242"/>
      <c r="ASI27" s="242"/>
      <c r="ASJ27" s="242"/>
      <c r="ASK27" s="244"/>
      <c r="ASL27" s="242"/>
      <c r="ASM27" s="242"/>
      <c r="ASN27" s="242"/>
      <c r="ASO27" s="242"/>
      <c r="ASP27" s="242"/>
      <c r="ASQ27" s="245"/>
      <c r="ASR27" s="242"/>
      <c r="ASS27" s="242"/>
      <c r="AST27" s="242"/>
      <c r="ASU27" s="242"/>
      <c r="ASV27" s="242"/>
      <c r="ASW27" s="244"/>
      <c r="ASX27" s="242"/>
      <c r="ASY27" s="242"/>
      <c r="ASZ27" s="242"/>
      <c r="ATA27" s="242"/>
      <c r="ATB27" s="242"/>
      <c r="ATC27" s="245"/>
      <c r="ATD27" s="242"/>
      <c r="ATE27" s="242"/>
      <c r="ATF27" s="242"/>
      <c r="ATG27" s="242"/>
      <c r="ATH27" s="242"/>
      <c r="ATI27" s="246"/>
      <c r="ATJ27" s="241"/>
      <c r="ATK27" s="242"/>
      <c r="ATL27" s="242"/>
      <c r="ATM27" s="242"/>
      <c r="ATN27" s="242"/>
      <c r="ATO27" s="243"/>
      <c r="ATP27" s="242"/>
      <c r="ATQ27" s="242"/>
      <c r="ATR27" s="242"/>
      <c r="ATS27" s="242"/>
      <c r="ATT27" s="242"/>
      <c r="ATU27" s="244"/>
      <c r="ATV27" s="242"/>
      <c r="ATW27" s="242"/>
      <c r="ATX27" s="242"/>
      <c r="ATY27" s="242"/>
      <c r="ATZ27" s="242"/>
      <c r="AUA27" s="245"/>
      <c r="AUB27" s="242"/>
      <c r="AUC27" s="242"/>
      <c r="AUD27" s="242"/>
      <c r="AUE27" s="242"/>
      <c r="AUF27" s="242"/>
      <c r="AUG27" s="244"/>
      <c r="AUH27" s="242"/>
      <c r="AUI27" s="242"/>
      <c r="AUJ27" s="242"/>
      <c r="AUK27" s="242"/>
      <c r="AUL27" s="242"/>
      <c r="AUM27" s="245"/>
      <c r="AUN27" s="242"/>
      <c r="AUO27" s="242"/>
      <c r="AUP27" s="242"/>
      <c r="AUQ27" s="242"/>
      <c r="AUR27" s="242"/>
      <c r="AUS27" s="244"/>
      <c r="AUT27" s="242"/>
      <c r="AUU27" s="242"/>
      <c r="AUV27" s="242"/>
      <c r="AUW27" s="242"/>
      <c r="AUX27" s="242"/>
      <c r="AUY27" s="245"/>
      <c r="AUZ27" s="242"/>
      <c r="AVA27" s="242"/>
      <c r="AVB27" s="242"/>
      <c r="AVC27" s="242"/>
      <c r="AVD27" s="242"/>
      <c r="AVE27" s="244"/>
      <c r="AVF27" s="242"/>
      <c r="AVG27" s="242"/>
      <c r="AVH27" s="242"/>
      <c r="AVI27" s="242"/>
      <c r="AVJ27" s="242"/>
      <c r="AVK27" s="245"/>
      <c r="AVL27" s="242"/>
      <c r="AVM27" s="242"/>
      <c r="AVN27" s="242"/>
      <c r="AVO27" s="242"/>
      <c r="AVP27" s="242"/>
      <c r="AVQ27" s="246"/>
      <c r="AVR27" s="241"/>
      <c r="AVS27" s="242"/>
      <c r="AVT27" s="242"/>
      <c r="AVU27" s="242"/>
      <c r="AVV27" s="242"/>
      <c r="AVW27" s="243"/>
      <c r="AVX27" s="242"/>
      <c r="AVY27" s="242"/>
      <c r="AVZ27" s="242"/>
      <c r="AWA27" s="242"/>
      <c r="AWB27" s="242"/>
      <c r="AWC27" s="244"/>
      <c r="AWD27" s="242"/>
      <c r="AWE27" s="242"/>
      <c r="AWF27" s="242"/>
      <c r="AWG27" s="242"/>
      <c r="AWH27" s="242"/>
      <c r="AWI27" s="245"/>
      <c r="AWJ27" s="242"/>
      <c r="AWK27" s="242"/>
      <c r="AWL27" s="242"/>
      <c r="AWM27" s="242"/>
      <c r="AWN27" s="242"/>
      <c r="AWO27" s="244"/>
      <c r="AWP27" s="242"/>
      <c r="AWQ27" s="242"/>
      <c r="AWR27" s="242"/>
      <c r="AWS27" s="242"/>
      <c r="AWT27" s="242"/>
      <c r="AWU27" s="245"/>
      <c r="AWV27" s="242"/>
      <c r="AWW27" s="242"/>
      <c r="AWX27" s="242"/>
      <c r="AWY27" s="242"/>
      <c r="AWZ27" s="242"/>
      <c r="AXA27" s="244"/>
      <c r="AXB27" s="242"/>
      <c r="AXC27" s="242"/>
      <c r="AXD27" s="242"/>
      <c r="AXE27" s="242"/>
      <c r="AXF27" s="242"/>
      <c r="AXG27" s="245"/>
      <c r="AXH27" s="242"/>
      <c r="AXI27" s="242"/>
      <c r="AXJ27" s="242"/>
      <c r="AXK27" s="242"/>
      <c r="AXL27" s="242"/>
      <c r="AXM27" s="244"/>
      <c r="AXN27" s="242"/>
      <c r="AXO27" s="242"/>
      <c r="AXP27" s="242"/>
      <c r="AXQ27" s="242"/>
      <c r="AXR27" s="242"/>
      <c r="AXS27" s="245"/>
      <c r="AXT27" s="242"/>
      <c r="AXU27" s="242"/>
      <c r="AXV27" s="242"/>
      <c r="AXW27" s="242"/>
      <c r="AXX27" s="242"/>
      <c r="AXY27" s="246"/>
      <c r="AXZ27" s="241"/>
      <c r="AYA27" s="242"/>
      <c r="AYB27" s="242"/>
      <c r="AYC27" s="242"/>
      <c r="AYD27" s="242"/>
      <c r="AYE27" s="243"/>
      <c r="AYF27" s="242"/>
      <c r="AYG27" s="242"/>
      <c r="AYH27" s="242"/>
      <c r="AYI27" s="242"/>
      <c r="AYJ27" s="242"/>
      <c r="AYK27" s="244"/>
      <c r="AYL27" s="242"/>
      <c r="AYM27" s="242"/>
      <c r="AYN27" s="242"/>
      <c r="AYO27" s="242"/>
      <c r="AYP27" s="242"/>
      <c r="AYQ27" s="245"/>
      <c r="AYR27" s="242"/>
      <c r="AYS27" s="242"/>
      <c r="AYT27" s="242"/>
      <c r="AYU27" s="242"/>
      <c r="AYV27" s="242"/>
      <c r="AYW27" s="244"/>
      <c r="AYX27" s="242"/>
      <c r="AYY27" s="242"/>
      <c r="AYZ27" s="242"/>
      <c r="AZA27" s="242"/>
      <c r="AZB27" s="242"/>
      <c r="AZC27" s="245"/>
      <c r="AZD27" s="242"/>
      <c r="AZE27" s="242"/>
      <c r="AZF27" s="242"/>
      <c r="AZG27" s="242"/>
      <c r="AZH27" s="242"/>
      <c r="AZI27" s="244"/>
      <c r="AZJ27" s="242"/>
      <c r="AZK27" s="242"/>
      <c r="AZL27" s="242"/>
      <c r="AZM27" s="242"/>
      <c r="AZN27" s="242"/>
      <c r="AZO27" s="245"/>
      <c r="AZP27" s="242"/>
      <c r="AZQ27" s="242"/>
      <c r="AZR27" s="242"/>
      <c r="AZS27" s="242"/>
      <c r="AZT27" s="242"/>
      <c r="AZU27" s="244"/>
      <c r="AZV27" s="242"/>
      <c r="AZW27" s="242"/>
      <c r="AZX27" s="242"/>
      <c r="AZY27" s="242"/>
      <c r="AZZ27" s="242"/>
      <c r="BAA27" s="245"/>
      <c r="BAB27" s="242"/>
      <c r="BAC27" s="242"/>
      <c r="BAD27" s="242"/>
      <c r="BAE27" s="242"/>
      <c r="BAF27" s="242"/>
      <c r="BAG27" s="246"/>
      <c r="BAH27" s="241"/>
      <c r="BAI27" s="242"/>
      <c r="BAJ27" s="242"/>
      <c r="BAK27" s="242"/>
      <c r="BAL27" s="242"/>
      <c r="BAM27" s="243"/>
      <c r="BAN27" s="242"/>
      <c r="BAO27" s="242"/>
      <c r="BAP27" s="242"/>
      <c r="BAQ27" s="242"/>
      <c r="BAR27" s="242"/>
      <c r="BAS27" s="244"/>
      <c r="BAT27" s="242"/>
      <c r="BAU27" s="242"/>
      <c r="BAV27" s="242"/>
      <c r="BAW27" s="242"/>
      <c r="BAX27" s="242"/>
      <c r="BAY27" s="245"/>
      <c r="BAZ27" s="242"/>
      <c r="BBA27" s="242"/>
      <c r="BBB27" s="242"/>
      <c r="BBC27" s="242"/>
      <c r="BBD27" s="242"/>
      <c r="BBE27" s="244"/>
      <c r="BBF27" s="242"/>
      <c r="BBG27" s="242"/>
      <c r="BBH27" s="242"/>
      <c r="BBI27" s="242"/>
      <c r="BBJ27" s="242"/>
      <c r="BBK27" s="245"/>
      <c r="BBL27" s="242"/>
      <c r="BBM27" s="242"/>
      <c r="BBN27" s="242"/>
      <c r="BBO27" s="242"/>
      <c r="BBP27" s="242"/>
      <c r="BBQ27" s="244"/>
      <c r="BBR27" s="242"/>
      <c r="BBS27" s="242"/>
      <c r="BBT27" s="242"/>
      <c r="BBU27" s="242"/>
      <c r="BBV27" s="242"/>
      <c r="BBW27" s="245"/>
      <c r="BBX27" s="242"/>
      <c r="BBY27" s="242"/>
      <c r="BBZ27" s="242"/>
      <c r="BCA27" s="242"/>
      <c r="BCB27" s="242"/>
      <c r="BCC27" s="244"/>
      <c r="BCD27" s="242"/>
      <c r="BCE27" s="242"/>
      <c r="BCF27" s="242"/>
      <c r="BCG27" s="242"/>
      <c r="BCH27" s="242"/>
      <c r="BCI27" s="245"/>
      <c r="BCJ27" s="242"/>
      <c r="BCK27" s="242"/>
      <c r="BCL27" s="242"/>
      <c r="BCM27" s="242"/>
      <c r="BCN27" s="242"/>
      <c r="BCO27" s="246"/>
      <c r="BCP27" s="241"/>
      <c r="BCQ27" s="242"/>
      <c r="BCR27" s="242"/>
      <c r="BCS27" s="242"/>
      <c r="BCT27" s="242"/>
      <c r="BCU27" s="243"/>
      <c r="BCV27" s="242"/>
      <c r="BCW27" s="242"/>
      <c r="BCX27" s="242"/>
      <c r="BCY27" s="242"/>
      <c r="BCZ27" s="242"/>
      <c r="BDA27" s="244"/>
      <c r="BDB27" s="242"/>
      <c r="BDC27" s="242"/>
      <c r="BDD27" s="242"/>
      <c r="BDE27" s="242"/>
      <c r="BDF27" s="242"/>
      <c r="BDG27" s="245"/>
      <c r="BDH27" s="242"/>
      <c r="BDI27" s="242"/>
      <c r="BDJ27" s="242"/>
      <c r="BDK27" s="242"/>
      <c r="BDL27" s="242"/>
      <c r="BDM27" s="244"/>
      <c r="BDN27" s="242"/>
      <c r="BDO27" s="242"/>
      <c r="BDP27" s="242"/>
      <c r="BDQ27" s="242"/>
      <c r="BDR27" s="242"/>
      <c r="BDS27" s="245"/>
      <c r="BDT27" s="242"/>
      <c r="BDU27" s="242"/>
      <c r="BDV27" s="242"/>
      <c r="BDW27" s="242"/>
      <c r="BDX27" s="242"/>
      <c r="BDY27" s="244"/>
      <c r="BDZ27" s="242"/>
      <c r="BEA27" s="242"/>
      <c r="BEB27" s="242"/>
      <c r="BEC27" s="242"/>
      <c r="BED27" s="242"/>
      <c r="BEE27" s="245"/>
      <c r="BEF27" s="242"/>
      <c r="BEG27" s="242"/>
      <c r="BEH27" s="242"/>
      <c r="BEI27" s="242"/>
      <c r="BEJ27" s="242"/>
      <c r="BEK27" s="244"/>
      <c r="BEL27" s="242"/>
      <c r="BEM27" s="242"/>
      <c r="BEN27" s="242"/>
      <c r="BEO27" s="242"/>
      <c r="BEP27" s="242"/>
      <c r="BEQ27" s="245"/>
      <c r="BER27" s="242"/>
      <c r="BES27" s="242"/>
      <c r="BET27" s="242"/>
      <c r="BEU27" s="242"/>
      <c r="BEV27" s="242"/>
      <c r="BEW27" s="246"/>
      <c r="BEX27" s="241"/>
      <c r="BEY27" s="242"/>
      <c r="BEZ27" s="242"/>
      <c r="BFA27" s="242"/>
      <c r="BFB27" s="242"/>
      <c r="BFC27" s="243"/>
      <c r="BFD27" s="242"/>
      <c r="BFE27" s="242"/>
      <c r="BFF27" s="242"/>
      <c r="BFG27" s="242"/>
      <c r="BFH27" s="242"/>
      <c r="BFI27" s="244"/>
      <c r="BFJ27" s="242"/>
      <c r="BFK27" s="242"/>
      <c r="BFL27" s="242"/>
      <c r="BFM27" s="242"/>
      <c r="BFN27" s="242"/>
      <c r="BFO27" s="245"/>
      <c r="BFP27" s="242"/>
      <c r="BFQ27" s="242"/>
      <c r="BFR27" s="242"/>
      <c r="BFS27" s="242"/>
      <c r="BFT27" s="242"/>
      <c r="BFU27" s="244"/>
      <c r="BFV27" s="242"/>
      <c r="BFW27" s="242"/>
      <c r="BFX27" s="242"/>
      <c r="BFY27" s="242"/>
      <c r="BFZ27" s="242"/>
      <c r="BGA27" s="245"/>
      <c r="BGB27" s="242"/>
      <c r="BGC27" s="242"/>
      <c r="BGD27" s="242"/>
      <c r="BGE27" s="242"/>
      <c r="BGF27" s="242"/>
      <c r="BGG27" s="244"/>
      <c r="BGH27" s="242"/>
      <c r="BGI27" s="242"/>
      <c r="BGJ27" s="242"/>
      <c r="BGK27" s="242"/>
      <c r="BGL27" s="242"/>
      <c r="BGM27" s="245"/>
      <c r="BGN27" s="242"/>
      <c r="BGO27" s="242"/>
      <c r="BGP27" s="242"/>
      <c r="BGQ27" s="242"/>
      <c r="BGR27" s="242"/>
      <c r="BGS27" s="244"/>
      <c r="BGT27" s="242"/>
      <c r="BGU27" s="242"/>
      <c r="BGV27" s="242"/>
      <c r="BGW27" s="242"/>
      <c r="BGX27" s="242"/>
      <c r="BGY27" s="245"/>
      <c r="BGZ27" s="242"/>
      <c r="BHA27" s="242"/>
      <c r="BHB27" s="242"/>
      <c r="BHC27" s="242"/>
      <c r="BHD27" s="242"/>
      <c r="BHE27" s="246"/>
      <c r="BHF27" s="241"/>
      <c r="BHG27" s="242"/>
      <c r="BHH27" s="242"/>
      <c r="BHI27" s="242"/>
      <c r="BHJ27" s="242"/>
      <c r="BHK27" s="243"/>
      <c r="BHL27" s="242"/>
      <c r="BHM27" s="242"/>
      <c r="BHN27" s="242"/>
      <c r="BHO27" s="242"/>
      <c r="BHP27" s="242"/>
      <c r="BHQ27" s="244"/>
      <c r="BHR27" s="242"/>
      <c r="BHS27" s="242"/>
      <c r="BHT27" s="242"/>
      <c r="BHU27" s="242"/>
      <c r="BHV27" s="242"/>
      <c r="BHW27" s="245"/>
      <c r="BHX27" s="242"/>
      <c r="BHY27" s="242"/>
      <c r="BHZ27" s="242"/>
      <c r="BIA27" s="242"/>
      <c r="BIB27" s="242"/>
      <c r="BIC27" s="244"/>
      <c r="BID27" s="242"/>
      <c r="BIE27" s="242"/>
      <c r="BIF27" s="242"/>
      <c r="BIG27" s="242"/>
      <c r="BIH27" s="242"/>
      <c r="BII27" s="245"/>
      <c r="BIJ27" s="242"/>
      <c r="BIK27" s="242"/>
      <c r="BIL27" s="242"/>
      <c r="BIM27" s="242"/>
      <c r="BIN27" s="242"/>
      <c r="BIO27" s="244"/>
      <c r="BIP27" s="242"/>
      <c r="BIQ27" s="242"/>
      <c r="BIR27" s="242"/>
      <c r="BIS27" s="242"/>
      <c r="BIT27" s="242"/>
      <c r="BIU27" s="245"/>
      <c r="BIV27" s="242"/>
      <c r="BIW27" s="242"/>
      <c r="BIX27" s="242"/>
      <c r="BIY27" s="242"/>
      <c r="BIZ27" s="242"/>
      <c r="BJA27" s="244"/>
      <c r="BJB27" s="242"/>
      <c r="BJC27" s="242"/>
      <c r="BJD27" s="242"/>
      <c r="BJE27" s="242"/>
      <c r="BJF27" s="242"/>
      <c r="BJG27" s="245"/>
      <c r="BJH27" s="242"/>
      <c r="BJI27" s="242"/>
      <c r="BJJ27" s="242"/>
      <c r="BJK27" s="242"/>
      <c r="BJL27" s="242"/>
      <c r="BJM27" s="246"/>
      <c r="BJN27" s="233"/>
      <c r="BJO27" s="234"/>
      <c r="BJP27" s="234"/>
      <c r="BJQ27" s="234"/>
      <c r="BJR27" s="234"/>
      <c r="BJS27" s="234"/>
      <c r="BJT27" s="234"/>
      <c r="BJU27" s="234"/>
      <c r="BJV27" s="234"/>
      <c r="BJW27" s="234"/>
      <c r="BJX27" s="234"/>
      <c r="BJY27" s="234"/>
      <c r="BJZ27" s="234"/>
      <c r="BKA27" s="234"/>
      <c r="BKB27" s="234"/>
      <c r="BKC27" s="234"/>
      <c r="BKD27" s="234"/>
      <c r="BKE27" s="234"/>
      <c r="BKF27" s="234"/>
      <c r="BKG27" s="234"/>
      <c r="BKH27" s="234"/>
      <c r="BKI27" s="234"/>
      <c r="BKJ27" s="234"/>
      <c r="BKK27" s="234"/>
      <c r="BKL27" s="234"/>
      <c r="BKM27" s="234"/>
      <c r="BKN27" s="234"/>
    </row>
    <row r="28" spans="1:1653" ht="20.100000000000001" customHeight="1" x14ac:dyDescent="0.3">
      <c r="A28" s="84" t="s">
        <v>20</v>
      </c>
      <c r="B28" s="53" t="str">
        <f>IF(LEN(C41)=0,"",C41)</f>
        <v>Réalisation - Consulter un profil utilisateur</v>
      </c>
      <c r="C28" s="178"/>
      <c r="D28" s="131" t="str">
        <f t="shared" si="0"/>
        <v>2h25min</v>
      </c>
      <c r="E28" s="22">
        <v>29</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161"/>
      <c r="OD28" s="161"/>
      <c r="OE28" s="164"/>
      <c r="OF28" s="161"/>
      <c r="OG28" s="161"/>
      <c r="OH28" s="161"/>
      <c r="OI28" s="161"/>
      <c r="OJ28" s="161"/>
      <c r="OK28" s="163"/>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161"/>
      <c r="PN28" s="161"/>
      <c r="PO28" s="162"/>
      <c r="PP28" s="161"/>
      <c r="PQ28" s="161"/>
      <c r="PR28" s="161"/>
      <c r="PS28" s="161"/>
      <c r="PT28" s="161"/>
      <c r="PU28" s="163"/>
      <c r="PV28" s="161"/>
      <c r="PW28" s="161"/>
      <c r="PX28" s="161"/>
      <c r="PY28" s="161"/>
      <c r="PZ28" s="161"/>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161"/>
      <c r="VO28" s="164"/>
      <c r="VP28" s="161"/>
      <c r="VQ28" s="161"/>
      <c r="VR28" s="161"/>
      <c r="VS28" s="161"/>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174"/>
      <c r="BJO28" s="4"/>
      <c r="BJP28" s="4"/>
      <c r="BJQ28" s="4"/>
      <c r="BJR28" s="4"/>
      <c r="BJS28" s="4"/>
      <c r="BJT28" s="4"/>
      <c r="BJU28" s="4"/>
      <c r="BJV28" s="4"/>
      <c r="BJW28" s="4"/>
      <c r="BJX28" s="4"/>
      <c r="BJY28" s="4"/>
      <c r="BJZ28" s="4"/>
      <c r="BKA28" s="4"/>
      <c r="BKB28" s="4"/>
      <c r="BKC28" s="4"/>
      <c r="BKD28" s="4"/>
      <c r="BKE28" s="4"/>
      <c r="BKF28" s="4"/>
      <c r="BKG28" s="4"/>
      <c r="BKH28" s="4"/>
      <c r="BKI28" s="4"/>
      <c r="BKJ28" s="4"/>
      <c r="BKK28" s="4"/>
      <c r="BKL28" s="4"/>
      <c r="BKM28" s="4"/>
      <c r="BKN28" s="4"/>
    </row>
    <row r="29" spans="1:1653" ht="20.100000000000001" customHeight="1" x14ac:dyDescent="0.25">
      <c r="A29" s="84" t="s">
        <v>19</v>
      </c>
      <c r="B29" s="53" t="str">
        <f>IF(LEN(C43)=0,"",C43)</f>
        <v>Tests - Résultats et analyses</v>
      </c>
      <c r="C29" s="177" t="s">
        <v>54</v>
      </c>
      <c r="D29" s="129" t="str">
        <f t="shared" si="0"/>
        <v>1h30min</v>
      </c>
      <c r="E29" s="26">
        <v>18</v>
      </c>
      <c r="F29" s="235"/>
      <c r="G29" s="236"/>
      <c r="H29" s="236"/>
      <c r="I29" s="236"/>
      <c r="J29" s="236"/>
      <c r="K29" s="237"/>
      <c r="L29" s="236"/>
      <c r="M29" s="236"/>
      <c r="N29" s="236"/>
      <c r="O29" s="236"/>
      <c r="P29" s="236"/>
      <c r="Q29" s="238"/>
      <c r="R29" s="236"/>
      <c r="S29" s="236"/>
      <c r="T29" s="236"/>
      <c r="U29" s="236"/>
      <c r="V29" s="236"/>
      <c r="W29" s="239"/>
      <c r="X29" s="236"/>
      <c r="Y29" s="236"/>
      <c r="Z29" s="236"/>
      <c r="AA29" s="236"/>
      <c r="AB29" s="236"/>
      <c r="AC29" s="238"/>
      <c r="AD29" s="236"/>
      <c r="AE29" s="236"/>
      <c r="AF29" s="236"/>
      <c r="AG29" s="236"/>
      <c r="AH29" s="236"/>
      <c r="AI29" s="239"/>
      <c r="AJ29" s="236"/>
      <c r="AK29" s="236"/>
      <c r="AL29" s="236"/>
      <c r="AM29" s="236"/>
      <c r="AN29" s="236"/>
      <c r="AO29" s="238"/>
      <c r="AP29" s="236"/>
      <c r="AQ29" s="236"/>
      <c r="AR29" s="236"/>
      <c r="AS29" s="236"/>
      <c r="AT29" s="236"/>
      <c r="AU29" s="239"/>
      <c r="AV29" s="236"/>
      <c r="AW29" s="236"/>
      <c r="AX29" s="236"/>
      <c r="AY29" s="236"/>
      <c r="AZ29" s="236"/>
      <c r="BA29" s="238"/>
      <c r="BB29" s="236"/>
      <c r="BC29" s="236"/>
      <c r="BD29" s="236"/>
      <c r="BE29" s="236"/>
      <c r="BF29" s="236"/>
      <c r="BG29" s="239"/>
      <c r="BH29" s="236"/>
      <c r="BI29" s="236"/>
      <c r="BJ29" s="236"/>
      <c r="BK29" s="236"/>
      <c r="BL29" s="236"/>
      <c r="BM29" s="240"/>
      <c r="BN29" s="235"/>
      <c r="BO29" s="236"/>
      <c r="BP29" s="236"/>
      <c r="BQ29" s="236"/>
      <c r="BR29" s="236"/>
      <c r="BS29" s="237"/>
      <c r="BT29" s="236"/>
      <c r="BU29" s="236"/>
      <c r="BV29" s="236"/>
      <c r="BW29" s="236"/>
      <c r="BX29" s="236"/>
      <c r="BY29" s="238"/>
      <c r="BZ29" s="236"/>
      <c r="CA29" s="236"/>
      <c r="CB29" s="236"/>
      <c r="CC29" s="236"/>
      <c r="CD29" s="236"/>
      <c r="CE29" s="239"/>
      <c r="CF29" s="236"/>
      <c r="CG29" s="236"/>
      <c r="CH29" s="236"/>
      <c r="CI29" s="236"/>
      <c r="CJ29" s="236"/>
      <c r="CK29" s="238"/>
      <c r="CL29" s="236"/>
      <c r="CM29" s="236"/>
      <c r="CN29" s="236"/>
      <c r="CO29" s="236"/>
      <c r="CP29" s="236"/>
      <c r="CQ29" s="239"/>
      <c r="CR29" s="236"/>
      <c r="CS29" s="236"/>
      <c r="CT29" s="236"/>
      <c r="CU29" s="236"/>
      <c r="CV29" s="236"/>
      <c r="CW29" s="238"/>
      <c r="CX29" s="236"/>
      <c r="CY29" s="236"/>
      <c r="CZ29" s="236"/>
      <c r="DA29" s="236"/>
      <c r="DB29" s="236"/>
      <c r="DC29" s="239"/>
      <c r="DD29" s="236"/>
      <c r="DE29" s="236"/>
      <c r="DF29" s="236"/>
      <c r="DG29" s="236"/>
      <c r="DH29" s="236"/>
      <c r="DI29" s="238"/>
      <c r="DJ29" s="236"/>
      <c r="DK29" s="236"/>
      <c r="DL29" s="236"/>
      <c r="DM29" s="236"/>
      <c r="DN29" s="236"/>
      <c r="DO29" s="239"/>
      <c r="DP29" s="236"/>
      <c r="DQ29" s="236"/>
      <c r="DR29" s="236"/>
      <c r="DS29" s="236"/>
      <c r="DT29" s="236"/>
      <c r="DU29" s="240"/>
      <c r="DV29" s="235"/>
      <c r="DW29" s="236"/>
      <c r="DX29" s="236"/>
      <c r="DY29" s="236"/>
      <c r="DZ29" s="236"/>
      <c r="EA29" s="237"/>
      <c r="EB29" s="236"/>
      <c r="EC29" s="236"/>
      <c r="ED29" s="236"/>
      <c r="EE29" s="236"/>
      <c r="EF29" s="236"/>
      <c r="EG29" s="238"/>
      <c r="EH29" s="236"/>
      <c r="EI29" s="236"/>
      <c r="EJ29" s="236"/>
      <c r="EK29" s="236"/>
      <c r="EL29" s="236"/>
      <c r="EM29" s="239"/>
      <c r="EN29" s="236"/>
      <c r="EO29" s="236"/>
      <c r="EP29" s="236"/>
      <c r="EQ29" s="236"/>
      <c r="ER29" s="236"/>
      <c r="ES29" s="238"/>
      <c r="ET29" s="236"/>
      <c r="EU29" s="236"/>
      <c r="EV29" s="236"/>
      <c r="EW29" s="236"/>
      <c r="EX29" s="236"/>
      <c r="EY29" s="239"/>
      <c r="EZ29" s="236"/>
      <c r="FA29" s="236"/>
      <c r="FB29" s="236"/>
      <c r="FC29" s="236"/>
      <c r="FD29" s="236"/>
      <c r="FE29" s="238"/>
      <c r="FF29" s="236"/>
      <c r="FG29" s="236"/>
      <c r="FH29" s="236"/>
      <c r="FI29" s="236"/>
      <c r="FJ29" s="236"/>
      <c r="FK29" s="239"/>
      <c r="FL29" s="236"/>
      <c r="FM29" s="236"/>
      <c r="FN29" s="236"/>
      <c r="FO29" s="236"/>
      <c r="FP29" s="236"/>
      <c r="FQ29" s="238"/>
      <c r="FR29" s="236"/>
      <c r="FS29" s="236"/>
      <c r="FT29" s="236"/>
      <c r="FU29" s="236"/>
      <c r="FV29" s="236"/>
      <c r="FW29" s="239"/>
      <c r="FX29" s="236"/>
      <c r="FY29" s="236"/>
      <c r="FZ29" s="236"/>
      <c r="GA29" s="236"/>
      <c r="GB29" s="236"/>
      <c r="GC29" s="240"/>
      <c r="GD29" s="235"/>
      <c r="GE29" s="236"/>
      <c r="GF29" s="236"/>
      <c r="GG29" s="236"/>
      <c r="GH29" s="236"/>
      <c r="GI29" s="237"/>
      <c r="GJ29" s="236"/>
      <c r="GK29" s="236"/>
      <c r="GL29" s="236"/>
      <c r="GM29" s="236"/>
      <c r="GN29" s="236"/>
      <c r="GO29" s="238"/>
      <c r="GP29" s="236"/>
      <c r="GQ29" s="236"/>
      <c r="GR29" s="236"/>
      <c r="GS29" s="236"/>
      <c r="GT29" s="236"/>
      <c r="GU29" s="239"/>
      <c r="GV29" s="236"/>
      <c r="GW29" s="236"/>
      <c r="GX29" s="236"/>
      <c r="GY29" s="236"/>
      <c r="GZ29" s="236"/>
      <c r="HA29" s="238"/>
      <c r="HB29" s="236"/>
      <c r="HC29" s="236"/>
      <c r="HD29" s="236"/>
      <c r="HE29" s="236"/>
      <c r="HF29" s="236"/>
      <c r="HG29" s="239"/>
      <c r="HH29" s="236"/>
      <c r="HI29" s="236"/>
      <c r="HJ29" s="236"/>
      <c r="HK29" s="236"/>
      <c r="HL29" s="236"/>
      <c r="HM29" s="238"/>
      <c r="HN29" s="236"/>
      <c r="HO29" s="236"/>
      <c r="HP29" s="236"/>
      <c r="HQ29" s="236"/>
      <c r="HR29" s="236"/>
      <c r="HS29" s="239"/>
      <c r="HT29" s="236"/>
      <c r="HU29" s="236"/>
      <c r="HV29" s="236"/>
      <c r="HW29" s="236"/>
      <c r="HX29" s="236"/>
      <c r="HY29" s="238"/>
      <c r="HZ29" s="236"/>
      <c r="IA29" s="236"/>
      <c r="IB29" s="236"/>
      <c r="IC29" s="236"/>
      <c r="ID29" s="236"/>
      <c r="IE29" s="239"/>
      <c r="IF29" s="236"/>
      <c r="IG29" s="236"/>
      <c r="IH29" s="236"/>
      <c r="II29" s="236"/>
      <c r="IJ29" s="236"/>
      <c r="IK29" s="240"/>
      <c r="IL29" s="235"/>
      <c r="IM29" s="236"/>
      <c r="IN29" s="236"/>
      <c r="IO29" s="236"/>
      <c r="IP29" s="236"/>
      <c r="IQ29" s="237"/>
      <c r="IR29" s="236"/>
      <c r="IS29" s="236"/>
      <c r="IT29" s="236"/>
      <c r="IU29" s="236"/>
      <c r="IV29" s="236"/>
      <c r="IW29" s="238"/>
      <c r="IX29" s="236"/>
      <c r="IY29" s="236"/>
      <c r="IZ29" s="236"/>
      <c r="JA29" s="236"/>
      <c r="JB29" s="236"/>
      <c r="JC29" s="239"/>
      <c r="JD29" s="236"/>
      <c r="JE29" s="236"/>
      <c r="JF29" s="236"/>
      <c r="JG29" s="236"/>
      <c r="JH29" s="236"/>
      <c r="JI29" s="238"/>
      <c r="JJ29" s="236"/>
      <c r="JK29" s="236"/>
      <c r="JL29" s="236"/>
      <c r="JM29" s="236"/>
      <c r="JN29" s="236"/>
      <c r="JO29" s="239"/>
      <c r="JP29" s="236"/>
      <c r="JQ29" s="236"/>
      <c r="JR29" s="236"/>
      <c r="JS29" s="236"/>
      <c r="JT29" s="236"/>
      <c r="JU29" s="238"/>
      <c r="JV29" s="236"/>
      <c r="JW29" s="236"/>
      <c r="JX29" s="236"/>
      <c r="JY29" s="236"/>
      <c r="JZ29" s="236"/>
      <c r="KA29" s="239"/>
      <c r="KB29" s="236"/>
      <c r="KC29" s="236"/>
      <c r="KD29" s="236"/>
      <c r="KE29" s="236"/>
      <c r="KF29" s="236"/>
      <c r="KG29" s="238"/>
      <c r="KH29" s="236"/>
      <c r="KI29" s="236"/>
      <c r="KJ29" s="236"/>
      <c r="KK29" s="236"/>
      <c r="KL29" s="236"/>
      <c r="KM29" s="239"/>
      <c r="KN29" s="236"/>
      <c r="KO29" s="236"/>
      <c r="KP29" s="236"/>
      <c r="KQ29" s="236"/>
      <c r="KR29" s="236"/>
      <c r="KS29" s="240"/>
      <c r="KT29" s="235"/>
      <c r="KU29" s="236"/>
      <c r="KV29" s="236"/>
      <c r="KW29" s="236"/>
      <c r="KX29" s="236"/>
      <c r="KY29" s="237"/>
      <c r="KZ29" s="236"/>
      <c r="LA29" s="236"/>
      <c r="LB29" s="236"/>
      <c r="LC29" s="236"/>
      <c r="LD29" s="236"/>
      <c r="LE29" s="238"/>
      <c r="LF29" s="236"/>
      <c r="LG29" s="236"/>
      <c r="LH29" s="236"/>
      <c r="LI29" s="236"/>
      <c r="LJ29" s="236"/>
      <c r="LK29" s="239"/>
      <c r="LL29" s="236"/>
      <c r="LM29" s="236"/>
      <c r="LN29" s="236"/>
      <c r="LO29" s="236"/>
      <c r="LP29" s="236"/>
      <c r="LQ29" s="238"/>
      <c r="LR29" s="149"/>
      <c r="LS29" s="149"/>
      <c r="LT29" s="149"/>
      <c r="LU29" s="149"/>
      <c r="LV29" s="149"/>
      <c r="LW29" s="152"/>
      <c r="LX29" s="149"/>
      <c r="LY29" s="149"/>
      <c r="LZ29" s="149"/>
      <c r="MA29" s="149"/>
      <c r="MB29" s="149"/>
      <c r="MC29" s="151"/>
      <c r="MD29" s="149"/>
      <c r="ME29" s="149"/>
      <c r="MF29" s="149"/>
      <c r="MG29" s="149"/>
      <c r="MH29" s="149"/>
      <c r="MI29" s="152"/>
      <c r="MJ29" s="236"/>
      <c r="MK29" s="236"/>
      <c r="ML29" s="236"/>
      <c r="MM29" s="236"/>
      <c r="MN29" s="236"/>
      <c r="MO29" s="238"/>
      <c r="MP29" s="236"/>
      <c r="MQ29" s="236"/>
      <c r="MR29" s="236"/>
      <c r="MS29" s="236"/>
      <c r="MT29" s="236"/>
      <c r="MU29" s="239"/>
      <c r="MV29" s="236"/>
      <c r="MW29" s="236"/>
      <c r="MX29" s="236"/>
      <c r="MY29" s="236"/>
      <c r="MZ29" s="236"/>
      <c r="NA29" s="240"/>
      <c r="NB29" s="235"/>
      <c r="NC29" s="236"/>
      <c r="ND29" s="236"/>
      <c r="NE29" s="236"/>
      <c r="NF29" s="236"/>
      <c r="NG29" s="237"/>
      <c r="NH29" s="236"/>
      <c r="NI29" s="236"/>
      <c r="NJ29" s="236"/>
      <c r="NK29" s="236"/>
      <c r="NL29" s="236"/>
      <c r="NM29" s="238"/>
      <c r="NN29" s="236"/>
      <c r="NO29" s="236"/>
      <c r="NP29" s="236"/>
      <c r="NQ29" s="236"/>
      <c r="NR29" s="236"/>
      <c r="NS29" s="239"/>
      <c r="NT29" s="236"/>
      <c r="NU29" s="236"/>
      <c r="NV29" s="236"/>
      <c r="NW29" s="236"/>
      <c r="NX29" s="236"/>
      <c r="NY29" s="238"/>
      <c r="NZ29" s="236"/>
      <c r="OA29" s="236"/>
      <c r="OB29" s="236"/>
      <c r="OC29" s="236"/>
      <c r="OD29" s="236"/>
      <c r="OE29" s="239"/>
      <c r="OF29" s="236"/>
      <c r="OG29" s="236"/>
      <c r="OH29" s="236"/>
      <c r="OI29" s="236"/>
      <c r="OJ29" s="236"/>
      <c r="OK29" s="238"/>
      <c r="OL29" s="236"/>
      <c r="OM29" s="236"/>
      <c r="ON29" s="236"/>
      <c r="OO29" s="236"/>
      <c r="OP29" s="236"/>
      <c r="OQ29" s="239"/>
      <c r="OR29" s="236"/>
      <c r="OS29" s="236"/>
      <c r="OT29" s="236"/>
      <c r="OU29" s="236"/>
      <c r="OV29" s="236"/>
      <c r="OW29" s="238"/>
      <c r="OX29" s="236"/>
      <c r="OY29" s="236"/>
      <c r="OZ29" s="236"/>
      <c r="PA29" s="236"/>
      <c r="PB29" s="236"/>
      <c r="PC29" s="239"/>
      <c r="PD29" s="236"/>
      <c r="PE29" s="236"/>
      <c r="PF29" s="236"/>
      <c r="PG29" s="236"/>
      <c r="PH29" s="236"/>
      <c r="PI29" s="240"/>
      <c r="PJ29" s="235"/>
      <c r="PK29" s="236"/>
      <c r="PL29" s="236"/>
      <c r="PM29" s="236"/>
      <c r="PN29" s="236"/>
      <c r="PO29" s="237"/>
      <c r="PP29" s="236"/>
      <c r="PQ29" s="236"/>
      <c r="PR29" s="236"/>
      <c r="PS29" s="236"/>
      <c r="PT29" s="236"/>
      <c r="PU29" s="238"/>
      <c r="PV29" s="236"/>
      <c r="PW29" s="236"/>
      <c r="PX29" s="236"/>
      <c r="PY29" s="236"/>
      <c r="PZ29" s="236"/>
      <c r="QA29" s="239"/>
      <c r="QB29" s="236"/>
      <c r="QC29" s="236"/>
      <c r="QD29" s="236"/>
      <c r="QE29" s="236"/>
      <c r="QF29" s="236"/>
      <c r="QG29" s="238"/>
      <c r="QH29" s="236"/>
      <c r="QI29" s="236"/>
      <c r="QJ29" s="236"/>
      <c r="QK29" s="236"/>
      <c r="QL29" s="236"/>
      <c r="QM29" s="239"/>
      <c r="QN29" s="236"/>
      <c r="QO29" s="236"/>
      <c r="QP29" s="236"/>
      <c r="QQ29" s="236"/>
      <c r="QR29" s="236"/>
      <c r="QS29" s="238"/>
      <c r="QT29" s="236"/>
      <c r="QU29" s="236"/>
      <c r="QV29" s="236"/>
      <c r="QW29" s="236"/>
      <c r="QX29" s="236"/>
      <c r="QY29" s="239"/>
      <c r="QZ29" s="236"/>
      <c r="RA29" s="236"/>
      <c r="RB29" s="236"/>
      <c r="RC29" s="236"/>
      <c r="RD29" s="236"/>
      <c r="RE29" s="238"/>
      <c r="RF29" s="236"/>
      <c r="RG29" s="236"/>
      <c r="RH29" s="236"/>
      <c r="RI29" s="236"/>
      <c r="RJ29" s="236"/>
      <c r="RK29" s="239"/>
      <c r="RL29" s="236"/>
      <c r="RM29" s="236"/>
      <c r="RN29" s="236"/>
      <c r="RO29" s="236"/>
      <c r="RP29" s="236"/>
      <c r="RQ29" s="240"/>
      <c r="RR29" s="235"/>
      <c r="RS29" s="236"/>
      <c r="RT29" s="236"/>
      <c r="RU29" s="236"/>
      <c r="RV29" s="236"/>
      <c r="RW29" s="237"/>
      <c r="RX29" s="236"/>
      <c r="RY29" s="236"/>
      <c r="RZ29" s="236"/>
      <c r="SA29" s="236"/>
      <c r="SB29" s="236"/>
      <c r="SC29" s="238"/>
      <c r="SD29" s="236"/>
      <c r="SE29" s="236"/>
      <c r="SF29" s="236"/>
      <c r="SG29" s="236"/>
      <c r="SH29" s="236"/>
      <c r="SI29" s="239"/>
      <c r="SJ29" s="236"/>
      <c r="SK29" s="236"/>
      <c r="SL29" s="236"/>
      <c r="SM29" s="236"/>
      <c r="SN29" s="236"/>
      <c r="SO29" s="238"/>
      <c r="SP29" s="236"/>
      <c r="SQ29" s="236"/>
      <c r="SR29" s="236"/>
      <c r="SS29" s="236"/>
      <c r="ST29" s="236"/>
      <c r="SU29" s="239"/>
      <c r="SV29" s="236"/>
      <c r="SW29" s="236"/>
      <c r="SX29" s="236"/>
      <c r="SY29" s="236"/>
      <c r="SZ29" s="236"/>
      <c r="TA29" s="238"/>
      <c r="TB29" s="236"/>
      <c r="TC29" s="236"/>
      <c r="TD29" s="236"/>
      <c r="TE29" s="236"/>
      <c r="TF29" s="236"/>
      <c r="TG29" s="239"/>
      <c r="TH29" s="236"/>
      <c r="TI29" s="236"/>
      <c r="TJ29" s="236"/>
      <c r="TK29" s="236"/>
      <c r="TL29" s="236"/>
      <c r="TM29" s="238"/>
      <c r="TN29" s="236"/>
      <c r="TO29" s="236"/>
      <c r="TP29" s="236"/>
      <c r="TQ29" s="236"/>
      <c r="TR29" s="236"/>
      <c r="TS29" s="239"/>
      <c r="TT29" s="236"/>
      <c r="TU29" s="236"/>
      <c r="TV29" s="236"/>
      <c r="TW29" s="236"/>
      <c r="TX29" s="236"/>
      <c r="TY29" s="240"/>
      <c r="TZ29" s="235"/>
      <c r="UA29" s="236"/>
      <c r="UB29" s="236"/>
      <c r="UC29" s="236"/>
      <c r="UD29" s="236"/>
      <c r="UE29" s="237"/>
      <c r="UF29" s="236"/>
      <c r="UG29" s="236"/>
      <c r="UH29" s="236"/>
      <c r="UI29" s="236"/>
      <c r="UJ29" s="236"/>
      <c r="UK29" s="238"/>
      <c r="UL29" s="236"/>
      <c r="UM29" s="236"/>
      <c r="UN29" s="236"/>
      <c r="UO29" s="236"/>
      <c r="UP29" s="236"/>
      <c r="UQ29" s="239"/>
      <c r="UR29" s="236"/>
      <c r="US29" s="236"/>
      <c r="UT29" s="236"/>
      <c r="UU29" s="236"/>
      <c r="UV29" s="236"/>
      <c r="UW29" s="238"/>
      <c r="UX29" s="236"/>
      <c r="UY29" s="236"/>
      <c r="UZ29" s="236"/>
      <c r="VA29" s="236"/>
      <c r="VB29" s="236"/>
      <c r="VC29" s="239"/>
      <c r="VD29" s="236"/>
      <c r="VE29" s="236"/>
      <c r="VF29" s="236"/>
      <c r="VG29" s="236"/>
      <c r="VH29" s="236"/>
      <c r="VI29" s="238"/>
      <c r="VJ29" s="236"/>
      <c r="VK29" s="236"/>
      <c r="VL29" s="236"/>
      <c r="VM29" s="236"/>
      <c r="VN29" s="236"/>
      <c r="VO29" s="239"/>
      <c r="VP29" s="236"/>
      <c r="VQ29" s="236"/>
      <c r="VR29" s="236"/>
      <c r="VS29" s="236"/>
      <c r="VT29" s="236"/>
      <c r="VU29" s="238"/>
      <c r="VV29" s="236"/>
      <c r="VW29" s="236"/>
      <c r="VX29" s="236"/>
      <c r="VY29" s="236"/>
      <c r="VZ29" s="236"/>
      <c r="WA29" s="239"/>
      <c r="WB29" s="236"/>
      <c r="WC29" s="236"/>
      <c r="WD29" s="236"/>
      <c r="WE29" s="236"/>
      <c r="WF29" s="236"/>
      <c r="WG29" s="240"/>
      <c r="WH29" s="235"/>
      <c r="WI29" s="236"/>
      <c r="WJ29" s="236"/>
      <c r="WK29" s="236"/>
      <c r="WL29" s="236"/>
      <c r="WM29" s="237"/>
      <c r="WN29" s="236"/>
      <c r="WO29" s="236"/>
      <c r="WP29" s="236"/>
      <c r="WQ29" s="236"/>
      <c r="WR29" s="236"/>
      <c r="WS29" s="238"/>
      <c r="WT29" s="236"/>
      <c r="WU29" s="236"/>
      <c r="WV29" s="236"/>
      <c r="WW29" s="236"/>
      <c r="WX29" s="236"/>
      <c r="WY29" s="239"/>
      <c r="WZ29" s="236"/>
      <c r="XA29" s="236"/>
      <c r="XB29" s="236"/>
      <c r="XC29" s="236"/>
      <c r="XD29" s="236"/>
      <c r="XE29" s="238"/>
      <c r="XF29" s="236"/>
      <c r="XG29" s="236"/>
      <c r="XH29" s="236"/>
      <c r="XI29" s="236"/>
      <c r="XJ29" s="236"/>
      <c r="XK29" s="239"/>
      <c r="XL29" s="236"/>
      <c r="XM29" s="236"/>
      <c r="XN29" s="236"/>
      <c r="XO29" s="236"/>
      <c r="XP29" s="236"/>
      <c r="XQ29" s="238"/>
      <c r="XR29" s="236"/>
      <c r="XS29" s="236"/>
      <c r="XT29" s="236"/>
      <c r="XU29" s="236"/>
      <c r="XV29" s="236"/>
      <c r="XW29" s="239"/>
      <c r="XX29" s="236"/>
      <c r="XY29" s="236"/>
      <c r="XZ29" s="236"/>
      <c r="YA29" s="236"/>
      <c r="YB29" s="236"/>
      <c r="YC29" s="238"/>
      <c r="YD29" s="236"/>
      <c r="YE29" s="236"/>
      <c r="YF29" s="236"/>
      <c r="YG29" s="236"/>
      <c r="YH29" s="236"/>
      <c r="YI29" s="239"/>
      <c r="YJ29" s="236"/>
      <c r="YK29" s="236"/>
      <c r="YL29" s="236"/>
      <c r="YM29" s="236"/>
      <c r="YN29" s="236"/>
      <c r="YO29" s="240"/>
      <c r="YP29" s="235"/>
      <c r="YQ29" s="236"/>
      <c r="YR29" s="236"/>
      <c r="YS29" s="236"/>
      <c r="YT29" s="236"/>
      <c r="YU29" s="237"/>
      <c r="YV29" s="236"/>
      <c r="YW29" s="236"/>
      <c r="YX29" s="236"/>
      <c r="YY29" s="236"/>
      <c r="YZ29" s="236"/>
      <c r="ZA29" s="238"/>
      <c r="ZB29" s="236"/>
      <c r="ZC29" s="236"/>
      <c r="ZD29" s="236"/>
      <c r="ZE29" s="236"/>
      <c r="ZF29" s="236"/>
      <c r="ZG29" s="239"/>
      <c r="ZH29" s="236"/>
      <c r="ZI29" s="236"/>
      <c r="ZJ29" s="236"/>
      <c r="ZK29" s="236"/>
      <c r="ZL29" s="236"/>
      <c r="ZM29" s="238"/>
      <c r="ZN29" s="236"/>
      <c r="ZO29" s="236"/>
      <c r="ZP29" s="236"/>
      <c r="ZQ29" s="236"/>
      <c r="ZR29" s="236"/>
      <c r="ZS29" s="239"/>
      <c r="ZT29" s="236"/>
      <c r="ZU29" s="236"/>
      <c r="ZV29" s="236"/>
      <c r="ZW29" s="236"/>
      <c r="ZX29" s="236"/>
      <c r="ZY29" s="238"/>
      <c r="ZZ29" s="236"/>
      <c r="AAA29" s="236"/>
      <c r="AAB29" s="236"/>
      <c r="AAC29" s="236"/>
      <c r="AAD29" s="236"/>
      <c r="AAE29" s="239"/>
      <c r="AAF29" s="236"/>
      <c r="AAG29" s="236"/>
      <c r="AAH29" s="236"/>
      <c r="AAI29" s="236"/>
      <c r="AAJ29" s="236"/>
      <c r="AAK29" s="238"/>
      <c r="AAL29" s="236"/>
      <c r="AAM29" s="236"/>
      <c r="AAN29" s="236"/>
      <c r="AAO29" s="236"/>
      <c r="AAP29" s="236"/>
      <c r="AAQ29" s="239"/>
      <c r="AAR29" s="236"/>
      <c r="AAS29" s="236"/>
      <c r="AAT29" s="236"/>
      <c r="AAU29" s="236"/>
      <c r="AAV29" s="236"/>
      <c r="AAW29" s="240"/>
      <c r="AAX29" s="235"/>
      <c r="AAY29" s="236"/>
      <c r="AAZ29" s="236"/>
      <c r="ABA29" s="236"/>
      <c r="ABB29" s="236"/>
      <c r="ABC29" s="237"/>
      <c r="ABD29" s="236"/>
      <c r="ABE29" s="236"/>
      <c r="ABF29" s="236"/>
      <c r="ABG29" s="236"/>
      <c r="ABH29" s="236"/>
      <c r="ABI29" s="238"/>
      <c r="ABJ29" s="236"/>
      <c r="ABK29" s="236"/>
      <c r="ABL29" s="236"/>
      <c r="ABM29" s="236"/>
      <c r="ABN29" s="236"/>
      <c r="ABO29" s="239"/>
      <c r="ABP29" s="236"/>
      <c r="ABQ29" s="236"/>
      <c r="ABR29" s="236"/>
      <c r="ABS29" s="236"/>
      <c r="ABT29" s="236"/>
      <c r="ABU29" s="238"/>
      <c r="ABV29" s="236"/>
      <c r="ABW29" s="236"/>
      <c r="ABX29" s="236"/>
      <c r="ABY29" s="236"/>
      <c r="ABZ29" s="236"/>
      <c r="ACA29" s="239"/>
      <c r="ACB29" s="236"/>
      <c r="ACC29" s="236"/>
      <c r="ACD29" s="236"/>
      <c r="ACE29" s="236"/>
      <c r="ACF29" s="236"/>
      <c r="ACG29" s="238"/>
      <c r="ACH29" s="236"/>
      <c r="ACI29" s="236"/>
      <c r="ACJ29" s="236"/>
      <c r="ACK29" s="236"/>
      <c r="ACL29" s="236"/>
      <c r="ACM29" s="239"/>
      <c r="ACN29" s="236"/>
      <c r="ACO29" s="236"/>
      <c r="ACP29" s="236"/>
      <c r="ACQ29" s="236"/>
      <c r="ACR29" s="236"/>
      <c r="ACS29" s="238"/>
      <c r="ACT29" s="236"/>
      <c r="ACU29" s="236"/>
      <c r="ACV29" s="236"/>
      <c r="ACW29" s="236"/>
      <c r="ACX29" s="236"/>
      <c r="ACY29" s="239"/>
      <c r="ACZ29" s="236"/>
      <c r="ADA29" s="236"/>
      <c r="ADB29" s="236"/>
      <c r="ADC29" s="236"/>
      <c r="ADD29" s="236"/>
      <c r="ADE29" s="240"/>
      <c r="ADF29" s="235"/>
      <c r="ADG29" s="236"/>
      <c r="ADH29" s="236"/>
      <c r="ADI29" s="236"/>
      <c r="ADJ29" s="236"/>
      <c r="ADK29" s="237"/>
      <c r="ADL29" s="236"/>
      <c r="ADM29" s="236"/>
      <c r="ADN29" s="236"/>
      <c r="ADO29" s="236"/>
      <c r="ADP29" s="236"/>
      <c r="ADQ29" s="238"/>
      <c r="ADR29" s="236"/>
      <c r="ADS29" s="236"/>
      <c r="ADT29" s="236"/>
      <c r="ADU29" s="236"/>
      <c r="ADV29" s="236"/>
      <c r="ADW29" s="239"/>
      <c r="ADX29" s="236"/>
      <c r="ADY29" s="236"/>
      <c r="ADZ29" s="236"/>
      <c r="AEA29" s="236"/>
      <c r="AEB29" s="236"/>
      <c r="AEC29" s="238"/>
      <c r="AED29" s="236"/>
      <c r="AEE29" s="236"/>
      <c r="AEF29" s="236"/>
      <c r="AEG29" s="236"/>
      <c r="AEH29" s="236"/>
      <c r="AEI29" s="239"/>
      <c r="AEJ29" s="236"/>
      <c r="AEK29" s="236"/>
      <c r="AEL29" s="236"/>
      <c r="AEM29" s="236"/>
      <c r="AEN29" s="236"/>
      <c r="AEO29" s="238"/>
      <c r="AEP29" s="236"/>
      <c r="AEQ29" s="236"/>
      <c r="AER29" s="236"/>
      <c r="AES29" s="236"/>
      <c r="AET29" s="236"/>
      <c r="AEU29" s="239"/>
      <c r="AEV29" s="236"/>
      <c r="AEW29" s="236"/>
      <c r="AEX29" s="236"/>
      <c r="AEY29" s="236"/>
      <c r="AEZ29" s="236"/>
      <c r="AFA29" s="238"/>
      <c r="AFB29" s="236"/>
      <c r="AFC29" s="236"/>
      <c r="AFD29" s="236"/>
      <c r="AFE29" s="236"/>
      <c r="AFF29" s="236"/>
      <c r="AFG29" s="239"/>
      <c r="AFH29" s="236"/>
      <c r="AFI29" s="236"/>
      <c r="AFJ29" s="236"/>
      <c r="AFK29" s="236"/>
      <c r="AFL29" s="236"/>
      <c r="AFM29" s="240"/>
      <c r="AFN29" s="235"/>
      <c r="AFO29" s="236"/>
      <c r="AFP29" s="236"/>
      <c r="AFQ29" s="236"/>
      <c r="AFR29" s="236"/>
      <c r="AFS29" s="237"/>
      <c r="AFT29" s="236"/>
      <c r="AFU29" s="236"/>
      <c r="AFV29" s="236"/>
      <c r="AFW29" s="236"/>
      <c r="AFX29" s="236"/>
      <c r="AFY29" s="238"/>
      <c r="AFZ29" s="236"/>
      <c r="AGA29" s="236"/>
      <c r="AGB29" s="236"/>
      <c r="AGC29" s="236"/>
      <c r="AGD29" s="236"/>
      <c r="AGE29" s="239"/>
      <c r="AGF29" s="236"/>
      <c r="AGG29" s="236"/>
      <c r="AGH29" s="236"/>
      <c r="AGI29" s="236"/>
      <c r="AGJ29" s="236"/>
      <c r="AGK29" s="238"/>
      <c r="AGL29" s="236"/>
      <c r="AGM29" s="236"/>
      <c r="AGN29" s="236"/>
      <c r="AGO29" s="236"/>
      <c r="AGP29" s="236"/>
      <c r="AGQ29" s="239"/>
      <c r="AGR29" s="236"/>
      <c r="AGS29" s="236"/>
      <c r="AGT29" s="236"/>
      <c r="AGU29" s="236"/>
      <c r="AGV29" s="236"/>
      <c r="AGW29" s="238"/>
      <c r="AGX29" s="236"/>
      <c r="AGY29" s="236"/>
      <c r="AGZ29" s="236"/>
      <c r="AHA29" s="236"/>
      <c r="AHB29" s="236"/>
      <c r="AHC29" s="239"/>
      <c r="AHD29" s="236"/>
      <c r="AHE29" s="236"/>
      <c r="AHF29" s="236"/>
      <c r="AHG29" s="236"/>
      <c r="AHH29" s="236"/>
      <c r="AHI29" s="238"/>
      <c r="AHJ29" s="236"/>
      <c r="AHK29" s="236"/>
      <c r="AHL29" s="236"/>
      <c r="AHM29" s="236"/>
      <c r="AHN29" s="236"/>
      <c r="AHO29" s="239"/>
      <c r="AHP29" s="236"/>
      <c r="AHQ29" s="236"/>
      <c r="AHR29" s="236"/>
      <c r="AHS29" s="236"/>
      <c r="AHT29" s="236"/>
      <c r="AHU29" s="240"/>
      <c r="AHV29" s="235"/>
      <c r="AHW29" s="236"/>
      <c r="AHX29" s="236"/>
      <c r="AHY29" s="236"/>
      <c r="AHZ29" s="236"/>
      <c r="AIA29" s="237"/>
      <c r="AIB29" s="236"/>
      <c r="AIC29" s="236"/>
      <c r="AID29" s="236"/>
      <c r="AIE29" s="236"/>
      <c r="AIF29" s="236"/>
      <c r="AIG29" s="238"/>
      <c r="AIH29" s="236"/>
      <c r="AII29" s="236"/>
      <c r="AIJ29" s="236"/>
      <c r="AIK29" s="236"/>
      <c r="AIL29" s="236"/>
      <c r="AIM29" s="239"/>
      <c r="AIN29" s="236"/>
      <c r="AIO29" s="236"/>
      <c r="AIP29" s="236"/>
      <c r="AIQ29" s="236"/>
      <c r="AIR29" s="236"/>
      <c r="AIS29" s="238"/>
      <c r="AIT29" s="236"/>
      <c r="AIU29" s="236"/>
      <c r="AIV29" s="236"/>
      <c r="AIW29" s="236"/>
      <c r="AIX29" s="236"/>
      <c r="AIY29" s="239"/>
      <c r="AIZ29" s="236"/>
      <c r="AJA29" s="236"/>
      <c r="AJB29" s="236"/>
      <c r="AJC29" s="236"/>
      <c r="AJD29" s="236"/>
      <c r="AJE29" s="238"/>
      <c r="AJF29" s="236"/>
      <c r="AJG29" s="236"/>
      <c r="AJH29" s="236"/>
      <c r="AJI29" s="236"/>
      <c r="AJJ29" s="236"/>
      <c r="AJK29" s="239"/>
      <c r="AJL29" s="236"/>
      <c r="AJM29" s="236"/>
      <c r="AJN29" s="236"/>
      <c r="AJO29" s="236"/>
      <c r="AJP29" s="236"/>
      <c r="AJQ29" s="238"/>
      <c r="AJR29" s="236"/>
      <c r="AJS29" s="236"/>
      <c r="AJT29" s="236"/>
      <c r="AJU29" s="236"/>
      <c r="AJV29" s="236"/>
      <c r="AJW29" s="239"/>
      <c r="AJX29" s="236"/>
      <c r="AJY29" s="236"/>
      <c r="AJZ29" s="236"/>
      <c r="AKA29" s="236"/>
      <c r="AKB29" s="236"/>
      <c r="AKC29" s="240"/>
      <c r="AKD29" s="235"/>
      <c r="AKE29" s="236"/>
      <c r="AKF29" s="236"/>
      <c r="AKG29" s="236"/>
      <c r="AKH29" s="236"/>
      <c r="AKI29" s="237"/>
      <c r="AKJ29" s="236"/>
      <c r="AKK29" s="236"/>
      <c r="AKL29" s="236"/>
      <c r="AKM29" s="236"/>
      <c r="AKN29" s="236"/>
      <c r="AKO29" s="238"/>
      <c r="AKP29" s="236"/>
      <c r="AKQ29" s="236"/>
      <c r="AKR29" s="236"/>
      <c r="AKS29" s="236"/>
      <c r="AKT29" s="236"/>
      <c r="AKU29" s="239"/>
      <c r="AKV29" s="236"/>
      <c r="AKW29" s="236"/>
      <c r="AKX29" s="236"/>
      <c r="AKY29" s="236"/>
      <c r="AKZ29" s="236"/>
      <c r="ALA29" s="238"/>
      <c r="ALB29" s="236"/>
      <c r="ALC29" s="236"/>
      <c r="ALD29" s="236"/>
      <c r="ALE29" s="236"/>
      <c r="ALF29" s="236"/>
      <c r="ALG29" s="239"/>
      <c r="ALH29" s="236"/>
      <c r="ALI29" s="236"/>
      <c r="ALJ29" s="236"/>
      <c r="ALK29" s="236"/>
      <c r="ALL29" s="236"/>
      <c r="ALM29" s="238"/>
      <c r="ALN29" s="236"/>
      <c r="ALO29" s="236"/>
      <c r="ALP29" s="236"/>
      <c r="ALQ29" s="236"/>
      <c r="ALR29" s="236"/>
      <c r="ALS29" s="239"/>
      <c r="ALT29" s="236"/>
      <c r="ALU29" s="236"/>
      <c r="ALV29" s="236"/>
      <c r="ALW29" s="236"/>
      <c r="ALX29" s="236"/>
      <c r="ALY29" s="238"/>
      <c r="ALZ29" s="236"/>
      <c r="AMA29" s="236"/>
      <c r="AMB29" s="236"/>
      <c r="AMC29" s="236"/>
      <c r="AMD29" s="236"/>
      <c r="AME29" s="239"/>
      <c r="AMF29" s="236"/>
      <c r="AMG29" s="236"/>
      <c r="AMH29" s="236"/>
      <c r="AMI29" s="236"/>
      <c r="AMJ29" s="236"/>
      <c r="AMK29" s="240"/>
      <c r="AML29" s="235"/>
      <c r="AMM29" s="236"/>
      <c r="AMN29" s="236"/>
      <c r="AMO29" s="236"/>
      <c r="AMP29" s="236"/>
      <c r="AMQ29" s="237"/>
      <c r="AMR29" s="236"/>
      <c r="AMS29" s="236"/>
      <c r="AMT29" s="236"/>
      <c r="AMU29" s="236"/>
      <c r="AMV29" s="236"/>
      <c r="AMW29" s="238"/>
      <c r="AMX29" s="236"/>
      <c r="AMY29" s="236"/>
      <c r="AMZ29" s="236"/>
      <c r="ANA29" s="236"/>
      <c r="ANB29" s="236"/>
      <c r="ANC29" s="239"/>
      <c r="AND29" s="236"/>
      <c r="ANE29" s="236"/>
      <c r="ANF29" s="236"/>
      <c r="ANG29" s="236"/>
      <c r="ANH29" s="236"/>
      <c r="ANI29" s="238"/>
      <c r="ANJ29" s="236"/>
      <c r="ANK29" s="236"/>
      <c r="ANL29" s="236"/>
      <c r="ANM29" s="236"/>
      <c r="ANN29" s="236"/>
      <c r="ANO29" s="239"/>
      <c r="ANP29" s="236"/>
      <c r="ANQ29" s="236"/>
      <c r="ANR29" s="236"/>
      <c r="ANS29" s="236"/>
      <c r="ANT29" s="236"/>
      <c r="ANU29" s="238"/>
      <c r="ANV29" s="236"/>
      <c r="ANW29" s="236"/>
      <c r="ANX29" s="236"/>
      <c r="ANY29" s="236"/>
      <c r="ANZ29" s="236"/>
      <c r="AOA29" s="239"/>
      <c r="AOB29" s="236"/>
      <c r="AOC29" s="236"/>
      <c r="AOD29" s="236"/>
      <c r="AOE29" s="236"/>
      <c r="AOF29" s="236"/>
      <c r="AOG29" s="238"/>
      <c r="AOH29" s="236"/>
      <c r="AOI29" s="236"/>
      <c r="AOJ29" s="236"/>
      <c r="AOK29" s="236"/>
      <c r="AOL29" s="236"/>
      <c r="AOM29" s="239"/>
      <c r="AON29" s="236"/>
      <c r="AOO29" s="236"/>
      <c r="AOP29" s="236"/>
      <c r="AOQ29" s="236"/>
      <c r="AOR29" s="236"/>
      <c r="AOS29" s="240"/>
      <c r="AOT29" s="235"/>
      <c r="AOU29" s="236"/>
      <c r="AOV29" s="236"/>
      <c r="AOW29" s="236"/>
      <c r="AOX29" s="236"/>
      <c r="AOY29" s="237"/>
      <c r="AOZ29" s="236"/>
      <c r="APA29" s="236"/>
      <c r="APB29" s="236"/>
      <c r="APC29" s="236"/>
      <c r="APD29" s="236"/>
      <c r="APE29" s="238"/>
      <c r="APF29" s="236"/>
      <c r="APG29" s="236"/>
      <c r="APH29" s="236"/>
      <c r="API29" s="236"/>
      <c r="APJ29" s="236"/>
      <c r="APK29" s="239"/>
      <c r="APL29" s="236"/>
      <c r="APM29" s="236"/>
      <c r="APN29" s="236"/>
      <c r="APO29" s="236"/>
      <c r="APP29" s="236"/>
      <c r="APQ29" s="238"/>
      <c r="APR29" s="236"/>
      <c r="APS29" s="236"/>
      <c r="APT29" s="236"/>
      <c r="APU29" s="236"/>
      <c r="APV29" s="236"/>
      <c r="APW29" s="239"/>
      <c r="APX29" s="236"/>
      <c r="APY29" s="236"/>
      <c r="APZ29" s="236"/>
      <c r="AQA29" s="236"/>
      <c r="AQB29" s="236"/>
      <c r="AQC29" s="238"/>
      <c r="AQD29" s="236"/>
      <c r="AQE29" s="236"/>
      <c r="AQF29" s="236"/>
      <c r="AQG29" s="236"/>
      <c r="AQH29" s="236"/>
      <c r="AQI29" s="239"/>
      <c r="AQJ29" s="236"/>
      <c r="AQK29" s="236"/>
      <c r="AQL29" s="236"/>
      <c r="AQM29" s="236"/>
      <c r="AQN29" s="236"/>
      <c r="AQO29" s="238"/>
      <c r="AQP29" s="236"/>
      <c r="AQQ29" s="236"/>
      <c r="AQR29" s="236"/>
      <c r="AQS29" s="236"/>
      <c r="AQT29" s="236"/>
      <c r="AQU29" s="239"/>
      <c r="AQV29" s="236"/>
      <c r="AQW29" s="236"/>
      <c r="AQX29" s="236"/>
      <c r="AQY29" s="236"/>
      <c r="AQZ29" s="236"/>
      <c r="ARA29" s="240"/>
      <c r="ARB29" s="235"/>
      <c r="ARC29" s="236"/>
      <c r="ARD29" s="236"/>
      <c r="ARE29" s="236"/>
      <c r="ARF29" s="236"/>
      <c r="ARG29" s="237"/>
      <c r="ARH29" s="236"/>
      <c r="ARI29" s="236"/>
      <c r="ARJ29" s="236"/>
      <c r="ARK29" s="236"/>
      <c r="ARL29" s="236"/>
      <c r="ARM29" s="238"/>
      <c r="ARN29" s="236"/>
      <c r="ARO29" s="236"/>
      <c r="ARP29" s="236"/>
      <c r="ARQ29" s="236"/>
      <c r="ARR29" s="236"/>
      <c r="ARS29" s="239"/>
      <c r="ART29" s="236"/>
      <c r="ARU29" s="236"/>
      <c r="ARV29" s="236"/>
      <c r="ARW29" s="236"/>
      <c r="ARX29" s="236"/>
      <c r="ARY29" s="238"/>
      <c r="ARZ29" s="236"/>
      <c r="ASA29" s="236"/>
      <c r="ASB29" s="236"/>
      <c r="ASC29" s="236"/>
      <c r="ASD29" s="236"/>
      <c r="ASE29" s="239"/>
      <c r="ASF29" s="236"/>
      <c r="ASG29" s="236"/>
      <c r="ASH29" s="236"/>
      <c r="ASI29" s="236"/>
      <c r="ASJ29" s="236"/>
      <c r="ASK29" s="238"/>
      <c r="ASL29" s="236"/>
      <c r="ASM29" s="236"/>
      <c r="ASN29" s="236"/>
      <c r="ASO29" s="236"/>
      <c r="ASP29" s="236"/>
      <c r="ASQ29" s="239"/>
      <c r="ASR29" s="236"/>
      <c r="ASS29" s="236"/>
      <c r="AST29" s="236"/>
      <c r="ASU29" s="236"/>
      <c r="ASV29" s="236"/>
      <c r="ASW29" s="238"/>
      <c r="ASX29" s="236"/>
      <c r="ASY29" s="236"/>
      <c r="ASZ29" s="236"/>
      <c r="ATA29" s="236"/>
      <c r="ATB29" s="236"/>
      <c r="ATC29" s="239"/>
      <c r="ATD29" s="236"/>
      <c r="ATE29" s="236"/>
      <c r="ATF29" s="236"/>
      <c r="ATG29" s="236"/>
      <c r="ATH29" s="236"/>
      <c r="ATI29" s="240"/>
      <c r="ATJ29" s="235"/>
      <c r="ATK29" s="236"/>
      <c r="ATL29" s="236"/>
      <c r="ATM29" s="236"/>
      <c r="ATN29" s="236"/>
      <c r="ATO29" s="237"/>
      <c r="ATP29" s="236"/>
      <c r="ATQ29" s="236"/>
      <c r="ATR29" s="236"/>
      <c r="ATS29" s="236"/>
      <c r="ATT29" s="236"/>
      <c r="ATU29" s="238"/>
      <c r="ATV29" s="236"/>
      <c r="ATW29" s="236"/>
      <c r="ATX29" s="236"/>
      <c r="ATY29" s="236"/>
      <c r="ATZ29" s="236"/>
      <c r="AUA29" s="239"/>
      <c r="AUB29" s="236"/>
      <c r="AUC29" s="236"/>
      <c r="AUD29" s="236"/>
      <c r="AUE29" s="236"/>
      <c r="AUF29" s="236"/>
      <c r="AUG29" s="238"/>
      <c r="AUH29" s="236"/>
      <c r="AUI29" s="236"/>
      <c r="AUJ29" s="236"/>
      <c r="AUK29" s="236"/>
      <c r="AUL29" s="236"/>
      <c r="AUM29" s="239"/>
      <c r="AUN29" s="236"/>
      <c r="AUO29" s="236"/>
      <c r="AUP29" s="236"/>
      <c r="AUQ29" s="236"/>
      <c r="AUR29" s="236"/>
      <c r="AUS29" s="238"/>
      <c r="AUT29" s="236"/>
      <c r="AUU29" s="236"/>
      <c r="AUV29" s="236"/>
      <c r="AUW29" s="236"/>
      <c r="AUX29" s="236"/>
      <c r="AUY29" s="239"/>
      <c r="AUZ29" s="236"/>
      <c r="AVA29" s="236"/>
      <c r="AVB29" s="236"/>
      <c r="AVC29" s="236"/>
      <c r="AVD29" s="236"/>
      <c r="AVE29" s="238"/>
      <c r="AVF29" s="236"/>
      <c r="AVG29" s="236"/>
      <c r="AVH29" s="236"/>
      <c r="AVI29" s="236"/>
      <c r="AVJ29" s="236"/>
      <c r="AVK29" s="239"/>
      <c r="AVL29" s="236"/>
      <c r="AVM29" s="236"/>
      <c r="AVN29" s="236"/>
      <c r="AVO29" s="236"/>
      <c r="AVP29" s="236"/>
      <c r="AVQ29" s="240"/>
      <c r="AVR29" s="235"/>
      <c r="AVS29" s="236"/>
      <c r="AVT29" s="236"/>
      <c r="AVU29" s="236"/>
      <c r="AVV29" s="236"/>
      <c r="AVW29" s="237"/>
      <c r="AVX29" s="236"/>
      <c r="AVY29" s="236"/>
      <c r="AVZ29" s="236"/>
      <c r="AWA29" s="236"/>
      <c r="AWB29" s="236"/>
      <c r="AWC29" s="238"/>
      <c r="AWD29" s="236"/>
      <c r="AWE29" s="236"/>
      <c r="AWF29" s="236"/>
      <c r="AWG29" s="236"/>
      <c r="AWH29" s="236"/>
      <c r="AWI29" s="239"/>
      <c r="AWJ29" s="236"/>
      <c r="AWK29" s="236"/>
      <c r="AWL29" s="236"/>
      <c r="AWM29" s="236"/>
      <c r="AWN29" s="236"/>
      <c r="AWO29" s="238"/>
      <c r="AWP29" s="236"/>
      <c r="AWQ29" s="236"/>
      <c r="AWR29" s="236"/>
      <c r="AWS29" s="236"/>
      <c r="AWT29" s="236"/>
      <c r="AWU29" s="239"/>
      <c r="AWV29" s="236"/>
      <c r="AWW29" s="236"/>
      <c r="AWX29" s="236"/>
      <c r="AWY29" s="236"/>
      <c r="AWZ29" s="236"/>
      <c r="AXA29" s="238"/>
      <c r="AXB29" s="236"/>
      <c r="AXC29" s="236"/>
      <c r="AXD29" s="236"/>
      <c r="AXE29" s="236"/>
      <c r="AXF29" s="236"/>
      <c r="AXG29" s="239"/>
      <c r="AXH29" s="236"/>
      <c r="AXI29" s="236"/>
      <c r="AXJ29" s="236"/>
      <c r="AXK29" s="236"/>
      <c r="AXL29" s="236"/>
      <c r="AXM29" s="238"/>
      <c r="AXN29" s="236"/>
      <c r="AXO29" s="236"/>
      <c r="AXP29" s="236"/>
      <c r="AXQ29" s="236"/>
      <c r="AXR29" s="236"/>
      <c r="AXS29" s="239"/>
      <c r="AXT29" s="236"/>
      <c r="AXU29" s="236"/>
      <c r="AXV29" s="236"/>
      <c r="AXW29" s="236"/>
      <c r="AXX29" s="236"/>
      <c r="AXY29" s="240"/>
      <c r="AXZ29" s="235"/>
      <c r="AYA29" s="236"/>
      <c r="AYB29" s="236"/>
      <c r="AYC29" s="236"/>
      <c r="AYD29" s="236"/>
      <c r="AYE29" s="237"/>
      <c r="AYF29" s="236"/>
      <c r="AYG29" s="236"/>
      <c r="AYH29" s="236"/>
      <c r="AYI29" s="236"/>
      <c r="AYJ29" s="236"/>
      <c r="AYK29" s="238"/>
      <c r="AYL29" s="236"/>
      <c r="AYM29" s="236"/>
      <c r="AYN29" s="236"/>
      <c r="AYO29" s="236"/>
      <c r="AYP29" s="236"/>
      <c r="AYQ29" s="239"/>
      <c r="AYR29" s="236"/>
      <c r="AYS29" s="236"/>
      <c r="AYT29" s="236"/>
      <c r="AYU29" s="236"/>
      <c r="AYV29" s="236"/>
      <c r="AYW29" s="238"/>
      <c r="AYX29" s="236"/>
      <c r="AYY29" s="236"/>
      <c r="AYZ29" s="236"/>
      <c r="AZA29" s="236"/>
      <c r="AZB29" s="236"/>
      <c r="AZC29" s="239"/>
      <c r="AZD29" s="236"/>
      <c r="AZE29" s="236"/>
      <c r="AZF29" s="236"/>
      <c r="AZG29" s="236"/>
      <c r="AZH29" s="236"/>
      <c r="AZI29" s="238"/>
      <c r="AZJ29" s="236"/>
      <c r="AZK29" s="236"/>
      <c r="AZL29" s="236"/>
      <c r="AZM29" s="236"/>
      <c r="AZN29" s="236"/>
      <c r="AZO29" s="239"/>
      <c r="AZP29" s="236"/>
      <c r="AZQ29" s="236"/>
      <c r="AZR29" s="236"/>
      <c r="AZS29" s="236"/>
      <c r="AZT29" s="236"/>
      <c r="AZU29" s="238"/>
      <c r="AZV29" s="236"/>
      <c r="AZW29" s="236"/>
      <c r="AZX29" s="236"/>
      <c r="AZY29" s="236"/>
      <c r="AZZ29" s="236"/>
      <c r="BAA29" s="239"/>
      <c r="BAB29" s="236"/>
      <c r="BAC29" s="236"/>
      <c r="BAD29" s="236"/>
      <c r="BAE29" s="236"/>
      <c r="BAF29" s="236"/>
      <c r="BAG29" s="240"/>
      <c r="BAH29" s="235"/>
      <c r="BAI29" s="236"/>
      <c r="BAJ29" s="236"/>
      <c r="BAK29" s="236"/>
      <c r="BAL29" s="236"/>
      <c r="BAM29" s="237"/>
      <c r="BAN29" s="236"/>
      <c r="BAO29" s="236"/>
      <c r="BAP29" s="236"/>
      <c r="BAQ29" s="236"/>
      <c r="BAR29" s="236"/>
      <c r="BAS29" s="238"/>
      <c r="BAT29" s="236"/>
      <c r="BAU29" s="236"/>
      <c r="BAV29" s="236"/>
      <c r="BAW29" s="236"/>
      <c r="BAX29" s="236"/>
      <c r="BAY29" s="239"/>
      <c r="BAZ29" s="236"/>
      <c r="BBA29" s="236"/>
      <c r="BBB29" s="236"/>
      <c r="BBC29" s="236"/>
      <c r="BBD29" s="236"/>
      <c r="BBE29" s="238"/>
      <c r="BBF29" s="236"/>
      <c r="BBG29" s="236"/>
      <c r="BBH29" s="236"/>
      <c r="BBI29" s="236"/>
      <c r="BBJ29" s="236"/>
      <c r="BBK29" s="239"/>
      <c r="BBL29" s="236"/>
      <c r="BBM29" s="236"/>
      <c r="BBN29" s="236"/>
      <c r="BBO29" s="236"/>
      <c r="BBP29" s="236"/>
      <c r="BBQ29" s="238"/>
      <c r="BBR29" s="236"/>
      <c r="BBS29" s="236"/>
      <c r="BBT29" s="236"/>
      <c r="BBU29" s="236"/>
      <c r="BBV29" s="236"/>
      <c r="BBW29" s="239"/>
      <c r="BBX29" s="236"/>
      <c r="BBY29" s="236"/>
      <c r="BBZ29" s="236"/>
      <c r="BCA29" s="236"/>
      <c r="BCB29" s="236"/>
      <c r="BCC29" s="238"/>
      <c r="BCD29" s="236"/>
      <c r="BCE29" s="236"/>
      <c r="BCF29" s="236"/>
      <c r="BCG29" s="236"/>
      <c r="BCH29" s="236"/>
      <c r="BCI29" s="239"/>
      <c r="BCJ29" s="236"/>
      <c r="BCK29" s="236"/>
      <c r="BCL29" s="236"/>
      <c r="BCM29" s="236"/>
      <c r="BCN29" s="236"/>
      <c r="BCO29" s="240"/>
      <c r="BCP29" s="235"/>
      <c r="BCQ29" s="236"/>
      <c r="BCR29" s="236"/>
      <c r="BCS29" s="236"/>
      <c r="BCT29" s="236"/>
      <c r="BCU29" s="237"/>
      <c r="BCV29" s="236"/>
      <c r="BCW29" s="236"/>
      <c r="BCX29" s="236"/>
      <c r="BCY29" s="236"/>
      <c r="BCZ29" s="236"/>
      <c r="BDA29" s="238"/>
      <c r="BDB29" s="236"/>
      <c r="BDC29" s="236"/>
      <c r="BDD29" s="236"/>
      <c r="BDE29" s="236"/>
      <c r="BDF29" s="236"/>
      <c r="BDG29" s="239"/>
      <c r="BDH29" s="236"/>
      <c r="BDI29" s="236"/>
      <c r="BDJ29" s="236"/>
      <c r="BDK29" s="236"/>
      <c r="BDL29" s="236"/>
      <c r="BDM29" s="238"/>
      <c r="BDN29" s="236"/>
      <c r="BDO29" s="236"/>
      <c r="BDP29" s="236"/>
      <c r="BDQ29" s="236"/>
      <c r="BDR29" s="236"/>
      <c r="BDS29" s="239"/>
      <c r="BDT29" s="236"/>
      <c r="BDU29" s="236"/>
      <c r="BDV29" s="236"/>
      <c r="BDW29" s="236"/>
      <c r="BDX29" s="236"/>
      <c r="BDY29" s="238"/>
      <c r="BDZ29" s="236"/>
      <c r="BEA29" s="236"/>
      <c r="BEB29" s="236"/>
      <c r="BEC29" s="236"/>
      <c r="BED29" s="236"/>
      <c r="BEE29" s="239"/>
      <c r="BEF29" s="236"/>
      <c r="BEG29" s="236"/>
      <c r="BEH29" s="236"/>
      <c r="BEI29" s="236"/>
      <c r="BEJ29" s="236"/>
      <c r="BEK29" s="238"/>
      <c r="BEL29" s="236"/>
      <c r="BEM29" s="236"/>
      <c r="BEN29" s="236"/>
      <c r="BEO29" s="236"/>
      <c r="BEP29" s="236"/>
      <c r="BEQ29" s="239"/>
      <c r="BER29" s="236"/>
      <c r="BES29" s="236"/>
      <c r="BET29" s="236"/>
      <c r="BEU29" s="236"/>
      <c r="BEV29" s="236"/>
      <c r="BEW29" s="240"/>
      <c r="BEX29" s="235"/>
      <c r="BEY29" s="236"/>
      <c r="BEZ29" s="236"/>
      <c r="BFA29" s="236"/>
      <c r="BFB29" s="236"/>
      <c r="BFC29" s="237"/>
      <c r="BFD29" s="236"/>
      <c r="BFE29" s="236"/>
      <c r="BFF29" s="236"/>
      <c r="BFG29" s="236"/>
      <c r="BFH29" s="236"/>
      <c r="BFI29" s="238"/>
      <c r="BFJ29" s="236"/>
      <c r="BFK29" s="236"/>
      <c r="BFL29" s="236"/>
      <c r="BFM29" s="236"/>
      <c r="BFN29" s="236"/>
      <c r="BFO29" s="239"/>
      <c r="BFP29" s="236"/>
      <c r="BFQ29" s="236"/>
      <c r="BFR29" s="236"/>
      <c r="BFS29" s="236"/>
      <c r="BFT29" s="236"/>
      <c r="BFU29" s="238"/>
      <c r="BFV29" s="236"/>
      <c r="BFW29" s="236"/>
      <c r="BFX29" s="236"/>
      <c r="BFY29" s="236"/>
      <c r="BFZ29" s="236"/>
      <c r="BGA29" s="239"/>
      <c r="BGB29" s="236"/>
      <c r="BGC29" s="236"/>
      <c r="BGD29" s="236"/>
      <c r="BGE29" s="236"/>
      <c r="BGF29" s="236"/>
      <c r="BGG29" s="238"/>
      <c r="BGH29" s="236"/>
      <c r="BGI29" s="236"/>
      <c r="BGJ29" s="236"/>
      <c r="BGK29" s="236"/>
      <c r="BGL29" s="236"/>
      <c r="BGM29" s="239"/>
      <c r="BGN29" s="236"/>
      <c r="BGO29" s="236"/>
      <c r="BGP29" s="236"/>
      <c r="BGQ29" s="236"/>
      <c r="BGR29" s="236"/>
      <c r="BGS29" s="238"/>
      <c r="BGT29" s="236"/>
      <c r="BGU29" s="236"/>
      <c r="BGV29" s="236"/>
      <c r="BGW29" s="236"/>
      <c r="BGX29" s="236"/>
      <c r="BGY29" s="239"/>
      <c r="BGZ29" s="236"/>
      <c r="BHA29" s="236"/>
      <c r="BHB29" s="236"/>
      <c r="BHC29" s="236"/>
      <c r="BHD29" s="236"/>
      <c r="BHE29" s="240"/>
      <c r="BHF29" s="235"/>
      <c r="BHG29" s="236"/>
      <c r="BHH29" s="236"/>
      <c r="BHI29" s="236"/>
      <c r="BHJ29" s="236"/>
      <c r="BHK29" s="237"/>
      <c r="BHL29" s="236"/>
      <c r="BHM29" s="236"/>
      <c r="BHN29" s="236"/>
      <c r="BHO29" s="236"/>
      <c r="BHP29" s="236"/>
      <c r="BHQ29" s="238"/>
      <c r="BHR29" s="236"/>
      <c r="BHS29" s="236"/>
      <c r="BHT29" s="236"/>
      <c r="BHU29" s="236"/>
      <c r="BHV29" s="236"/>
      <c r="BHW29" s="239"/>
      <c r="BHX29" s="236"/>
      <c r="BHY29" s="236"/>
      <c r="BHZ29" s="236"/>
      <c r="BIA29" s="236"/>
      <c r="BIB29" s="236"/>
      <c r="BIC29" s="238"/>
      <c r="BID29" s="236"/>
      <c r="BIE29" s="236"/>
      <c r="BIF29" s="236"/>
      <c r="BIG29" s="236"/>
      <c r="BIH29" s="236"/>
      <c r="BII29" s="239"/>
      <c r="BIJ29" s="236"/>
      <c r="BIK29" s="236"/>
      <c r="BIL29" s="236"/>
      <c r="BIM29" s="236"/>
      <c r="BIN29" s="236"/>
      <c r="BIO29" s="238"/>
      <c r="BIP29" s="236"/>
      <c r="BIQ29" s="236"/>
      <c r="BIR29" s="236"/>
      <c r="BIS29" s="236"/>
      <c r="BIT29" s="236"/>
      <c r="BIU29" s="239"/>
      <c r="BIV29" s="236"/>
      <c r="BIW29" s="236"/>
      <c r="BIX29" s="236"/>
      <c r="BIY29" s="236"/>
      <c r="BIZ29" s="236"/>
      <c r="BJA29" s="238"/>
      <c r="BJB29" s="236"/>
      <c r="BJC29" s="236"/>
      <c r="BJD29" s="236"/>
      <c r="BJE29" s="236"/>
      <c r="BJF29" s="236"/>
      <c r="BJG29" s="239"/>
      <c r="BJH29" s="236"/>
      <c r="BJI29" s="236"/>
      <c r="BJJ29" s="236"/>
      <c r="BJK29" s="236"/>
      <c r="BJL29" s="236"/>
      <c r="BJM29" s="240"/>
      <c r="BJN29" s="233"/>
      <c r="BJO29" s="234"/>
      <c r="BJP29" s="234"/>
      <c r="BJQ29" s="234"/>
      <c r="BJR29" s="234"/>
      <c r="BJS29" s="234"/>
      <c r="BJT29" s="234"/>
      <c r="BJU29" s="234"/>
      <c r="BJV29" s="234"/>
      <c r="BJW29" s="234"/>
      <c r="BJX29" s="234"/>
      <c r="BJY29" s="234"/>
      <c r="BJZ29" s="234"/>
      <c r="BKA29" s="234"/>
      <c r="BKB29" s="234"/>
      <c r="BKC29" s="234"/>
      <c r="BKD29" s="234"/>
      <c r="BKE29" s="234"/>
      <c r="BKF29" s="234"/>
      <c r="BKG29" s="234"/>
      <c r="BKH29" s="234"/>
      <c r="BKI29" s="234"/>
      <c r="BKJ29" s="234"/>
      <c r="BKK29" s="234"/>
      <c r="BKL29" s="234"/>
      <c r="BKM29" s="234"/>
      <c r="BKN29" s="234"/>
    </row>
    <row r="30" spans="1:1653" ht="20.100000000000001" customHeight="1" x14ac:dyDescent="0.3">
      <c r="A30" s="84" t="s">
        <v>20</v>
      </c>
      <c r="B30" s="53" t="str">
        <f>IF(LEN(C45)=0,"",C45)</f>
        <v>Documentation en ligne</v>
      </c>
      <c r="C30" s="178"/>
      <c r="D30" s="131" t="str">
        <f t="shared" si="0"/>
        <v>1h</v>
      </c>
      <c r="E30" s="30">
        <v>12</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166"/>
      <c r="QQ30" s="166"/>
      <c r="QR30" s="166"/>
      <c r="QS30" s="168"/>
      <c r="QT30" s="166"/>
      <c r="QU30" s="166"/>
      <c r="QV30" s="166"/>
      <c r="QW30" s="166"/>
      <c r="QX30" s="166"/>
      <c r="QY30" s="169"/>
      <c r="QZ30" s="166"/>
      <c r="RA30" s="166"/>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174"/>
      <c r="BJO30" s="4"/>
      <c r="BJP30" s="4"/>
      <c r="BJQ30" s="4"/>
      <c r="BJR30" s="4"/>
      <c r="BJS30" s="4"/>
      <c r="BJT30" s="4"/>
      <c r="BJU30" s="4"/>
      <c r="BJV30" s="4"/>
      <c r="BJW30" s="4"/>
      <c r="BJX30" s="4"/>
      <c r="BJY30" s="4"/>
      <c r="BJZ30" s="4"/>
      <c r="BKA30" s="4"/>
      <c r="BKB30" s="4"/>
      <c r="BKC30" s="4"/>
      <c r="BKD30" s="4"/>
      <c r="BKE30" s="4"/>
      <c r="BKF30" s="4"/>
      <c r="BKG30" s="4"/>
      <c r="BKH30" s="4"/>
      <c r="BKI30" s="4"/>
      <c r="BKJ30" s="4"/>
      <c r="BKK30" s="4"/>
      <c r="BKL30" s="4"/>
      <c r="BKM30" s="4"/>
      <c r="BKN30" s="4"/>
    </row>
    <row r="31" spans="1:1653" ht="20.100000000000001" customHeight="1" x14ac:dyDescent="0.25">
      <c r="A31" s="84" t="s">
        <v>19</v>
      </c>
      <c r="B31" s="53" t="str">
        <f>IF(LEN(C47)=0,"",C47)</f>
        <v>Analyse - Stratégies des tests</v>
      </c>
      <c r="C31" s="177" t="s">
        <v>49</v>
      </c>
      <c r="D31" s="129" t="str">
        <f t="shared" si="0"/>
        <v>2h</v>
      </c>
      <c r="E31" s="34">
        <v>24</v>
      </c>
      <c r="F31" s="241"/>
      <c r="G31" s="242"/>
      <c r="H31" s="242"/>
      <c r="I31" s="242"/>
      <c r="J31" s="242"/>
      <c r="K31" s="243"/>
      <c r="L31" s="242"/>
      <c r="M31" s="242"/>
      <c r="N31" s="242"/>
      <c r="O31" s="242"/>
      <c r="P31" s="242"/>
      <c r="Q31" s="244"/>
      <c r="R31" s="242"/>
      <c r="S31" s="242"/>
      <c r="T31" s="242"/>
      <c r="U31" s="242"/>
      <c r="V31" s="242"/>
      <c r="W31" s="245"/>
      <c r="X31" s="242"/>
      <c r="Y31" s="242"/>
      <c r="Z31" s="242"/>
      <c r="AA31" s="242"/>
      <c r="AB31" s="242"/>
      <c r="AC31" s="244"/>
      <c r="AD31" s="242"/>
      <c r="AE31" s="242"/>
      <c r="AF31" s="242"/>
      <c r="AG31" s="242"/>
      <c r="AH31" s="242"/>
      <c r="AI31" s="245"/>
      <c r="AJ31" s="242"/>
      <c r="AK31" s="242"/>
      <c r="AL31" s="242"/>
      <c r="AM31" s="242"/>
      <c r="AN31" s="242"/>
      <c r="AO31" s="244"/>
      <c r="AP31" s="242"/>
      <c r="AQ31" s="242"/>
      <c r="AR31" s="242"/>
      <c r="AS31" s="242"/>
      <c r="AT31" s="242"/>
      <c r="AU31" s="245"/>
      <c r="AV31" s="242"/>
      <c r="AW31" s="242"/>
      <c r="AX31" s="242"/>
      <c r="AY31" s="242"/>
      <c r="AZ31" s="242"/>
      <c r="BA31" s="244"/>
      <c r="BB31" s="242"/>
      <c r="BC31" s="242"/>
      <c r="BD31" s="242"/>
      <c r="BE31" s="242"/>
      <c r="BF31" s="242"/>
      <c r="BG31" s="245"/>
      <c r="BH31" s="242"/>
      <c r="BI31" s="242"/>
      <c r="BJ31" s="242"/>
      <c r="BK31" s="242"/>
      <c r="BL31" s="242"/>
      <c r="BM31" s="246"/>
      <c r="BN31" s="241"/>
      <c r="BO31" s="242"/>
      <c r="BP31" s="242"/>
      <c r="BQ31" s="242"/>
      <c r="BR31" s="242"/>
      <c r="BS31" s="243"/>
      <c r="BT31" s="242"/>
      <c r="BU31" s="242"/>
      <c r="BV31" s="242"/>
      <c r="BW31" s="242"/>
      <c r="BX31" s="242"/>
      <c r="BY31" s="244"/>
      <c r="BZ31" s="242"/>
      <c r="CA31" s="242"/>
      <c r="CB31" s="242"/>
      <c r="CC31" s="242"/>
      <c r="CD31" s="242"/>
      <c r="CE31" s="245"/>
      <c r="CF31" s="242"/>
      <c r="CG31" s="242"/>
      <c r="CH31" s="242"/>
      <c r="CI31" s="242"/>
      <c r="CJ31" s="242"/>
      <c r="CK31" s="244"/>
      <c r="CL31" s="242"/>
      <c r="CM31" s="242"/>
      <c r="CN31" s="242"/>
      <c r="CO31" s="242"/>
      <c r="CP31" s="242"/>
      <c r="CQ31" s="245"/>
      <c r="CR31" s="242"/>
      <c r="CS31" s="242"/>
      <c r="CT31" s="242"/>
      <c r="CU31" s="242"/>
      <c r="CV31" s="242"/>
      <c r="CW31" s="244"/>
      <c r="CX31" s="242"/>
      <c r="CY31" s="242"/>
      <c r="CZ31" s="242"/>
      <c r="DA31" s="242"/>
      <c r="DB31" s="242"/>
      <c r="DC31" s="245"/>
      <c r="DD31" s="242"/>
      <c r="DE31" s="242"/>
      <c r="DF31" s="242"/>
      <c r="DG31" s="242"/>
      <c r="DH31" s="242"/>
      <c r="DI31" s="244"/>
      <c r="DJ31" s="242"/>
      <c r="DK31" s="242"/>
      <c r="DL31" s="242"/>
      <c r="DM31" s="242"/>
      <c r="DN31" s="242"/>
      <c r="DO31" s="245"/>
      <c r="DP31" s="242"/>
      <c r="DQ31" s="242"/>
      <c r="DR31" s="242"/>
      <c r="DS31" s="242"/>
      <c r="DT31" s="242"/>
      <c r="DU31" s="246"/>
      <c r="DV31" s="241"/>
      <c r="DW31" s="242"/>
      <c r="DX31" s="242"/>
      <c r="DY31" s="242"/>
      <c r="DZ31" s="242"/>
      <c r="EA31" s="243"/>
      <c r="EB31" s="242"/>
      <c r="EC31" s="242"/>
      <c r="ED31" s="242"/>
      <c r="EE31" s="242"/>
      <c r="EF31" s="242"/>
      <c r="EG31" s="244"/>
      <c r="EH31" s="242"/>
      <c r="EI31" s="242"/>
      <c r="EJ31" s="242"/>
      <c r="EK31" s="242"/>
      <c r="EL31" s="242"/>
      <c r="EM31" s="245"/>
      <c r="EN31" s="242"/>
      <c r="EO31" s="242"/>
      <c r="EP31" s="242"/>
      <c r="EQ31" s="242"/>
      <c r="ER31" s="242"/>
      <c r="ES31" s="244"/>
      <c r="ET31" s="242"/>
      <c r="EU31" s="242"/>
      <c r="EV31" s="242"/>
      <c r="EW31" s="242"/>
      <c r="EX31" s="242"/>
      <c r="EY31" s="245"/>
      <c r="EZ31" s="242"/>
      <c r="FA31" s="242"/>
      <c r="FB31" s="242"/>
      <c r="FC31" s="242"/>
      <c r="FD31" s="242"/>
      <c r="FE31" s="244"/>
      <c r="FF31" s="242"/>
      <c r="FG31" s="242"/>
      <c r="FH31" s="242"/>
      <c r="FI31" s="242"/>
      <c r="FJ31" s="242"/>
      <c r="FK31" s="245"/>
      <c r="FL31" s="242"/>
      <c r="FM31" s="242"/>
      <c r="FN31" s="242"/>
      <c r="FO31" s="242"/>
      <c r="FP31" s="242"/>
      <c r="FQ31" s="244"/>
      <c r="FR31" s="242"/>
      <c r="FS31" s="242"/>
      <c r="FT31" s="242"/>
      <c r="FU31" s="242"/>
      <c r="FV31" s="242"/>
      <c r="FW31" s="245"/>
      <c r="FX31" s="242"/>
      <c r="FY31" s="242"/>
      <c r="FZ31" s="242"/>
      <c r="GA31" s="242"/>
      <c r="GB31" s="242"/>
      <c r="GC31" s="246"/>
      <c r="GD31" s="241"/>
      <c r="GE31" s="242"/>
      <c r="GF31" s="242"/>
      <c r="GG31" s="242"/>
      <c r="GH31" s="242"/>
      <c r="GI31" s="243"/>
      <c r="GJ31" s="242"/>
      <c r="GK31" s="242"/>
      <c r="GL31" s="242"/>
      <c r="GM31" s="242"/>
      <c r="GN31" s="242"/>
      <c r="GO31" s="244"/>
      <c r="GP31" s="242"/>
      <c r="GQ31" s="242"/>
      <c r="GR31" s="242"/>
      <c r="GS31" s="242"/>
      <c r="GT31" s="242"/>
      <c r="GU31" s="245"/>
      <c r="GV31" s="242"/>
      <c r="GW31" s="242"/>
      <c r="GX31" s="242"/>
      <c r="GY31" s="242"/>
      <c r="GZ31" s="242"/>
      <c r="HA31" s="244"/>
      <c r="HB31" s="242"/>
      <c r="HC31" s="242"/>
      <c r="HD31" s="242"/>
      <c r="HE31" s="242"/>
      <c r="HF31" s="242"/>
      <c r="HG31" s="245"/>
      <c r="HH31" s="242"/>
      <c r="HI31" s="242"/>
      <c r="HJ31" s="242"/>
      <c r="HK31" s="242"/>
      <c r="HL31" s="242"/>
      <c r="HM31" s="244"/>
      <c r="HN31" s="242"/>
      <c r="HO31" s="242"/>
      <c r="HP31" s="242"/>
      <c r="HQ31" s="242"/>
      <c r="HR31" s="242"/>
      <c r="HS31" s="245"/>
      <c r="HT31" s="242"/>
      <c r="HU31" s="242"/>
      <c r="HV31" s="242"/>
      <c r="HW31" s="242"/>
      <c r="HX31" s="242"/>
      <c r="HY31" s="244"/>
      <c r="HZ31" s="242"/>
      <c r="IA31" s="242"/>
      <c r="IB31" s="242"/>
      <c r="IC31" s="242"/>
      <c r="ID31" s="242"/>
      <c r="IE31" s="245"/>
      <c r="IF31" s="242"/>
      <c r="IG31" s="242"/>
      <c r="IH31" s="242"/>
      <c r="II31" s="242"/>
      <c r="IJ31" s="242"/>
      <c r="IK31" s="246"/>
      <c r="IL31" s="241"/>
      <c r="IM31" s="242"/>
      <c r="IN31" s="242"/>
      <c r="IO31" s="242"/>
      <c r="IP31" s="242"/>
      <c r="IQ31" s="243"/>
      <c r="IR31" s="242"/>
      <c r="IS31" s="242"/>
      <c r="IT31" s="242"/>
      <c r="IU31" s="242"/>
      <c r="IV31" s="242"/>
      <c r="IW31" s="244"/>
      <c r="IX31" s="242"/>
      <c r="IY31" s="242"/>
      <c r="IZ31" s="242"/>
      <c r="JA31" s="242"/>
      <c r="JB31" s="242"/>
      <c r="JC31" s="245"/>
      <c r="JD31" s="242"/>
      <c r="JE31" s="242"/>
      <c r="JF31" s="242"/>
      <c r="JG31" s="242"/>
      <c r="JH31" s="242"/>
      <c r="JI31" s="244"/>
      <c r="JJ31" s="242"/>
      <c r="JK31" s="242"/>
      <c r="JL31" s="242"/>
      <c r="JM31" s="242"/>
      <c r="JN31" s="242"/>
      <c r="JO31" s="245"/>
      <c r="JP31" s="242"/>
      <c r="JQ31" s="242"/>
      <c r="JR31" s="242"/>
      <c r="JS31" s="242"/>
      <c r="JT31" s="242"/>
      <c r="JU31" s="244"/>
      <c r="JV31" s="242"/>
      <c r="JW31" s="242"/>
      <c r="JX31" s="242"/>
      <c r="JY31" s="242"/>
      <c r="JZ31" s="242"/>
      <c r="KA31" s="245"/>
      <c r="KB31" s="242"/>
      <c r="KC31" s="242"/>
      <c r="KD31" s="242"/>
      <c r="KE31" s="242"/>
      <c r="KF31" s="242"/>
      <c r="KG31" s="244"/>
      <c r="KH31" s="242"/>
      <c r="KI31" s="242"/>
      <c r="KJ31" s="242"/>
      <c r="KK31" s="242"/>
      <c r="KL31" s="242"/>
      <c r="KM31" s="245"/>
      <c r="KN31" s="242"/>
      <c r="KO31" s="242"/>
      <c r="KP31" s="242"/>
      <c r="KQ31" s="242"/>
      <c r="KR31" s="242"/>
      <c r="KS31" s="246"/>
      <c r="KT31" s="241"/>
      <c r="KU31" s="242"/>
      <c r="KV31" s="242"/>
      <c r="KW31" s="242"/>
      <c r="KX31" s="242"/>
      <c r="KY31" s="243"/>
      <c r="KZ31" s="242"/>
      <c r="LA31" s="242"/>
      <c r="LB31" s="242"/>
      <c r="LC31" s="242"/>
      <c r="LD31" s="242"/>
      <c r="LE31" s="244"/>
      <c r="LF31" s="242"/>
      <c r="LG31" s="242"/>
      <c r="LH31" s="242"/>
      <c r="LI31" s="242"/>
      <c r="LJ31" s="242"/>
      <c r="LK31" s="245"/>
      <c r="LL31" s="242"/>
      <c r="LM31" s="242"/>
      <c r="LN31" s="242"/>
      <c r="LO31" s="242"/>
      <c r="LP31" s="242"/>
      <c r="LQ31" s="244"/>
      <c r="LR31" s="242"/>
      <c r="LS31" s="242"/>
      <c r="LT31" s="242"/>
      <c r="LU31" s="242"/>
      <c r="LV31" s="242"/>
      <c r="LW31" s="245"/>
      <c r="LX31" s="242"/>
      <c r="LY31" s="242"/>
      <c r="LZ31" s="242"/>
      <c r="MA31" s="242"/>
      <c r="MB31" s="242"/>
      <c r="MC31" s="244"/>
      <c r="MD31" s="242"/>
      <c r="ME31" s="242"/>
      <c r="MF31" s="242"/>
      <c r="MG31" s="242"/>
      <c r="MH31" s="242"/>
      <c r="MI31" s="245"/>
      <c r="MJ31" s="242"/>
      <c r="MK31" s="242"/>
      <c r="ML31" s="242"/>
      <c r="MM31" s="242"/>
      <c r="MN31" s="242"/>
      <c r="MO31" s="244"/>
      <c r="MP31" s="242"/>
      <c r="MQ31" s="242"/>
      <c r="MR31" s="242"/>
      <c r="MS31" s="242"/>
      <c r="MT31" s="242"/>
      <c r="MU31" s="245"/>
      <c r="MV31" s="242"/>
      <c r="MW31" s="242"/>
      <c r="MX31" s="242"/>
      <c r="MY31" s="242"/>
      <c r="MZ31" s="242"/>
      <c r="NA31" s="246"/>
      <c r="NB31" s="241"/>
      <c r="NC31" s="242"/>
      <c r="ND31" s="242"/>
      <c r="NE31" s="242"/>
      <c r="NF31" s="242"/>
      <c r="NG31" s="243"/>
      <c r="NH31" s="242"/>
      <c r="NI31" s="242"/>
      <c r="NJ31" s="242"/>
      <c r="NK31" s="242"/>
      <c r="NL31" s="242"/>
      <c r="NM31" s="244"/>
      <c r="NN31" s="153"/>
      <c r="NO31" s="153"/>
      <c r="NP31" s="153"/>
      <c r="NQ31" s="153"/>
      <c r="NR31" s="153"/>
      <c r="NS31" s="156"/>
      <c r="NT31" s="153"/>
      <c r="NU31" s="153"/>
      <c r="NV31" s="153"/>
      <c r="NW31" s="153"/>
      <c r="NX31" s="153"/>
      <c r="NY31" s="154"/>
      <c r="NZ31" s="153"/>
      <c r="OA31" s="153"/>
      <c r="OB31" s="153"/>
      <c r="OC31" s="153"/>
      <c r="OD31" s="153"/>
      <c r="OE31" s="156"/>
      <c r="OF31" s="153"/>
      <c r="OG31" s="153"/>
      <c r="OH31" s="153"/>
      <c r="OI31" s="153"/>
      <c r="OJ31" s="153"/>
      <c r="OK31" s="154"/>
      <c r="OL31" s="242"/>
      <c r="OM31" s="242"/>
      <c r="ON31" s="242"/>
      <c r="OO31" s="242"/>
      <c r="OP31" s="242"/>
      <c r="OQ31" s="245"/>
      <c r="OR31" s="242"/>
      <c r="OS31" s="242"/>
      <c r="OT31" s="242"/>
      <c r="OU31" s="242"/>
      <c r="OV31" s="242"/>
      <c r="OW31" s="244"/>
      <c r="OX31" s="242"/>
      <c r="OY31" s="242"/>
      <c r="OZ31" s="242"/>
      <c r="PA31" s="242"/>
      <c r="PB31" s="242"/>
      <c r="PC31" s="245"/>
      <c r="PD31" s="242"/>
      <c r="PE31" s="242"/>
      <c r="PF31" s="242"/>
      <c r="PG31" s="242"/>
      <c r="PH31" s="242"/>
      <c r="PI31" s="246"/>
      <c r="PJ31" s="241"/>
      <c r="PK31" s="242"/>
      <c r="PL31" s="242"/>
      <c r="PM31" s="242"/>
      <c r="PN31" s="242"/>
      <c r="PO31" s="243"/>
      <c r="PP31" s="242"/>
      <c r="PQ31" s="242"/>
      <c r="PR31" s="242"/>
      <c r="PS31" s="242"/>
      <c r="PT31" s="242"/>
      <c r="PU31" s="244"/>
      <c r="PV31" s="242"/>
      <c r="PW31" s="242"/>
      <c r="PX31" s="242"/>
      <c r="PY31" s="242"/>
      <c r="PZ31" s="242"/>
      <c r="QA31" s="245"/>
      <c r="QB31" s="242"/>
      <c r="QC31" s="242"/>
      <c r="QD31" s="242"/>
      <c r="QE31" s="242"/>
      <c r="QF31" s="242"/>
      <c r="QG31" s="244"/>
      <c r="QH31" s="242"/>
      <c r="QI31" s="242"/>
      <c r="QJ31" s="242"/>
      <c r="QK31" s="242"/>
      <c r="QL31" s="242"/>
      <c r="QM31" s="245"/>
      <c r="QN31" s="242"/>
      <c r="QO31" s="242"/>
      <c r="QP31" s="242"/>
      <c r="QQ31" s="242"/>
      <c r="QR31" s="242"/>
      <c r="QS31" s="244"/>
      <c r="QT31" s="242"/>
      <c r="QU31" s="242"/>
      <c r="QV31" s="242"/>
      <c r="QW31" s="242"/>
      <c r="QX31" s="242"/>
      <c r="QY31" s="245"/>
      <c r="QZ31" s="242"/>
      <c r="RA31" s="242"/>
      <c r="RB31" s="242"/>
      <c r="RC31" s="242"/>
      <c r="RD31" s="242"/>
      <c r="RE31" s="244"/>
      <c r="RF31" s="242"/>
      <c r="RG31" s="242"/>
      <c r="RH31" s="242"/>
      <c r="RI31" s="242"/>
      <c r="RJ31" s="242"/>
      <c r="RK31" s="245"/>
      <c r="RL31" s="242"/>
      <c r="RM31" s="242"/>
      <c r="RN31" s="242"/>
      <c r="RO31" s="242"/>
      <c r="RP31" s="242"/>
      <c r="RQ31" s="246"/>
      <c r="RR31" s="241"/>
      <c r="RS31" s="242"/>
      <c r="RT31" s="242"/>
      <c r="RU31" s="242"/>
      <c r="RV31" s="242"/>
      <c r="RW31" s="243"/>
      <c r="RX31" s="242"/>
      <c r="RY31" s="242"/>
      <c r="RZ31" s="242"/>
      <c r="SA31" s="242"/>
      <c r="SB31" s="242"/>
      <c r="SC31" s="244"/>
      <c r="SD31" s="242"/>
      <c r="SE31" s="242"/>
      <c r="SF31" s="242"/>
      <c r="SG31" s="242"/>
      <c r="SH31" s="242"/>
      <c r="SI31" s="245"/>
      <c r="SJ31" s="242"/>
      <c r="SK31" s="242"/>
      <c r="SL31" s="242"/>
      <c r="SM31" s="242"/>
      <c r="SN31" s="242"/>
      <c r="SO31" s="244"/>
      <c r="SP31" s="242"/>
      <c r="SQ31" s="242"/>
      <c r="SR31" s="242"/>
      <c r="SS31" s="242"/>
      <c r="ST31" s="242"/>
      <c r="SU31" s="245"/>
      <c r="SV31" s="242"/>
      <c r="SW31" s="242"/>
      <c r="SX31" s="242"/>
      <c r="SY31" s="242"/>
      <c r="SZ31" s="242"/>
      <c r="TA31" s="244"/>
      <c r="TB31" s="242"/>
      <c r="TC31" s="242"/>
      <c r="TD31" s="242"/>
      <c r="TE31" s="242"/>
      <c r="TF31" s="242"/>
      <c r="TG31" s="245"/>
      <c r="TH31" s="242"/>
      <c r="TI31" s="242"/>
      <c r="TJ31" s="242"/>
      <c r="TK31" s="242"/>
      <c r="TL31" s="242"/>
      <c r="TM31" s="244"/>
      <c r="TN31" s="242"/>
      <c r="TO31" s="242"/>
      <c r="TP31" s="242"/>
      <c r="TQ31" s="242"/>
      <c r="TR31" s="242"/>
      <c r="TS31" s="245"/>
      <c r="TT31" s="242"/>
      <c r="TU31" s="242"/>
      <c r="TV31" s="242"/>
      <c r="TW31" s="242"/>
      <c r="TX31" s="242"/>
      <c r="TY31" s="246"/>
      <c r="TZ31" s="241"/>
      <c r="UA31" s="242"/>
      <c r="UB31" s="242"/>
      <c r="UC31" s="242"/>
      <c r="UD31" s="242"/>
      <c r="UE31" s="243"/>
      <c r="UF31" s="242"/>
      <c r="UG31" s="242"/>
      <c r="UH31" s="242"/>
      <c r="UI31" s="242"/>
      <c r="UJ31" s="242"/>
      <c r="UK31" s="244"/>
      <c r="UL31" s="242"/>
      <c r="UM31" s="242"/>
      <c r="UN31" s="242"/>
      <c r="UO31" s="242"/>
      <c r="UP31" s="242"/>
      <c r="UQ31" s="245"/>
      <c r="UR31" s="242"/>
      <c r="US31" s="242"/>
      <c r="UT31" s="242"/>
      <c r="UU31" s="242"/>
      <c r="UV31" s="242"/>
      <c r="UW31" s="244"/>
      <c r="UX31" s="242"/>
      <c r="UY31" s="242"/>
      <c r="UZ31" s="242"/>
      <c r="VA31" s="242"/>
      <c r="VB31" s="242"/>
      <c r="VC31" s="245"/>
      <c r="VD31" s="242"/>
      <c r="VE31" s="242"/>
      <c r="VF31" s="242"/>
      <c r="VG31" s="242"/>
      <c r="VH31" s="242"/>
      <c r="VI31" s="244"/>
      <c r="VJ31" s="242"/>
      <c r="VK31" s="242"/>
      <c r="VL31" s="242"/>
      <c r="VM31" s="242"/>
      <c r="VN31" s="242"/>
      <c r="VO31" s="245"/>
      <c r="VP31" s="242"/>
      <c r="VQ31" s="242"/>
      <c r="VR31" s="242"/>
      <c r="VS31" s="242"/>
      <c r="VT31" s="242"/>
      <c r="VU31" s="244"/>
      <c r="VV31" s="242"/>
      <c r="VW31" s="242"/>
      <c r="VX31" s="242"/>
      <c r="VY31" s="242"/>
      <c r="VZ31" s="242"/>
      <c r="WA31" s="245"/>
      <c r="WB31" s="242"/>
      <c r="WC31" s="242"/>
      <c r="WD31" s="242"/>
      <c r="WE31" s="242"/>
      <c r="WF31" s="242"/>
      <c r="WG31" s="246"/>
      <c r="WH31" s="241"/>
      <c r="WI31" s="242"/>
      <c r="WJ31" s="242"/>
      <c r="WK31" s="242"/>
      <c r="WL31" s="242"/>
      <c r="WM31" s="243"/>
      <c r="WN31" s="242"/>
      <c r="WO31" s="242"/>
      <c r="WP31" s="242"/>
      <c r="WQ31" s="242"/>
      <c r="WR31" s="242"/>
      <c r="WS31" s="244"/>
      <c r="WT31" s="242"/>
      <c r="WU31" s="242"/>
      <c r="WV31" s="242"/>
      <c r="WW31" s="242"/>
      <c r="WX31" s="242"/>
      <c r="WY31" s="245"/>
      <c r="WZ31" s="242"/>
      <c r="XA31" s="242"/>
      <c r="XB31" s="242"/>
      <c r="XC31" s="242"/>
      <c r="XD31" s="242"/>
      <c r="XE31" s="244"/>
      <c r="XF31" s="242"/>
      <c r="XG31" s="242"/>
      <c r="XH31" s="242"/>
      <c r="XI31" s="242"/>
      <c r="XJ31" s="242"/>
      <c r="XK31" s="245"/>
      <c r="XL31" s="242"/>
      <c r="XM31" s="242"/>
      <c r="XN31" s="242"/>
      <c r="XO31" s="242"/>
      <c r="XP31" s="242"/>
      <c r="XQ31" s="244"/>
      <c r="XR31" s="242"/>
      <c r="XS31" s="242"/>
      <c r="XT31" s="242"/>
      <c r="XU31" s="242"/>
      <c r="XV31" s="242"/>
      <c r="XW31" s="245"/>
      <c r="XX31" s="242"/>
      <c r="XY31" s="242"/>
      <c r="XZ31" s="242"/>
      <c r="YA31" s="242"/>
      <c r="YB31" s="242"/>
      <c r="YC31" s="244"/>
      <c r="YD31" s="242"/>
      <c r="YE31" s="242"/>
      <c r="YF31" s="242"/>
      <c r="YG31" s="242"/>
      <c r="YH31" s="242"/>
      <c r="YI31" s="245"/>
      <c r="YJ31" s="242"/>
      <c r="YK31" s="242"/>
      <c r="YL31" s="242"/>
      <c r="YM31" s="242"/>
      <c r="YN31" s="242"/>
      <c r="YO31" s="246"/>
      <c r="YP31" s="241"/>
      <c r="YQ31" s="242"/>
      <c r="YR31" s="242"/>
      <c r="YS31" s="242"/>
      <c r="YT31" s="242"/>
      <c r="YU31" s="243"/>
      <c r="YV31" s="242"/>
      <c r="YW31" s="242"/>
      <c r="YX31" s="242"/>
      <c r="YY31" s="242"/>
      <c r="YZ31" s="242"/>
      <c r="ZA31" s="244"/>
      <c r="ZB31" s="242"/>
      <c r="ZC31" s="242"/>
      <c r="ZD31" s="242"/>
      <c r="ZE31" s="242"/>
      <c r="ZF31" s="242"/>
      <c r="ZG31" s="245"/>
      <c r="ZH31" s="242"/>
      <c r="ZI31" s="242"/>
      <c r="ZJ31" s="242"/>
      <c r="ZK31" s="242"/>
      <c r="ZL31" s="242"/>
      <c r="ZM31" s="244"/>
      <c r="ZN31" s="242"/>
      <c r="ZO31" s="242"/>
      <c r="ZP31" s="242"/>
      <c r="ZQ31" s="242"/>
      <c r="ZR31" s="242"/>
      <c r="ZS31" s="245"/>
      <c r="ZT31" s="242"/>
      <c r="ZU31" s="242"/>
      <c r="ZV31" s="242"/>
      <c r="ZW31" s="242"/>
      <c r="ZX31" s="242"/>
      <c r="ZY31" s="244"/>
      <c r="ZZ31" s="242"/>
      <c r="AAA31" s="242"/>
      <c r="AAB31" s="242"/>
      <c r="AAC31" s="242"/>
      <c r="AAD31" s="242"/>
      <c r="AAE31" s="245"/>
      <c r="AAF31" s="242"/>
      <c r="AAG31" s="242"/>
      <c r="AAH31" s="242"/>
      <c r="AAI31" s="242"/>
      <c r="AAJ31" s="242"/>
      <c r="AAK31" s="244"/>
      <c r="AAL31" s="242"/>
      <c r="AAM31" s="242"/>
      <c r="AAN31" s="242"/>
      <c r="AAO31" s="242"/>
      <c r="AAP31" s="242"/>
      <c r="AAQ31" s="245"/>
      <c r="AAR31" s="242"/>
      <c r="AAS31" s="242"/>
      <c r="AAT31" s="242"/>
      <c r="AAU31" s="242"/>
      <c r="AAV31" s="242"/>
      <c r="AAW31" s="246"/>
      <c r="AAX31" s="241"/>
      <c r="AAY31" s="242"/>
      <c r="AAZ31" s="242"/>
      <c r="ABA31" s="242"/>
      <c r="ABB31" s="242"/>
      <c r="ABC31" s="243"/>
      <c r="ABD31" s="242"/>
      <c r="ABE31" s="242"/>
      <c r="ABF31" s="242"/>
      <c r="ABG31" s="242"/>
      <c r="ABH31" s="242"/>
      <c r="ABI31" s="244"/>
      <c r="ABJ31" s="242"/>
      <c r="ABK31" s="242"/>
      <c r="ABL31" s="242"/>
      <c r="ABM31" s="242"/>
      <c r="ABN31" s="242"/>
      <c r="ABO31" s="245"/>
      <c r="ABP31" s="242"/>
      <c r="ABQ31" s="242"/>
      <c r="ABR31" s="242"/>
      <c r="ABS31" s="242"/>
      <c r="ABT31" s="242"/>
      <c r="ABU31" s="244"/>
      <c r="ABV31" s="242"/>
      <c r="ABW31" s="242"/>
      <c r="ABX31" s="242"/>
      <c r="ABY31" s="242"/>
      <c r="ABZ31" s="242"/>
      <c r="ACA31" s="245"/>
      <c r="ACB31" s="242"/>
      <c r="ACC31" s="242"/>
      <c r="ACD31" s="242"/>
      <c r="ACE31" s="242"/>
      <c r="ACF31" s="242"/>
      <c r="ACG31" s="244"/>
      <c r="ACH31" s="242"/>
      <c r="ACI31" s="242"/>
      <c r="ACJ31" s="242"/>
      <c r="ACK31" s="242"/>
      <c r="ACL31" s="242"/>
      <c r="ACM31" s="245"/>
      <c r="ACN31" s="242"/>
      <c r="ACO31" s="242"/>
      <c r="ACP31" s="242"/>
      <c r="ACQ31" s="242"/>
      <c r="ACR31" s="242"/>
      <c r="ACS31" s="244"/>
      <c r="ACT31" s="242"/>
      <c r="ACU31" s="242"/>
      <c r="ACV31" s="242"/>
      <c r="ACW31" s="242"/>
      <c r="ACX31" s="242"/>
      <c r="ACY31" s="245"/>
      <c r="ACZ31" s="242"/>
      <c r="ADA31" s="242"/>
      <c r="ADB31" s="242"/>
      <c r="ADC31" s="242"/>
      <c r="ADD31" s="242"/>
      <c r="ADE31" s="246"/>
      <c r="ADF31" s="241"/>
      <c r="ADG31" s="242"/>
      <c r="ADH31" s="242"/>
      <c r="ADI31" s="242"/>
      <c r="ADJ31" s="242"/>
      <c r="ADK31" s="243"/>
      <c r="ADL31" s="242"/>
      <c r="ADM31" s="242"/>
      <c r="ADN31" s="242"/>
      <c r="ADO31" s="242"/>
      <c r="ADP31" s="242"/>
      <c r="ADQ31" s="244"/>
      <c r="ADR31" s="242"/>
      <c r="ADS31" s="242"/>
      <c r="ADT31" s="242"/>
      <c r="ADU31" s="242"/>
      <c r="ADV31" s="242"/>
      <c r="ADW31" s="245"/>
      <c r="ADX31" s="242"/>
      <c r="ADY31" s="242"/>
      <c r="ADZ31" s="242"/>
      <c r="AEA31" s="242"/>
      <c r="AEB31" s="242"/>
      <c r="AEC31" s="244"/>
      <c r="AED31" s="242"/>
      <c r="AEE31" s="242"/>
      <c r="AEF31" s="242"/>
      <c r="AEG31" s="242"/>
      <c r="AEH31" s="242"/>
      <c r="AEI31" s="245"/>
      <c r="AEJ31" s="242"/>
      <c r="AEK31" s="242"/>
      <c r="AEL31" s="242"/>
      <c r="AEM31" s="242"/>
      <c r="AEN31" s="242"/>
      <c r="AEO31" s="244"/>
      <c r="AEP31" s="242"/>
      <c r="AEQ31" s="242"/>
      <c r="AER31" s="242"/>
      <c r="AES31" s="242"/>
      <c r="AET31" s="242"/>
      <c r="AEU31" s="245"/>
      <c r="AEV31" s="242"/>
      <c r="AEW31" s="242"/>
      <c r="AEX31" s="242"/>
      <c r="AEY31" s="242"/>
      <c r="AEZ31" s="242"/>
      <c r="AFA31" s="244"/>
      <c r="AFB31" s="242"/>
      <c r="AFC31" s="242"/>
      <c r="AFD31" s="242"/>
      <c r="AFE31" s="242"/>
      <c r="AFF31" s="242"/>
      <c r="AFG31" s="245"/>
      <c r="AFH31" s="242"/>
      <c r="AFI31" s="242"/>
      <c r="AFJ31" s="242"/>
      <c r="AFK31" s="242"/>
      <c r="AFL31" s="242"/>
      <c r="AFM31" s="246"/>
      <c r="AFN31" s="241"/>
      <c r="AFO31" s="242"/>
      <c r="AFP31" s="242"/>
      <c r="AFQ31" s="242"/>
      <c r="AFR31" s="242"/>
      <c r="AFS31" s="243"/>
      <c r="AFT31" s="242"/>
      <c r="AFU31" s="242"/>
      <c r="AFV31" s="242"/>
      <c r="AFW31" s="242"/>
      <c r="AFX31" s="242"/>
      <c r="AFY31" s="244"/>
      <c r="AFZ31" s="242"/>
      <c r="AGA31" s="242"/>
      <c r="AGB31" s="242"/>
      <c r="AGC31" s="242"/>
      <c r="AGD31" s="242"/>
      <c r="AGE31" s="245"/>
      <c r="AGF31" s="242"/>
      <c r="AGG31" s="242"/>
      <c r="AGH31" s="242"/>
      <c r="AGI31" s="242"/>
      <c r="AGJ31" s="242"/>
      <c r="AGK31" s="244"/>
      <c r="AGL31" s="242"/>
      <c r="AGM31" s="242"/>
      <c r="AGN31" s="242"/>
      <c r="AGO31" s="242"/>
      <c r="AGP31" s="242"/>
      <c r="AGQ31" s="245"/>
      <c r="AGR31" s="242"/>
      <c r="AGS31" s="242"/>
      <c r="AGT31" s="242"/>
      <c r="AGU31" s="242"/>
      <c r="AGV31" s="242"/>
      <c r="AGW31" s="244"/>
      <c r="AGX31" s="242"/>
      <c r="AGY31" s="242"/>
      <c r="AGZ31" s="242"/>
      <c r="AHA31" s="242"/>
      <c r="AHB31" s="242"/>
      <c r="AHC31" s="245"/>
      <c r="AHD31" s="242"/>
      <c r="AHE31" s="242"/>
      <c r="AHF31" s="242"/>
      <c r="AHG31" s="242"/>
      <c r="AHH31" s="242"/>
      <c r="AHI31" s="244"/>
      <c r="AHJ31" s="242"/>
      <c r="AHK31" s="242"/>
      <c r="AHL31" s="242"/>
      <c r="AHM31" s="242"/>
      <c r="AHN31" s="242"/>
      <c r="AHO31" s="245"/>
      <c r="AHP31" s="242"/>
      <c r="AHQ31" s="242"/>
      <c r="AHR31" s="242"/>
      <c r="AHS31" s="242"/>
      <c r="AHT31" s="242"/>
      <c r="AHU31" s="246"/>
      <c r="AHV31" s="241"/>
      <c r="AHW31" s="242"/>
      <c r="AHX31" s="242"/>
      <c r="AHY31" s="242"/>
      <c r="AHZ31" s="242"/>
      <c r="AIA31" s="243"/>
      <c r="AIB31" s="242"/>
      <c r="AIC31" s="242"/>
      <c r="AID31" s="242"/>
      <c r="AIE31" s="242"/>
      <c r="AIF31" s="242"/>
      <c r="AIG31" s="244"/>
      <c r="AIH31" s="242"/>
      <c r="AII31" s="242"/>
      <c r="AIJ31" s="242"/>
      <c r="AIK31" s="242"/>
      <c r="AIL31" s="242"/>
      <c r="AIM31" s="245"/>
      <c r="AIN31" s="242"/>
      <c r="AIO31" s="242"/>
      <c r="AIP31" s="242"/>
      <c r="AIQ31" s="242"/>
      <c r="AIR31" s="242"/>
      <c r="AIS31" s="244"/>
      <c r="AIT31" s="242"/>
      <c r="AIU31" s="242"/>
      <c r="AIV31" s="242"/>
      <c r="AIW31" s="242"/>
      <c r="AIX31" s="242"/>
      <c r="AIY31" s="245"/>
      <c r="AIZ31" s="242"/>
      <c r="AJA31" s="242"/>
      <c r="AJB31" s="242"/>
      <c r="AJC31" s="242"/>
      <c r="AJD31" s="242"/>
      <c r="AJE31" s="244"/>
      <c r="AJF31" s="242"/>
      <c r="AJG31" s="242"/>
      <c r="AJH31" s="242"/>
      <c r="AJI31" s="242"/>
      <c r="AJJ31" s="242"/>
      <c r="AJK31" s="245"/>
      <c r="AJL31" s="242"/>
      <c r="AJM31" s="242"/>
      <c r="AJN31" s="242"/>
      <c r="AJO31" s="242"/>
      <c r="AJP31" s="242"/>
      <c r="AJQ31" s="244"/>
      <c r="AJR31" s="242"/>
      <c r="AJS31" s="242"/>
      <c r="AJT31" s="242"/>
      <c r="AJU31" s="242"/>
      <c r="AJV31" s="242"/>
      <c r="AJW31" s="245"/>
      <c r="AJX31" s="242"/>
      <c r="AJY31" s="242"/>
      <c r="AJZ31" s="242"/>
      <c r="AKA31" s="242"/>
      <c r="AKB31" s="242"/>
      <c r="AKC31" s="246"/>
      <c r="AKD31" s="241"/>
      <c r="AKE31" s="242"/>
      <c r="AKF31" s="242"/>
      <c r="AKG31" s="242"/>
      <c r="AKH31" s="242"/>
      <c r="AKI31" s="243"/>
      <c r="AKJ31" s="242"/>
      <c r="AKK31" s="242"/>
      <c r="AKL31" s="242"/>
      <c r="AKM31" s="242"/>
      <c r="AKN31" s="242"/>
      <c r="AKO31" s="244"/>
      <c r="AKP31" s="242"/>
      <c r="AKQ31" s="242"/>
      <c r="AKR31" s="242"/>
      <c r="AKS31" s="242"/>
      <c r="AKT31" s="242"/>
      <c r="AKU31" s="245"/>
      <c r="AKV31" s="242"/>
      <c r="AKW31" s="242"/>
      <c r="AKX31" s="242"/>
      <c r="AKY31" s="242"/>
      <c r="AKZ31" s="242"/>
      <c r="ALA31" s="244"/>
      <c r="ALB31" s="242"/>
      <c r="ALC31" s="242"/>
      <c r="ALD31" s="242"/>
      <c r="ALE31" s="242"/>
      <c r="ALF31" s="242"/>
      <c r="ALG31" s="245"/>
      <c r="ALH31" s="242"/>
      <c r="ALI31" s="242"/>
      <c r="ALJ31" s="242"/>
      <c r="ALK31" s="242"/>
      <c r="ALL31" s="242"/>
      <c r="ALM31" s="244"/>
      <c r="ALN31" s="242"/>
      <c r="ALO31" s="242"/>
      <c r="ALP31" s="242"/>
      <c r="ALQ31" s="242"/>
      <c r="ALR31" s="242"/>
      <c r="ALS31" s="245"/>
      <c r="ALT31" s="242"/>
      <c r="ALU31" s="242"/>
      <c r="ALV31" s="242"/>
      <c r="ALW31" s="242"/>
      <c r="ALX31" s="242"/>
      <c r="ALY31" s="244"/>
      <c r="ALZ31" s="242"/>
      <c r="AMA31" s="242"/>
      <c r="AMB31" s="242"/>
      <c r="AMC31" s="242"/>
      <c r="AMD31" s="242"/>
      <c r="AME31" s="245"/>
      <c r="AMF31" s="242"/>
      <c r="AMG31" s="242"/>
      <c r="AMH31" s="242"/>
      <c r="AMI31" s="242"/>
      <c r="AMJ31" s="242"/>
      <c r="AMK31" s="246"/>
      <c r="AML31" s="241"/>
      <c r="AMM31" s="242"/>
      <c r="AMN31" s="242"/>
      <c r="AMO31" s="242"/>
      <c r="AMP31" s="242"/>
      <c r="AMQ31" s="243"/>
      <c r="AMR31" s="242"/>
      <c r="AMS31" s="242"/>
      <c r="AMT31" s="242"/>
      <c r="AMU31" s="242"/>
      <c r="AMV31" s="242"/>
      <c r="AMW31" s="244"/>
      <c r="AMX31" s="242"/>
      <c r="AMY31" s="242"/>
      <c r="AMZ31" s="242"/>
      <c r="ANA31" s="242"/>
      <c r="ANB31" s="242"/>
      <c r="ANC31" s="245"/>
      <c r="AND31" s="242"/>
      <c r="ANE31" s="242"/>
      <c r="ANF31" s="242"/>
      <c r="ANG31" s="242"/>
      <c r="ANH31" s="242"/>
      <c r="ANI31" s="244"/>
      <c r="ANJ31" s="242"/>
      <c r="ANK31" s="242"/>
      <c r="ANL31" s="242"/>
      <c r="ANM31" s="242"/>
      <c r="ANN31" s="242"/>
      <c r="ANO31" s="245"/>
      <c r="ANP31" s="242"/>
      <c r="ANQ31" s="242"/>
      <c r="ANR31" s="242"/>
      <c r="ANS31" s="242"/>
      <c r="ANT31" s="242"/>
      <c r="ANU31" s="244"/>
      <c r="ANV31" s="242"/>
      <c r="ANW31" s="242"/>
      <c r="ANX31" s="242"/>
      <c r="ANY31" s="242"/>
      <c r="ANZ31" s="242"/>
      <c r="AOA31" s="245"/>
      <c r="AOB31" s="242"/>
      <c r="AOC31" s="242"/>
      <c r="AOD31" s="242"/>
      <c r="AOE31" s="242"/>
      <c r="AOF31" s="242"/>
      <c r="AOG31" s="244"/>
      <c r="AOH31" s="242"/>
      <c r="AOI31" s="242"/>
      <c r="AOJ31" s="242"/>
      <c r="AOK31" s="242"/>
      <c r="AOL31" s="242"/>
      <c r="AOM31" s="245"/>
      <c r="AON31" s="242"/>
      <c r="AOO31" s="242"/>
      <c r="AOP31" s="242"/>
      <c r="AOQ31" s="242"/>
      <c r="AOR31" s="242"/>
      <c r="AOS31" s="246"/>
      <c r="AOT31" s="241"/>
      <c r="AOU31" s="242"/>
      <c r="AOV31" s="242"/>
      <c r="AOW31" s="242"/>
      <c r="AOX31" s="242"/>
      <c r="AOY31" s="243"/>
      <c r="AOZ31" s="242"/>
      <c r="APA31" s="242"/>
      <c r="APB31" s="242"/>
      <c r="APC31" s="242"/>
      <c r="APD31" s="242"/>
      <c r="APE31" s="244"/>
      <c r="APF31" s="242"/>
      <c r="APG31" s="242"/>
      <c r="APH31" s="242"/>
      <c r="API31" s="242"/>
      <c r="APJ31" s="242"/>
      <c r="APK31" s="245"/>
      <c r="APL31" s="242"/>
      <c r="APM31" s="242"/>
      <c r="APN31" s="242"/>
      <c r="APO31" s="242"/>
      <c r="APP31" s="242"/>
      <c r="APQ31" s="244"/>
      <c r="APR31" s="242"/>
      <c r="APS31" s="242"/>
      <c r="APT31" s="242"/>
      <c r="APU31" s="242"/>
      <c r="APV31" s="242"/>
      <c r="APW31" s="245"/>
      <c r="APX31" s="242"/>
      <c r="APY31" s="242"/>
      <c r="APZ31" s="242"/>
      <c r="AQA31" s="242"/>
      <c r="AQB31" s="242"/>
      <c r="AQC31" s="244"/>
      <c r="AQD31" s="242"/>
      <c r="AQE31" s="242"/>
      <c r="AQF31" s="242"/>
      <c r="AQG31" s="242"/>
      <c r="AQH31" s="242"/>
      <c r="AQI31" s="245"/>
      <c r="AQJ31" s="242"/>
      <c r="AQK31" s="242"/>
      <c r="AQL31" s="242"/>
      <c r="AQM31" s="242"/>
      <c r="AQN31" s="242"/>
      <c r="AQO31" s="244"/>
      <c r="AQP31" s="242"/>
      <c r="AQQ31" s="242"/>
      <c r="AQR31" s="242"/>
      <c r="AQS31" s="242"/>
      <c r="AQT31" s="242"/>
      <c r="AQU31" s="245"/>
      <c r="AQV31" s="242"/>
      <c r="AQW31" s="242"/>
      <c r="AQX31" s="242"/>
      <c r="AQY31" s="242"/>
      <c r="AQZ31" s="242"/>
      <c r="ARA31" s="246"/>
      <c r="ARB31" s="241"/>
      <c r="ARC31" s="242"/>
      <c r="ARD31" s="242"/>
      <c r="ARE31" s="242"/>
      <c r="ARF31" s="242"/>
      <c r="ARG31" s="243"/>
      <c r="ARH31" s="242"/>
      <c r="ARI31" s="242"/>
      <c r="ARJ31" s="242"/>
      <c r="ARK31" s="242"/>
      <c r="ARL31" s="242"/>
      <c r="ARM31" s="244"/>
      <c r="ARN31" s="242"/>
      <c r="ARO31" s="242"/>
      <c r="ARP31" s="242"/>
      <c r="ARQ31" s="242"/>
      <c r="ARR31" s="242"/>
      <c r="ARS31" s="245"/>
      <c r="ART31" s="242"/>
      <c r="ARU31" s="242"/>
      <c r="ARV31" s="242"/>
      <c r="ARW31" s="242"/>
      <c r="ARX31" s="242"/>
      <c r="ARY31" s="244"/>
      <c r="ARZ31" s="242"/>
      <c r="ASA31" s="242"/>
      <c r="ASB31" s="242"/>
      <c r="ASC31" s="242"/>
      <c r="ASD31" s="242"/>
      <c r="ASE31" s="245"/>
      <c r="ASF31" s="242"/>
      <c r="ASG31" s="242"/>
      <c r="ASH31" s="242"/>
      <c r="ASI31" s="242"/>
      <c r="ASJ31" s="242"/>
      <c r="ASK31" s="244"/>
      <c r="ASL31" s="242"/>
      <c r="ASM31" s="242"/>
      <c r="ASN31" s="242"/>
      <c r="ASO31" s="242"/>
      <c r="ASP31" s="242"/>
      <c r="ASQ31" s="245"/>
      <c r="ASR31" s="242"/>
      <c r="ASS31" s="242"/>
      <c r="AST31" s="242"/>
      <c r="ASU31" s="242"/>
      <c r="ASV31" s="242"/>
      <c r="ASW31" s="244"/>
      <c r="ASX31" s="242"/>
      <c r="ASY31" s="242"/>
      <c r="ASZ31" s="242"/>
      <c r="ATA31" s="242"/>
      <c r="ATB31" s="242"/>
      <c r="ATC31" s="245"/>
      <c r="ATD31" s="242"/>
      <c r="ATE31" s="242"/>
      <c r="ATF31" s="242"/>
      <c r="ATG31" s="242"/>
      <c r="ATH31" s="242"/>
      <c r="ATI31" s="246"/>
      <c r="ATJ31" s="241"/>
      <c r="ATK31" s="242"/>
      <c r="ATL31" s="242"/>
      <c r="ATM31" s="242"/>
      <c r="ATN31" s="242"/>
      <c r="ATO31" s="243"/>
      <c r="ATP31" s="242"/>
      <c r="ATQ31" s="242"/>
      <c r="ATR31" s="242"/>
      <c r="ATS31" s="242"/>
      <c r="ATT31" s="242"/>
      <c r="ATU31" s="244"/>
      <c r="ATV31" s="242"/>
      <c r="ATW31" s="242"/>
      <c r="ATX31" s="242"/>
      <c r="ATY31" s="242"/>
      <c r="ATZ31" s="242"/>
      <c r="AUA31" s="245"/>
      <c r="AUB31" s="242"/>
      <c r="AUC31" s="242"/>
      <c r="AUD31" s="242"/>
      <c r="AUE31" s="242"/>
      <c r="AUF31" s="242"/>
      <c r="AUG31" s="244"/>
      <c r="AUH31" s="242"/>
      <c r="AUI31" s="242"/>
      <c r="AUJ31" s="242"/>
      <c r="AUK31" s="242"/>
      <c r="AUL31" s="242"/>
      <c r="AUM31" s="245"/>
      <c r="AUN31" s="242"/>
      <c r="AUO31" s="242"/>
      <c r="AUP31" s="242"/>
      <c r="AUQ31" s="242"/>
      <c r="AUR31" s="242"/>
      <c r="AUS31" s="244"/>
      <c r="AUT31" s="242"/>
      <c r="AUU31" s="242"/>
      <c r="AUV31" s="242"/>
      <c r="AUW31" s="242"/>
      <c r="AUX31" s="242"/>
      <c r="AUY31" s="245"/>
      <c r="AUZ31" s="242"/>
      <c r="AVA31" s="242"/>
      <c r="AVB31" s="242"/>
      <c r="AVC31" s="242"/>
      <c r="AVD31" s="242"/>
      <c r="AVE31" s="244"/>
      <c r="AVF31" s="242"/>
      <c r="AVG31" s="242"/>
      <c r="AVH31" s="242"/>
      <c r="AVI31" s="242"/>
      <c r="AVJ31" s="242"/>
      <c r="AVK31" s="245"/>
      <c r="AVL31" s="242"/>
      <c r="AVM31" s="242"/>
      <c r="AVN31" s="242"/>
      <c r="AVO31" s="242"/>
      <c r="AVP31" s="242"/>
      <c r="AVQ31" s="246"/>
      <c r="AVR31" s="241"/>
      <c r="AVS31" s="242"/>
      <c r="AVT31" s="242"/>
      <c r="AVU31" s="242"/>
      <c r="AVV31" s="242"/>
      <c r="AVW31" s="243"/>
      <c r="AVX31" s="242"/>
      <c r="AVY31" s="242"/>
      <c r="AVZ31" s="242"/>
      <c r="AWA31" s="242"/>
      <c r="AWB31" s="242"/>
      <c r="AWC31" s="244"/>
      <c r="AWD31" s="242"/>
      <c r="AWE31" s="242"/>
      <c r="AWF31" s="242"/>
      <c r="AWG31" s="242"/>
      <c r="AWH31" s="242"/>
      <c r="AWI31" s="245"/>
      <c r="AWJ31" s="242"/>
      <c r="AWK31" s="242"/>
      <c r="AWL31" s="242"/>
      <c r="AWM31" s="242"/>
      <c r="AWN31" s="242"/>
      <c r="AWO31" s="244"/>
      <c r="AWP31" s="242"/>
      <c r="AWQ31" s="242"/>
      <c r="AWR31" s="242"/>
      <c r="AWS31" s="242"/>
      <c r="AWT31" s="242"/>
      <c r="AWU31" s="245"/>
      <c r="AWV31" s="242"/>
      <c r="AWW31" s="242"/>
      <c r="AWX31" s="242"/>
      <c r="AWY31" s="242"/>
      <c r="AWZ31" s="242"/>
      <c r="AXA31" s="244"/>
      <c r="AXB31" s="242"/>
      <c r="AXC31" s="242"/>
      <c r="AXD31" s="242"/>
      <c r="AXE31" s="242"/>
      <c r="AXF31" s="242"/>
      <c r="AXG31" s="245"/>
      <c r="AXH31" s="242"/>
      <c r="AXI31" s="242"/>
      <c r="AXJ31" s="242"/>
      <c r="AXK31" s="242"/>
      <c r="AXL31" s="242"/>
      <c r="AXM31" s="244"/>
      <c r="AXN31" s="242"/>
      <c r="AXO31" s="242"/>
      <c r="AXP31" s="242"/>
      <c r="AXQ31" s="242"/>
      <c r="AXR31" s="242"/>
      <c r="AXS31" s="245"/>
      <c r="AXT31" s="242"/>
      <c r="AXU31" s="242"/>
      <c r="AXV31" s="242"/>
      <c r="AXW31" s="242"/>
      <c r="AXX31" s="242"/>
      <c r="AXY31" s="246"/>
      <c r="AXZ31" s="241"/>
      <c r="AYA31" s="242"/>
      <c r="AYB31" s="242"/>
      <c r="AYC31" s="242"/>
      <c r="AYD31" s="242"/>
      <c r="AYE31" s="243"/>
      <c r="AYF31" s="242"/>
      <c r="AYG31" s="242"/>
      <c r="AYH31" s="242"/>
      <c r="AYI31" s="242"/>
      <c r="AYJ31" s="242"/>
      <c r="AYK31" s="244"/>
      <c r="AYL31" s="242"/>
      <c r="AYM31" s="242"/>
      <c r="AYN31" s="242"/>
      <c r="AYO31" s="242"/>
      <c r="AYP31" s="242"/>
      <c r="AYQ31" s="245"/>
      <c r="AYR31" s="242"/>
      <c r="AYS31" s="242"/>
      <c r="AYT31" s="242"/>
      <c r="AYU31" s="242"/>
      <c r="AYV31" s="242"/>
      <c r="AYW31" s="244"/>
      <c r="AYX31" s="242"/>
      <c r="AYY31" s="242"/>
      <c r="AYZ31" s="242"/>
      <c r="AZA31" s="242"/>
      <c r="AZB31" s="242"/>
      <c r="AZC31" s="245"/>
      <c r="AZD31" s="242"/>
      <c r="AZE31" s="242"/>
      <c r="AZF31" s="242"/>
      <c r="AZG31" s="242"/>
      <c r="AZH31" s="242"/>
      <c r="AZI31" s="244"/>
      <c r="AZJ31" s="242"/>
      <c r="AZK31" s="242"/>
      <c r="AZL31" s="242"/>
      <c r="AZM31" s="242"/>
      <c r="AZN31" s="242"/>
      <c r="AZO31" s="245"/>
      <c r="AZP31" s="242"/>
      <c r="AZQ31" s="242"/>
      <c r="AZR31" s="242"/>
      <c r="AZS31" s="242"/>
      <c r="AZT31" s="242"/>
      <c r="AZU31" s="244"/>
      <c r="AZV31" s="242"/>
      <c r="AZW31" s="242"/>
      <c r="AZX31" s="242"/>
      <c r="AZY31" s="242"/>
      <c r="AZZ31" s="242"/>
      <c r="BAA31" s="245"/>
      <c r="BAB31" s="242"/>
      <c r="BAC31" s="242"/>
      <c r="BAD31" s="242"/>
      <c r="BAE31" s="242"/>
      <c r="BAF31" s="242"/>
      <c r="BAG31" s="246"/>
      <c r="BAH31" s="241"/>
      <c r="BAI31" s="242"/>
      <c r="BAJ31" s="242"/>
      <c r="BAK31" s="242"/>
      <c r="BAL31" s="242"/>
      <c r="BAM31" s="243"/>
      <c r="BAN31" s="242"/>
      <c r="BAO31" s="242"/>
      <c r="BAP31" s="242"/>
      <c r="BAQ31" s="242"/>
      <c r="BAR31" s="242"/>
      <c r="BAS31" s="244"/>
      <c r="BAT31" s="242"/>
      <c r="BAU31" s="242"/>
      <c r="BAV31" s="242"/>
      <c r="BAW31" s="242"/>
      <c r="BAX31" s="242"/>
      <c r="BAY31" s="245"/>
      <c r="BAZ31" s="242"/>
      <c r="BBA31" s="242"/>
      <c r="BBB31" s="242"/>
      <c r="BBC31" s="242"/>
      <c r="BBD31" s="242"/>
      <c r="BBE31" s="244"/>
      <c r="BBF31" s="242"/>
      <c r="BBG31" s="242"/>
      <c r="BBH31" s="242"/>
      <c r="BBI31" s="242"/>
      <c r="BBJ31" s="242"/>
      <c r="BBK31" s="245"/>
      <c r="BBL31" s="242"/>
      <c r="BBM31" s="242"/>
      <c r="BBN31" s="242"/>
      <c r="BBO31" s="242"/>
      <c r="BBP31" s="242"/>
      <c r="BBQ31" s="244"/>
      <c r="BBR31" s="242"/>
      <c r="BBS31" s="242"/>
      <c r="BBT31" s="242"/>
      <c r="BBU31" s="242"/>
      <c r="BBV31" s="242"/>
      <c r="BBW31" s="245"/>
      <c r="BBX31" s="242"/>
      <c r="BBY31" s="242"/>
      <c r="BBZ31" s="242"/>
      <c r="BCA31" s="242"/>
      <c r="BCB31" s="242"/>
      <c r="BCC31" s="244"/>
      <c r="BCD31" s="242"/>
      <c r="BCE31" s="242"/>
      <c r="BCF31" s="242"/>
      <c r="BCG31" s="242"/>
      <c r="BCH31" s="242"/>
      <c r="BCI31" s="245"/>
      <c r="BCJ31" s="242"/>
      <c r="BCK31" s="242"/>
      <c r="BCL31" s="242"/>
      <c r="BCM31" s="242"/>
      <c r="BCN31" s="242"/>
      <c r="BCO31" s="246"/>
      <c r="BCP31" s="241"/>
      <c r="BCQ31" s="242"/>
      <c r="BCR31" s="242"/>
      <c r="BCS31" s="242"/>
      <c r="BCT31" s="242"/>
      <c r="BCU31" s="243"/>
      <c r="BCV31" s="242"/>
      <c r="BCW31" s="242"/>
      <c r="BCX31" s="242"/>
      <c r="BCY31" s="242"/>
      <c r="BCZ31" s="242"/>
      <c r="BDA31" s="244"/>
      <c r="BDB31" s="242"/>
      <c r="BDC31" s="242"/>
      <c r="BDD31" s="242"/>
      <c r="BDE31" s="242"/>
      <c r="BDF31" s="242"/>
      <c r="BDG31" s="245"/>
      <c r="BDH31" s="242"/>
      <c r="BDI31" s="242"/>
      <c r="BDJ31" s="242"/>
      <c r="BDK31" s="242"/>
      <c r="BDL31" s="242"/>
      <c r="BDM31" s="244"/>
      <c r="BDN31" s="242"/>
      <c r="BDO31" s="242"/>
      <c r="BDP31" s="242"/>
      <c r="BDQ31" s="242"/>
      <c r="BDR31" s="242"/>
      <c r="BDS31" s="245"/>
      <c r="BDT31" s="242"/>
      <c r="BDU31" s="242"/>
      <c r="BDV31" s="242"/>
      <c r="BDW31" s="242"/>
      <c r="BDX31" s="242"/>
      <c r="BDY31" s="244"/>
      <c r="BDZ31" s="242"/>
      <c r="BEA31" s="242"/>
      <c r="BEB31" s="242"/>
      <c r="BEC31" s="242"/>
      <c r="BED31" s="242"/>
      <c r="BEE31" s="245"/>
      <c r="BEF31" s="242"/>
      <c r="BEG31" s="242"/>
      <c r="BEH31" s="242"/>
      <c r="BEI31" s="242"/>
      <c r="BEJ31" s="242"/>
      <c r="BEK31" s="244"/>
      <c r="BEL31" s="242"/>
      <c r="BEM31" s="242"/>
      <c r="BEN31" s="242"/>
      <c r="BEO31" s="242"/>
      <c r="BEP31" s="242"/>
      <c r="BEQ31" s="245"/>
      <c r="BER31" s="242"/>
      <c r="BES31" s="242"/>
      <c r="BET31" s="242"/>
      <c r="BEU31" s="242"/>
      <c r="BEV31" s="242"/>
      <c r="BEW31" s="246"/>
      <c r="BEX31" s="241"/>
      <c r="BEY31" s="242"/>
      <c r="BEZ31" s="242"/>
      <c r="BFA31" s="242"/>
      <c r="BFB31" s="242"/>
      <c r="BFC31" s="243"/>
      <c r="BFD31" s="242"/>
      <c r="BFE31" s="242"/>
      <c r="BFF31" s="242"/>
      <c r="BFG31" s="242"/>
      <c r="BFH31" s="242"/>
      <c r="BFI31" s="244"/>
      <c r="BFJ31" s="242"/>
      <c r="BFK31" s="242"/>
      <c r="BFL31" s="242"/>
      <c r="BFM31" s="242"/>
      <c r="BFN31" s="242"/>
      <c r="BFO31" s="245"/>
      <c r="BFP31" s="242"/>
      <c r="BFQ31" s="242"/>
      <c r="BFR31" s="242"/>
      <c r="BFS31" s="242"/>
      <c r="BFT31" s="242"/>
      <c r="BFU31" s="244"/>
      <c r="BFV31" s="242"/>
      <c r="BFW31" s="242"/>
      <c r="BFX31" s="242"/>
      <c r="BFY31" s="242"/>
      <c r="BFZ31" s="242"/>
      <c r="BGA31" s="245"/>
      <c r="BGB31" s="242"/>
      <c r="BGC31" s="242"/>
      <c r="BGD31" s="242"/>
      <c r="BGE31" s="242"/>
      <c r="BGF31" s="242"/>
      <c r="BGG31" s="244"/>
      <c r="BGH31" s="242"/>
      <c r="BGI31" s="242"/>
      <c r="BGJ31" s="242"/>
      <c r="BGK31" s="242"/>
      <c r="BGL31" s="242"/>
      <c r="BGM31" s="245"/>
      <c r="BGN31" s="242"/>
      <c r="BGO31" s="242"/>
      <c r="BGP31" s="242"/>
      <c r="BGQ31" s="242"/>
      <c r="BGR31" s="242"/>
      <c r="BGS31" s="244"/>
      <c r="BGT31" s="242"/>
      <c r="BGU31" s="242"/>
      <c r="BGV31" s="242"/>
      <c r="BGW31" s="242"/>
      <c r="BGX31" s="242"/>
      <c r="BGY31" s="245"/>
      <c r="BGZ31" s="242"/>
      <c r="BHA31" s="242"/>
      <c r="BHB31" s="242"/>
      <c r="BHC31" s="242"/>
      <c r="BHD31" s="242"/>
      <c r="BHE31" s="246"/>
      <c r="BHF31" s="241"/>
      <c r="BHG31" s="242"/>
      <c r="BHH31" s="242"/>
      <c r="BHI31" s="242"/>
      <c r="BHJ31" s="242"/>
      <c r="BHK31" s="243"/>
      <c r="BHL31" s="242"/>
      <c r="BHM31" s="242"/>
      <c r="BHN31" s="242"/>
      <c r="BHO31" s="242"/>
      <c r="BHP31" s="242"/>
      <c r="BHQ31" s="244"/>
      <c r="BHR31" s="242"/>
      <c r="BHS31" s="242"/>
      <c r="BHT31" s="242"/>
      <c r="BHU31" s="242"/>
      <c r="BHV31" s="242"/>
      <c r="BHW31" s="245"/>
      <c r="BHX31" s="242"/>
      <c r="BHY31" s="242"/>
      <c r="BHZ31" s="242"/>
      <c r="BIA31" s="242"/>
      <c r="BIB31" s="242"/>
      <c r="BIC31" s="244"/>
      <c r="BID31" s="242"/>
      <c r="BIE31" s="242"/>
      <c r="BIF31" s="242"/>
      <c r="BIG31" s="242"/>
      <c r="BIH31" s="242"/>
      <c r="BII31" s="245"/>
      <c r="BIJ31" s="242"/>
      <c r="BIK31" s="242"/>
      <c r="BIL31" s="242"/>
      <c r="BIM31" s="242"/>
      <c r="BIN31" s="242"/>
      <c r="BIO31" s="244"/>
      <c r="BIP31" s="242"/>
      <c r="BIQ31" s="242"/>
      <c r="BIR31" s="242"/>
      <c r="BIS31" s="242"/>
      <c r="BIT31" s="242"/>
      <c r="BIU31" s="245"/>
      <c r="BIV31" s="242"/>
      <c r="BIW31" s="242"/>
      <c r="BIX31" s="242"/>
      <c r="BIY31" s="242"/>
      <c r="BIZ31" s="242"/>
      <c r="BJA31" s="244"/>
      <c r="BJB31" s="242"/>
      <c r="BJC31" s="242"/>
      <c r="BJD31" s="242"/>
      <c r="BJE31" s="242"/>
      <c r="BJF31" s="242"/>
      <c r="BJG31" s="245"/>
      <c r="BJH31" s="242"/>
      <c r="BJI31" s="242"/>
      <c r="BJJ31" s="242"/>
      <c r="BJK31" s="242"/>
      <c r="BJL31" s="242"/>
      <c r="BJM31" s="246"/>
      <c r="BJN31" s="233"/>
      <c r="BJO31" s="234"/>
      <c r="BJP31" s="234"/>
      <c r="BJQ31" s="234"/>
      <c r="BJR31" s="234"/>
      <c r="BJS31" s="234"/>
      <c r="BJT31" s="234"/>
      <c r="BJU31" s="234"/>
      <c r="BJV31" s="234"/>
      <c r="BJW31" s="234"/>
      <c r="BJX31" s="234"/>
      <c r="BJY31" s="234"/>
      <c r="BJZ31" s="234"/>
      <c r="BKA31" s="234"/>
      <c r="BKB31" s="234"/>
      <c r="BKC31" s="234"/>
      <c r="BKD31" s="234"/>
      <c r="BKE31" s="234"/>
      <c r="BKF31" s="234"/>
      <c r="BKG31" s="234"/>
      <c r="BKH31" s="234"/>
      <c r="BKI31" s="234"/>
      <c r="BKJ31" s="234"/>
      <c r="BKK31" s="234"/>
      <c r="BKL31" s="234"/>
      <c r="BKM31" s="234"/>
      <c r="BKN31" s="234"/>
    </row>
    <row r="32" spans="1:1653" ht="20.100000000000001" customHeight="1" x14ac:dyDescent="0.3">
      <c r="A32" s="84" t="s">
        <v>20</v>
      </c>
      <c r="B32" s="53" t="str">
        <f>IF(LEN(C49)=0,"",C49)</f>
        <v xml:space="preserve">Réalisation - Interface graphique </v>
      </c>
      <c r="C32" s="189"/>
      <c r="D32" s="131" t="str">
        <f t="shared" si="0"/>
        <v>4h45min</v>
      </c>
      <c r="E32" s="22">
        <v>57</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160"/>
      <c r="UA32" s="161"/>
      <c r="UB32" s="161"/>
      <c r="UC32" s="161"/>
      <c r="UD32" s="161"/>
      <c r="UE32" s="162"/>
      <c r="UF32" s="161"/>
      <c r="UG32" s="161"/>
      <c r="UH32" s="161"/>
      <c r="UI32" s="161"/>
      <c r="UJ32" s="161"/>
      <c r="UK32" s="163"/>
      <c r="UL32" s="161"/>
      <c r="UM32" s="161"/>
      <c r="UN32" s="161"/>
      <c r="UO32" s="161"/>
      <c r="UP32" s="161"/>
      <c r="UQ32" s="164"/>
      <c r="UR32" s="161"/>
      <c r="US32" s="161"/>
      <c r="UT32" s="161"/>
      <c r="UU32" s="161"/>
      <c r="UV32" s="161"/>
      <c r="UW32" s="163"/>
      <c r="UX32" s="161"/>
      <c r="UY32" s="161"/>
      <c r="UZ32" s="161"/>
      <c r="VA32" s="161"/>
      <c r="VB32" s="161"/>
      <c r="VC32" s="164"/>
      <c r="VD32" s="161"/>
      <c r="VE32" s="161"/>
      <c r="VF32" s="161"/>
      <c r="VG32" s="161"/>
      <c r="VH32" s="161"/>
      <c r="VI32" s="163"/>
      <c r="VJ32" s="161"/>
      <c r="VK32" s="161"/>
      <c r="VL32" s="161"/>
      <c r="VM32" s="161"/>
      <c r="VN32" s="24"/>
      <c r="VO32" s="58"/>
      <c r="VP32" s="24"/>
      <c r="VQ32" s="24"/>
      <c r="VR32" s="24"/>
      <c r="VS32" s="24"/>
      <c r="VT32" s="24"/>
      <c r="VU32" s="119"/>
      <c r="VV32" s="24"/>
      <c r="VW32" s="24"/>
      <c r="VX32" s="24"/>
      <c r="VY32" s="24"/>
      <c r="VZ32" s="24"/>
      <c r="WA32" s="58"/>
      <c r="WB32" s="24"/>
      <c r="WC32" s="24"/>
      <c r="WD32" s="24"/>
      <c r="WE32" s="24"/>
      <c r="WF32" s="24"/>
      <c r="WG32" s="25"/>
      <c r="WH32" s="23"/>
      <c r="WI32" s="24"/>
      <c r="WJ32" s="161"/>
      <c r="WK32" s="161"/>
      <c r="WL32" s="161"/>
      <c r="WM32" s="162"/>
      <c r="WN32" s="161"/>
      <c r="WO32" s="161"/>
      <c r="WP32" s="161"/>
      <c r="WQ32" s="161"/>
      <c r="WR32" s="161"/>
      <c r="WS32" s="163"/>
      <c r="WT32" s="161"/>
      <c r="WU32" s="161"/>
      <c r="WV32" s="161"/>
      <c r="WW32" s="161"/>
      <c r="WX32" s="161"/>
      <c r="WY32" s="164"/>
      <c r="WZ32" s="161"/>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174"/>
      <c r="BJO32" s="4"/>
      <c r="BJP32" s="4"/>
      <c r="BJQ32" s="4"/>
      <c r="BJR32" s="4"/>
      <c r="BJS32" s="4"/>
      <c r="BJT32" s="4"/>
      <c r="BJU32" s="4"/>
      <c r="BJV32" s="4"/>
      <c r="BJW32" s="4"/>
      <c r="BJX32" s="4"/>
      <c r="BJY32" s="4"/>
      <c r="BJZ32" s="4"/>
      <c r="BKA32" s="4"/>
      <c r="BKB32" s="4"/>
      <c r="BKC32" s="4"/>
      <c r="BKD32" s="4"/>
      <c r="BKE32" s="4"/>
      <c r="BKF32" s="4"/>
      <c r="BKG32" s="4"/>
      <c r="BKH32" s="4"/>
      <c r="BKI32" s="4"/>
      <c r="BKJ32" s="4"/>
      <c r="BKK32" s="4"/>
      <c r="BKL32" s="4"/>
      <c r="BKM32" s="4"/>
      <c r="BKN32" s="4"/>
    </row>
    <row r="33" spans="1:1652" ht="20.100000000000001" customHeight="1" x14ac:dyDescent="0.25">
      <c r="A33" s="84" t="s">
        <v>19</v>
      </c>
      <c r="B33" s="53" t="str">
        <f>IF(LEN(C51)=0,"",C51)</f>
        <v>Réalisation - Détails de l'utilisateur</v>
      </c>
      <c r="C33" s="177" t="s">
        <v>50</v>
      </c>
      <c r="D33" s="129" t="str">
        <f t="shared" si="0"/>
        <v>3h20min</v>
      </c>
      <c r="E33" s="26">
        <v>40</v>
      </c>
      <c r="F33" s="235"/>
      <c r="G33" s="236"/>
      <c r="H33" s="236"/>
      <c r="I33" s="236"/>
      <c r="J33" s="236"/>
      <c r="K33" s="237"/>
      <c r="L33" s="236"/>
      <c r="M33" s="236"/>
      <c r="N33" s="236"/>
      <c r="O33" s="236"/>
      <c r="P33" s="236"/>
      <c r="Q33" s="238"/>
      <c r="R33" s="236"/>
      <c r="S33" s="236"/>
      <c r="T33" s="236"/>
      <c r="U33" s="236"/>
      <c r="V33" s="236"/>
      <c r="W33" s="239"/>
      <c r="X33" s="236"/>
      <c r="Y33" s="236"/>
      <c r="Z33" s="236"/>
      <c r="AA33" s="236"/>
      <c r="AB33" s="236"/>
      <c r="AC33" s="238"/>
      <c r="AD33" s="236"/>
      <c r="AE33" s="236"/>
      <c r="AF33" s="236"/>
      <c r="AG33" s="236"/>
      <c r="AH33" s="236"/>
      <c r="AI33" s="239"/>
      <c r="AJ33" s="236"/>
      <c r="AK33" s="236"/>
      <c r="AL33" s="236"/>
      <c r="AM33" s="236"/>
      <c r="AN33" s="236"/>
      <c r="AO33" s="238"/>
      <c r="AP33" s="236"/>
      <c r="AQ33" s="236"/>
      <c r="AR33" s="236"/>
      <c r="AS33" s="236"/>
      <c r="AT33" s="236"/>
      <c r="AU33" s="239"/>
      <c r="AV33" s="236"/>
      <c r="AW33" s="236"/>
      <c r="AX33" s="236"/>
      <c r="AY33" s="236"/>
      <c r="AZ33" s="236"/>
      <c r="BA33" s="238"/>
      <c r="BB33" s="236"/>
      <c r="BC33" s="236"/>
      <c r="BD33" s="236"/>
      <c r="BE33" s="236"/>
      <c r="BF33" s="236"/>
      <c r="BG33" s="239"/>
      <c r="BH33" s="236"/>
      <c r="BI33" s="236"/>
      <c r="BJ33" s="236"/>
      <c r="BK33" s="236"/>
      <c r="BL33" s="236"/>
      <c r="BM33" s="240"/>
      <c r="BN33" s="235"/>
      <c r="BO33" s="236"/>
      <c r="BP33" s="236"/>
      <c r="BQ33" s="236"/>
      <c r="BR33" s="236"/>
      <c r="BS33" s="237"/>
      <c r="BT33" s="236"/>
      <c r="BU33" s="236"/>
      <c r="BV33" s="236"/>
      <c r="BW33" s="236"/>
      <c r="BX33" s="236"/>
      <c r="BY33" s="238"/>
      <c r="BZ33" s="236"/>
      <c r="CA33" s="236"/>
      <c r="CB33" s="236"/>
      <c r="CC33" s="236"/>
      <c r="CD33" s="236"/>
      <c r="CE33" s="239"/>
      <c r="CF33" s="236"/>
      <c r="CG33" s="236"/>
      <c r="CH33" s="236"/>
      <c r="CI33" s="236"/>
      <c r="CJ33" s="236"/>
      <c r="CK33" s="238"/>
      <c r="CL33" s="236"/>
      <c r="CM33" s="236"/>
      <c r="CN33" s="236"/>
      <c r="CO33" s="236"/>
      <c r="CP33" s="236"/>
      <c r="CQ33" s="239"/>
      <c r="CR33" s="236"/>
      <c r="CS33" s="236"/>
      <c r="CT33" s="236"/>
      <c r="CU33" s="236"/>
      <c r="CV33" s="236"/>
      <c r="CW33" s="238"/>
      <c r="CX33" s="236"/>
      <c r="CY33" s="236"/>
      <c r="CZ33" s="236"/>
      <c r="DA33" s="236"/>
      <c r="DB33" s="236"/>
      <c r="DC33" s="239"/>
      <c r="DD33" s="236"/>
      <c r="DE33" s="236"/>
      <c r="DF33" s="236"/>
      <c r="DG33" s="236"/>
      <c r="DH33" s="236"/>
      <c r="DI33" s="238"/>
      <c r="DJ33" s="236"/>
      <c r="DK33" s="236"/>
      <c r="DL33" s="236"/>
      <c r="DM33" s="236"/>
      <c r="DN33" s="236"/>
      <c r="DO33" s="239"/>
      <c r="DP33" s="236"/>
      <c r="DQ33" s="236"/>
      <c r="DR33" s="236"/>
      <c r="DS33" s="236"/>
      <c r="DT33" s="236"/>
      <c r="DU33" s="240"/>
      <c r="DV33" s="235"/>
      <c r="DW33" s="236"/>
      <c r="DX33" s="236"/>
      <c r="DY33" s="236"/>
      <c r="DZ33" s="236"/>
      <c r="EA33" s="237"/>
      <c r="EB33" s="236"/>
      <c r="EC33" s="236"/>
      <c r="ED33" s="236"/>
      <c r="EE33" s="236"/>
      <c r="EF33" s="236"/>
      <c r="EG33" s="238"/>
      <c r="EH33" s="236"/>
      <c r="EI33" s="236"/>
      <c r="EJ33" s="236"/>
      <c r="EK33" s="236"/>
      <c r="EL33" s="236"/>
      <c r="EM33" s="239"/>
      <c r="EN33" s="236"/>
      <c r="EO33" s="236"/>
      <c r="EP33" s="236"/>
      <c r="EQ33" s="236"/>
      <c r="ER33" s="236"/>
      <c r="ES33" s="238"/>
      <c r="ET33" s="236"/>
      <c r="EU33" s="236"/>
      <c r="EV33" s="236"/>
      <c r="EW33" s="236"/>
      <c r="EX33" s="236"/>
      <c r="EY33" s="239"/>
      <c r="EZ33" s="236"/>
      <c r="FA33" s="236"/>
      <c r="FB33" s="236"/>
      <c r="FC33" s="236"/>
      <c r="FD33" s="236"/>
      <c r="FE33" s="238"/>
      <c r="FF33" s="236"/>
      <c r="FG33" s="236"/>
      <c r="FH33" s="236"/>
      <c r="FI33" s="236"/>
      <c r="FJ33" s="236"/>
      <c r="FK33" s="239"/>
      <c r="FL33" s="236"/>
      <c r="FM33" s="236"/>
      <c r="FN33" s="236"/>
      <c r="FO33" s="236"/>
      <c r="FP33" s="236"/>
      <c r="FQ33" s="238"/>
      <c r="FR33" s="236"/>
      <c r="FS33" s="236"/>
      <c r="FT33" s="236"/>
      <c r="FU33" s="236"/>
      <c r="FV33" s="236"/>
      <c r="FW33" s="239"/>
      <c r="FX33" s="236"/>
      <c r="FY33" s="236"/>
      <c r="FZ33" s="236"/>
      <c r="GA33" s="236"/>
      <c r="GB33" s="236"/>
      <c r="GC33" s="240"/>
      <c r="GD33" s="235"/>
      <c r="GE33" s="236"/>
      <c r="GF33" s="236"/>
      <c r="GG33" s="236"/>
      <c r="GH33" s="236"/>
      <c r="GI33" s="237"/>
      <c r="GJ33" s="236"/>
      <c r="GK33" s="236"/>
      <c r="GL33" s="236"/>
      <c r="GM33" s="236"/>
      <c r="GN33" s="236"/>
      <c r="GO33" s="238"/>
      <c r="GP33" s="236"/>
      <c r="GQ33" s="236"/>
      <c r="GR33" s="236"/>
      <c r="GS33" s="236"/>
      <c r="GT33" s="236"/>
      <c r="GU33" s="239"/>
      <c r="GV33" s="236"/>
      <c r="GW33" s="236"/>
      <c r="GX33" s="236"/>
      <c r="GY33" s="236"/>
      <c r="GZ33" s="236"/>
      <c r="HA33" s="238"/>
      <c r="HB33" s="236"/>
      <c r="HC33" s="236"/>
      <c r="HD33" s="236"/>
      <c r="HE33" s="236"/>
      <c r="HF33" s="236"/>
      <c r="HG33" s="239"/>
      <c r="HH33" s="236"/>
      <c r="HI33" s="236"/>
      <c r="HJ33" s="236"/>
      <c r="HK33" s="236"/>
      <c r="HL33" s="236"/>
      <c r="HM33" s="238"/>
      <c r="HN33" s="236"/>
      <c r="HO33" s="236"/>
      <c r="HP33" s="236"/>
      <c r="HQ33" s="236"/>
      <c r="HR33" s="236"/>
      <c r="HS33" s="239"/>
      <c r="HT33" s="236"/>
      <c r="HU33" s="236"/>
      <c r="HV33" s="236"/>
      <c r="HW33" s="236"/>
      <c r="HX33" s="236"/>
      <c r="HY33" s="238"/>
      <c r="HZ33" s="236"/>
      <c r="IA33" s="236"/>
      <c r="IB33" s="236"/>
      <c r="IC33" s="236"/>
      <c r="ID33" s="236"/>
      <c r="IE33" s="239"/>
      <c r="IF33" s="236"/>
      <c r="IG33" s="236"/>
      <c r="IH33" s="236"/>
      <c r="II33" s="236"/>
      <c r="IJ33" s="236"/>
      <c r="IK33" s="240"/>
      <c r="IL33" s="235"/>
      <c r="IM33" s="236"/>
      <c r="IN33" s="236"/>
      <c r="IO33" s="236"/>
      <c r="IP33" s="236"/>
      <c r="IQ33" s="237"/>
      <c r="IR33" s="236"/>
      <c r="IS33" s="236"/>
      <c r="IT33" s="236"/>
      <c r="IU33" s="236"/>
      <c r="IV33" s="236"/>
      <c r="IW33" s="238"/>
      <c r="IX33" s="236"/>
      <c r="IY33" s="236"/>
      <c r="IZ33" s="236"/>
      <c r="JA33" s="236"/>
      <c r="JB33" s="236"/>
      <c r="JC33" s="239"/>
      <c r="JD33" s="236"/>
      <c r="JE33" s="236"/>
      <c r="JF33" s="236"/>
      <c r="JG33" s="236"/>
      <c r="JH33" s="236"/>
      <c r="JI33" s="238"/>
      <c r="JJ33" s="236"/>
      <c r="JK33" s="236"/>
      <c r="JL33" s="236"/>
      <c r="JM33" s="236"/>
      <c r="JN33" s="236"/>
      <c r="JO33" s="239"/>
      <c r="JP33" s="236"/>
      <c r="JQ33" s="236"/>
      <c r="JR33" s="236"/>
      <c r="JS33" s="236"/>
      <c r="JT33" s="236"/>
      <c r="JU33" s="238"/>
      <c r="JV33" s="236"/>
      <c r="JW33" s="236"/>
      <c r="JX33" s="236"/>
      <c r="JY33" s="236"/>
      <c r="JZ33" s="236"/>
      <c r="KA33" s="239"/>
      <c r="KB33" s="236"/>
      <c r="KC33" s="236"/>
      <c r="KD33" s="236"/>
      <c r="KE33" s="236"/>
      <c r="KF33" s="236"/>
      <c r="KG33" s="238"/>
      <c r="KH33" s="236"/>
      <c r="KI33" s="236"/>
      <c r="KJ33" s="236"/>
      <c r="KK33" s="236"/>
      <c r="KL33" s="236"/>
      <c r="KM33" s="239"/>
      <c r="KN33" s="236"/>
      <c r="KO33" s="236"/>
      <c r="KP33" s="236"/>
      <c r="KQ33" s="236"/>
      <c r="KR33" s="236"/>
      <c r="KS33" s="240"/>
      <c r="KT33" s="235"/>
      <c r="KU33" s="236"/>
      <c r="KV33" s="236"/>
      <c r="KW33" s="236"/>
      <c r="KX33" s="236"/>
      <c r="KY33" s="237"/>
      <c r="KZ33" s="236"/>
      <c r="LA33" s="236"/>
      <c r="LB33" s="236"/>
      <c r="LC33" s="236"/>
      <c r="LD33" s="236"/>
      <c r="LE33" s="238"/>
      <c r="LF33" s="236"/>
      <c r="LG33" s="236"/>
      <c r="LH33" s="236"/>
      <c r="LI33" s="236"/>
      <c r="LJ33" s="236"/>
      <c r="LK33" s="239"/>
      <c r="LL33" s="236"/>
      <c r="LM33" s="236"/>
      <c r="LN33" s="236"/>
      <c r="LO33" s="236"/>
      <c r="LP33" s="236"/>
      <c r="LQ33" s="238"/>
      <c r="LR33" s="236"/>
      <c r="LS33" s="236"/>
      <c r="LT33" s="236"/>
      <c r="LU33" s="236"/>
      <c r="LV33" s="236"/>
      <c r="LW33" s="239"/>
      <c r="LX33" s="236"/>
      <c r="LY33" s="236"/>
      <c r="LZ33" s="236"/>
      <c r="MA33" s="236"/>
      <c r="MB33" s="236"/>
      <c r="MC33" s="238"/>
      <c r="MD33" s="236"/>
      <c r="ME33" s="236"/>
      <c r="MF33" s="236"/>
      <c r="MG33" s="236"/>
      <c r="MH33" s="236"/>
      <c r="MI33" s="239"/>
      <c r="MJ33" s="236"/>
      <c r="MK33" s="236"/>
      <c r="ML33" s="236"/>
      <c r="MM33" s="236"/>
      <c r="MN33" s="236"/>
      <c r="MO33" s="238"/>
      <c r="MP33" s="236"/>
      <c r="MQ33" s="236"/>
      <c r="MR33" s="236"/>
      <c r="MS33" s="236"/>
      <c r="MT33" s="236"/>
      <c r="MU33" s="239"/>
      <c r="MV33" s="236"/>
      <c r="MW33" s="236"/>
      <c r="MX33" s="236"/>
      <c r="MY33" s="236"/>
      <c r="MZ33" s="236"/>
      <c r="NA33" s="240"/>
      <c r="NB33" s="235"/>
      <c r="NC33" s="236"/>
      <c r="ND33" s="236"/>
      <c r="NE33" s="236"/>
      <c r="NF33" s="236"/>
      <c r="NG33" s="237"/>
      <c r="NH33" s="236"/>
      <c r="NI33" s="236"/>
      <c r="NJ33" s="236"/>
      <c r="NK33" s="236"/>
      <c r="NL33" s="236"/>
      <c r="NM33" s="238"/>
      <c r="NN33" s="236"/>
      <c r="NO33" s="236"/>
      <c r="NP33" s="236"/>
      <c r="NQ33" s="236"/>
      <c r="NR33" s="236"/>
      <c r="NS33" s="239"/>
      <c r="NT33" s="236"/>
      <c r="NU33" s="236"/>
      <c r="NV33" s="236"/>
      <c r="NW33" s="236"/>
      <c r="NX33" s="236"/>
      <c r="NY33" s="238"/>
      <c r="NZ33" s="236"/>
      <c r="OA33" s="236"/>
      <c r="OB33" s="236"/>
      <c r="OC33" s="236"/>
      <c r="OD33" s="236"/>
      <c r="OE33" s="239"/>
      <c r="OF33" s="236"/>
      <c r="OG33" s="236"/>
      <c r="OH33" s="236"/>
      <c r="OI33" s="236"/>
      <c r="OJ33" s="236"/>
      <c r="OK33" s="238"/>
      <c r="OL33" s="236"/>
      <c r="OM33" s="236"/>
      <c r="ON33" s="236"/>
      <c r="OO33" s="236"/>
      <c r="OP33" s="236"/>
      <c r="OQ33" s="239"/>
      <c r="OR33" s="236"/>
      <c r="OS33" s="236"/>
      <c r="OT33" s="236"/>
      <c r="OU33" s="236"/>
      <c r="OV33" s="236"/>
      <c r="OW33" s="238"/>
      <c r="OX33" s="236"/>
      <c r="OY33" s="236"/>
      <c r="OZ33" s="236"/>
      <c r="PA33" s="236"/>
      <c r="PB33" s="236"/>
      <c r="PC33" s="239"/>
      <c r="PD33" s="236"/>
      <c r="PE33" s="236"/>
      <c r="PF33" s="236"/>
      <c r="PG33" s="236"/>
      <c r="PH33" s="236"/>
      <c r="PI33" s="240"/>
      <c r="PJ33" s="235"/>
      <c r="PK33" s="236"/>
      <c r="PL33" s="236"/>
      <c r="PM33" s="236"/>
      <c r="PN33" s="236"/>
      <c r="PO33" s="237"/>
      <c r="PP33" s="236"/>
      <c r="PQ33" s="236"/>
      <c r="PR33" s="236"/>
      <c r="PS33" s="236"/>
      <c r="PT33" s="236"/>
      <c r="PU33" s="238"/>
      <c r="PV33" s="236"/>
      <c r="PW33" s="236"/>
      <c r="PX33" s="236"/>
      <c r="PY33" s="236"/>
      <c r="PZ33" s="236"/>
      <c r="QA33" s="239"/>
      <c r="QB33" s="236"/>
      <c r="QC33" s="236"/>
      <c r="QD33" s="236"/>
      <c r="QE33" s="236"/>
      <c r="QF33" s="236"/>
      <c r="QG33" s="238"/>
      <c r="QH33" s="236"/>
      <c r="QI33" s="236"/>
      <c r="QJ33" s="236"/>
      <c r="QK33" s="236"/>
      <c r="QL33" s="236"/>
      <c r="QM33" s="239"/>
      <c r="QN33" s="149"/>
      <c r="QO33" s="149"/>
      <c r="QP33" s="149"/>
      <c r="QQ33" s="149"/>
      <c r="QR33" s="149"/>
      <c r="QS33" s="151"/>
      <c r="QT33" s="149"/>
      <c r="QU33" s="149"/>
      <c r="QV33" s="149"/>
      <c r="QW33" s="149"/>
      <c r="QX33" s="149"/>
      <c r="QY33" s="152"/>
      <c r="QZ33" s="149"/>
      <c r="RA33" s="149"/>
      <c r="RB33" s="149"/>
      <c r="RC33" s="149"/>
      <c r="RD33" s="236"/>
      <c r="RE33" s="238"/>
      <c r="RF33" s="236"/>
      <c r="RG33" s="236"/>
      <c r="RH33" s="236"/>
      <c r="RI33" s="236"/>
      <c r="RJ33" s="236"/>
      <c r="RK33" s="239"/>
      <c r="RL33" s="236"/>
      <c r="RM33" s="236"/>
      <c r="RN33" s="236"/>
      <c r="RO33" s="236"/>
      <c r="RP33" s="236"/>
      <c r="RQ33" s="240"/>
      <c r="RR33" s="157"/>
      <c r="RS33" s="149"/>
      <c r="RT33" s="149"/>
      <c r="RU33" s="149"/>
      <c r="RV33" s="149"/>
      <c r="RW33" s="150"/>
      <c r="RX33" s="149"/>
      <c r="RY33" s="149"/>
      <c r="RZ33" s="149"/>
      <c r="SA33" s="149"/>
      <c r="SB33" s="149"/>
      <c r="SC33" s="151"/>
      <c r="SD33" s="149"/>
      <c r="SE33" s="149"/>
      <c r="SF33" s="149"/>
      <c r="SG33" s="149"/>
      <c r="SH33" s="149"/>
      <c r="SI33" s="152"/>
      <c r="SJ33" s="149"/>
      <c r="SK33" s="149"/>
      <c r="SL33" s="149"/>
      <c r="SM33" s="149"/>
      <c r="SN33" s="149"/>
      <c r="SO33" s="151"/>
      <c r="SP33" s="236"/>
      <c r="SQ33" s="236"/>
      <c r="SR33" s="236"/>
      <c r="SS33" s="236"/>
      <c r="ST33" s="236"/>
      <c r="SU33" s="239"/>
      <c r="SV33" s="236"/>
      <c r="SW33" s="236"/>
      <c r="SX33" s="236"/>
      <c r="SY33" s="236"/>
      <c r="SZ33" s="236"/>
      <c r="TA33" s="238"/>
      <c r="TB33" s="236"/>
      <c r="TC33" s="236"/>
      <c r="TD33" s="236"/>
      <c r="TE33" s="236"/>
      <c r="TF33" s="236"/>
      <c r="TG33" s="239"/>
      <c r="TH33" s="236"/>
      <c r="TI33" s="236"/>
      <c r="TJ33" s="236"/>
      <c r="TK33" s="236"/>
      <c r="TL33" s="236"/>
      <c r="TM33" s="238"/>
      <c r="TN33" s="236"/>
      <c r="TO33" s="236"/>
      <c r="TP33" s="236"/>
      <c r="TQ33" s="236"/>
      <c r="TR33" s="236"/>
      <c r="TS33" s="239"/>
      <c r="TT33" s="236"/>
      <c r="TU33" s="236"/>
      <c r="TV33" s="236"/>
      <c r="TW33" s="236"/>
      <c r="TX33" s="236"/>
      <c r="TY33" s="240"/>
      <c r="TZ33" s="235"/>
      <c r="UA33" s="236"/>
      <c r="UB33" s="236"/>
      <c r="UC33" s="236"/>
      <c r="UD33" s="236"/>
      <c r="UE33" s="237"/>
      <c r="UF33" s="236"/>
      <c r="UG33" s="236"/>
      <c r="UH33" s="236"/>
      <c r="UI33" s="236"/>
      <c r="UJ33" s="236"/>
      <c r="UK33" s="238"/>
      <c r="UL33" s="236"/>
      <c r="UM33" s="236"/>
      <c r="UN33" s="236"/>
      <c r="UO33" s="236"/>
      <c r="UP33" s="236"/>
      <c r="UQ33" s="239"/>
      <c r="UR33" s="236"/>
      <c r="US33" s="236"/>
      <c r="UT33" s="236"/>
      <c r="UU33" s="236"/>
      <c r="UV33" s="236"/>
      <c r="UW33" s="238"/>
      <c r="UX33" s="236"/>
      <c r="UY33" s="236"/>
      <c r="UZ33" s="236"/>
      <c r="VA33" s="236"/>
      <c r="VB33" s="236"/>
      <c r="VC33" s="239"/>
      <c r="VD33" s="236"/>
      <c r="VE33" s="236"/>
      <c r="VF33" s="236"/>
      <c r="VG33" s="236"/>
      <c r="VH33" s="236"/>
      <c r="VI33" s="238"/>
      <c r="VJ33" s="236"/>
      <c r="VK33" s="236"/>
      <c r="VL33" s="236"/>
      <c r="VM33" s="236"/>
      <c r="VN33" s="236"/>
      <c r="VO33" s="239"/>
      <c r="VP33" s="236"/>
      <c r="VQ33" s="236"/>
      <c r="VR33" s="236"/>
      <c r="VS33" s="236"/>
      <c r="VT33" s="236"/>
      <c r="VU33" s="238"/>
      <c r="VV33" s="236"/>
      <c r="VW33" s="236"/>
      <c r="VX33" s="236"/>
      <c r="VY33" s="236"/>
      <c r="VZ33" s="236"/>
      <c r="WA33" s="239"/>
      <c r="WB33" s="236"/>
      <c r="WC33" s="236"/>
      <c r="WD33" s="236"/>
      <c r="WE33" s="236"/>
      <c r="WF33" s="236"/>
      <c r="WG33" s="240"/>
      <c r="WH33" s="235"/>
      <c r="WI33" s="236"/>
      <c r="WJ33" s="236"/>
      <c r="WK33" s="236"/>
      <c r="WL33" s="236"/>
      <c r="WM33" s="237"/>
      <c r="WN33" s="236"/>
      <c r="WO33" s="236"/>
      <c r="WP33" s="236"/>
      <c r="WQ33" s="236"/>
      <c r="WR33" s="236"/>
      <c r="WS33" s="238"/>
      <c r="WT33" s="236"/>
      <c r="WU33" s="236"/>
      <c r="WV33" s="236"/>
      <c r="WW33" s="236"/>
      <c r="WX33" s="236"/>
      <c r="WY33" s="239"/>
      <c r="WZ33" s="236"/>
      <c r="XA33" s="236"/>
      <c r="XB33" s="236"/>
      <c r="XC33" s="236"/>
      <c r="XD33" s="236"/>
      <c r="XE33" s="238"/>
      <c r="XF33" s="236"/>
      <c r="XG33" s="236"/>
      <c r="XH33" s="236"/>
      <c r="XI33" s="236"/>
      <c r="XJ33" s="236"/>
      <c r="XK33" s="239"/>
      <c r="XL33" s="236"/>
      <c r="XM33" s="236"/>
      <c r="XN33" s="236"/>
      <c r="XO33" s="236"/>
      <c r="XP33" s="236"/>
      <c r="XQ33" s="238"/>
      <c r="XR33" s="236"/>
      <c r="XS33" s="236"/>
      <c r="XT33" s="236"/>
      <c r="XU33" s="236"/>
      <c r="XV33" s="236"/>
      <c r="XW33" s="239"/>
      <c r="XX33" s="236"/>
      <c r="XY33" s="236"/>
      <c r="XZ33" s="236"/>
      <c r="YA33" s="236"/>
      <c r="YB33" s="236"/>
      <c r="YC33" s="238"/>
      <c r="YD33" s="236"/>
      <c r="YE33" s="236"/>
      <c r="YF33" s="236"/>
      <c r="YG33" s="236"/>
      <c r="YH33" s="236"/>
      <c r="YI33" s="239"/>
      <c r="YJ33" s="236"/>
      <c r="YK33" s="236"/>
      <c r="YL33" s="236"/>
      <c r="YM33" s="236"/>
      <c r="YN33" s="236"/>
      <c r="YO33" s="240"/>
      <c r="YP33" s="235"/>
      <c r="YQ33" s="236"/>
      <c r="YR33" s="236"/>
      <c r="YS33" s="236"/>
      <c r="YT33" s="236"/>
      <c r="YU33" s="237"/>
      <c r="YV33" s="236"/>
      <c r="YW33" s="236"/>
      <c r="YX33" s="236"/>
      <c r="YY33" s="236"/>
      <c r="YZ33" s="236"/>
      <c r="ZA33" s="238"/>
      <c r="ZB33" s="236"/>
      <c r="ZC33" s="236"/>
      <c r="ZD33" s="236"/>
      <c r="ZE33" s="236"/>
      <c r="ZF33" s="236"/>
      <c r="ZG33" s="239"/>
      <c r="ZH33" s="236"/>
      <c r="ZI33" s="236"/>
      <c r="ZJ33" s="236"/>
      <c r="ZK33" s="236"/>
      <c r="ZL33" s="236"/>
      <c r="ZM33" s="238"/>
      <c r="ZN33" s="236"/>
      <c r="ZO33" s="236"/>
      <c r="ZP33" s="236"/>
      <c r="ZQ33" s="236"/>
      <c r="ZR33" s="236"/>
      <c r="ZS33" s="239"/>
      <c r="ZT33" s="236"/>
      <c r="ZU33" s="236"/>
      <c r="ZV33" s="236"/>
      <c r="ZW33" s="236"/>
      <c r="ZX33" s="236"/>
      <c r="ZY33" s="238"/>
      <c r="ZZ33" s="236"/>
      <c r="AAA33" s="236"/>
      <c r="AAB33" s="236"/>
      <c r="AAC33" s="236"/>
      <c r="AAD33" s="236"/>
      <c r="AAE33" s="239"/>
      <c r="AAF33" s="236"/>
      <c r="AAG33" s="236"/>
      <c r="AAH33" s="236"/>
      <c r="AAI33" s="236"/>
      <c r="AAJ33" s="236"/>
      <c r="AAK33" s="238"/>
      <c r="AAL33" s="236"/>
      <c r="AAM33" s="236"/>
      <c r="AAN33" s="236"/>
      <c r="AAO33" s="236"/>
      <c r="AAP33" s="236"/>
      <c r="AAQ33" s="239"/>
      <c r="AAR33" s="236"/>
      <c r="AAS33" s="236"/>
      <c r="AAT33" s="236"/>
      <c r="AAU33" s="236"/>
      <c r="AAV33" s="236"/>
      <c r="AAW33" s="240"/>
      <c r="AAX33" s="235"/>
      <c r="AAY33" s="236"/>
      <c r="AAZ33" s="236"/>
      <c r="ABA33" s="236"/>
      <c r="ABB33" s="236"/>
      <c r="ABC33" s="237"/>
      <c r="ABD33" s="236"/>
      <c r="ABE33" s="236"/>
      <c r="ABF33" s="236"/>
      <c r="ABG33" s="236"/>
      <c r="ABH33" s="236"/>
      <c r="ABI33" s="238"/>
      <c r="ABJ33" s="236"/>
      <c r="ABK33" s="236"/>
      <c r="ABL33" s="236"/>
      <c r="ABM33" s="236"/>
      <c r="ABN33" s="236"/>
      <c r="ABO33" s="239"/>
      <c r="ABP33" s="236"/>
      <c r="ABQ33" s="236"/>
      <c r="ABR33" s="236"/>
      <c r="ABS33" s="236"/>
      <c r="ABT33" s="236"/>
      <c r="ABU33" s="238"/>
      <c r="ABV33" s="236"/>
      <c r="ABW33" s="236"/>
      <c r="ABX33" s="236"/>
      <c r="ABY33" s="236"/>
      <c r="ABZ33" s="236"/>
      <c r="ACA33" s="239"/>
      <c r="ACB33" s="236"/>
      <c r="ACC33" s="236"/>
      <c r="ACD33" s="236"/>
      <c r="ACE33" s="236"/>
      <c r="ACF33" s="236"/>
      <c r="ACG33" s="238"/>
      <c r="ACH33" s="236"/>
      <c r="ACI33" s="236"/>
      <c r="ACJ33" s="236"/>
      <c r="ACK33" s="236"/>
      <c r="ACL33" s="236"/>
      <c r="ACM33" s="239"/>
      <c r="ACN33" s="236"/>
      <c r="ACO33" s="236"/>
      <c r="ACP33" s="236"/>
      <c r="ACQ33" s="236"/>
      <c r="ACR33" s="236"/>
      <c r="ACS33" s="238"/>
      <c r="ACT33" s="236"/>
      <c r="ACU33" s="236"/>
      <c r="ACV33" s="236"/>
      <c r="ACW33" s="236"/>
      <c r="ACX33" s="236"/>
      <c r="ACY33" s="239"/>
      <c r="ACZ33" s="236"/>
      <c r="ADA33" s="236"/>
      <c r="ADB33" s="236"/>
      <c r="ADC33" s="236"/>
      <c r="ADD33" s="236"/>
      <c r="ADE33" s="240"/>
      <c r="ADF33" s="235"/>
      <c r="ADG33" s="236"/>
      <c r="ADH33" s="236"/>
      <c r="ADI33" s="236"/>
      <c r="ADJ33" s="236"/>
      <c r="ADK33" s="237"/>
      <c r="ADL33" s="236"/>
      <c r="ADM33" s="236"/>
      <c r="ADN33" s="236"/>
      <c r="ADO33" s="236"/>
      <c r="ADP33" s="236"/>
      <c r="ADQ33" s="238"/>
      <c r="ADR33" s="236"/>
      <c r="ADS33" s="236"/>
      <c r="ADT33" s="236"/>
      <c r="ADU33" s="236"/>
      <c r="ADV33" s="236"/>
      <c r="ADW33" s="239"/>
      <c r="ADX33" s="236"/>
      <c r="ADY33" s="236"/>
      <c r="ADZ33" s="236"/>
      <c r="AEA33" s="236"/>
      <c r="AEB33" s="236"/>
      <c r="AEC33" s="238"/>
      <c r="AED33" s="236"/>
      <c r="AEE33" s="236"/>
      <c r="AEF33" s="236"/>
      <c r="AEG33" s="236"/>
      <c r="AEH33" s="236"/>
      <c r="AEI33" s="239"/>
      <c r="AEJ33" s="236"/>
      <c r="AEK33" s="236"/>
      <c r="AEL33" s="236"/>
      <c r="AEM33" s="236"/>
      <c r="AEN33" s="236"/>
      <c r="AEO33" s="238"/>
      <c r="AEP33" s="236"/>
      <c r="AEQ33" s="236"/>
      <c r="AER33" s="236"/>
      <c r="AES33" s="236"/>
      <c r="AET33" s="236"/>
      <c r="AEU33" s="239"/>
      <c r="AEV33" s="236"/>
      <c r="AEW33" s="236"/>
      <c r="AEX33" s="236"/>
      <c r="AEY33" s="236"/>
      <c r="AEZ33" s="236"/>
      <c r="AFA33" s="238"/>
      <c r="AFB33" s="236"/>
      <c r="AFC33" s="236"/>
      <c r="AFD33" s="236"/>
      <c r="AFE33" s="236"/>
      <c r="AFF33" s="236"/>
      <c r="AFG33" s="239"/>
      <c r="AFH33" s="236"/>
      <c r="AFI33" s="236"/>
      <c r="AFJ33" s="236"/>
      <c r="AFK33" s="236"/>
      <c r="AFL33" s="236"/>
      <c r="AFM33" s="240"/>
      <c r="AFN33" s="235"/>
      <c r="AFO33" s="236"/>
      <c r="AFP33" s="236"/>
      <c r="AFQ33" s="236"/>
      <c r="AFR33" s="236"/>
      <c r="AFS33" s="237"/>
      <c r="AFT33" s="236"/>
      <c r="AFU33" s="236"/>
      <c r="AFV33" s="236"/>
      <c r="AFW33" s="236"/>
      <c r="AFX33" s="236"/>
      <c r="AFY33" s="238"/>
      <c r="AFZ33" s="236"/>
      <c r="AGA33" s="236"/>
      <c r="AGB33" s="236"/>
      <c r="AGC33" s="236"/>
      <c r="AGD33" s="236"/>
      <c r="AGE33" s="239"/>
      <c r="AGF33" s="236"/>
      <c r="AGG33" s="236"/>
      <c r="AGH33" s="236"/>
      <c r="AGI33" s="236"/>
      <c r="AGJ33" s="236"/>
      <c r="AGK33" s="238"/>
      <c r="AGL33" s="236"/>
      <c r="AGM33" s="236"/>
      <c r="AGN33" s="236"/>
      <c r="AGO33" s="236"/>
      <c r="AGP33" s="236"/>
      <c r="AGQ33" s="239"/>
      <c r="AGR33" s="236"/>
      <c r="AGS33" s="236"/>
      <c r="AGT33" s="236"/>
      <c r="AGU33" s="236"/>
      <c r="AGV33" s="236"/>
      <c r="AGW33" s="238"/>
      <c r="AGX33" s="236"/>
      <c r="AGY33" s="236"/>
      <c r="AGZ33" s="236"/>
      <c r="AHA33" s="236"/>
      <c r="AHB33" s="236"/>
      <c r="AHC33" s="239"/>
      <c r="AHD33" s="236"/>
      <c r="AHE33" s="236"/>
      <c r="AHF33" s="236"/>
      <c r="AHG33" s="236"/>
      <c r="AHH33" s="236"/>
      <c r="AHI33" s="238"/>
      <c r="AHJ33" s="236"/>
      <c r="AHK33" s="236"/>
      <c r="AHL33" s="236"/>
      <c r="AHM33" s="236"/>
      <c r="AHN33" s="236"/>
      <c r="AHO33" s="239"/>
      <c r="AHP33" s="236"/>
      <c r="AHQ33" s="236"/>
      <c r="AHR33" s="236"/>
      <c r="AHS33" s="236"/>
      <c r="AHT33" s="236"/>
      <c r="AHU33" s="240"/>
      <c r="AHV33" s="235"/>
      <c r="AHW33" s="236"/>
      <c r="AHX33" s="236"/>
      <c r="AHY33" s="236"/>
      <c r="AHZ33" s="236"/>
      <c r="AIA33" s="237"/>
      <c r="AIB33" s="236"/>
      <c r="AIC33" s="236"/>
      <c r="AID33" s="236"/>
      <c r="AIE33" s="236"/>
      <c r="AIF33" s="236"/>
      <c r="AIG33" s="238"/>
      <c r="AIH33" s="236"/>
      <c r="AII33" s="236"/>
      <c r="AIJ33" s="236"/>
      <c r="AIK33" s="236"/>
      <c r="AIL33" s="236"/>
      <c r="AIM33" s="239"/>
      <c r="AIN33" s="236"/>
      <c r="AIO33" s="236"/>
      <c r="AIP33" s="236"/>
      <c r="AIQ33" s="236"/>
      <c r="AIR33" s="236"/>
      <c r="AIS33" s="238"/>
      <c r="AIT33" s="236"/>
      <c r="AIU33" s="236"/>
      <c r="AIV33" s="236"/>
      <c r="AIW33" s="236"/>
      <c r="AIX33" s="236"/>
      <c r="AIY33" s="239"/>
      <c r="AIZ33" s="236"/>
      <c r="AJA33" s="236"/>
      <c r="AJB33" s="236"/>
      <c r="AJC33" s="236"/>
      <c r="AJD33" s="236"/>
      <c r="AJE33" s="238"/>
      <c r="AJF33" s="236"/>
      <c r="AJG33" s="236"/>
      <c r="AJH33" s="236"/>
      <c r="AJI33" s="236"/>
      <c r="AJJ33" s="236"/>
      <c r="AJK33" s="239"/>
      <c r="AJL33" s="236"/>
      <c r="AJM33" s="236"/>
      <c r="AJN33" s="236"/>
      <c r="AJO33" s="236"/>
      <c r="AJP33" s="236"/>
      <c r="AJQ33" s="238"/>
      <c r="AJR33" s="236"/>
      <c r="AJS33" s="236"/>
      <c r="AJT33" s="236"/>
      <c r="AJU33" s="236"/>
      <c r="AJV33" s="236"/>
      <c r="AJW33" s="239"/>
      <c r="AJX33" s="236"/>
      <c r="AJY33" s="236"/>
      <c r="AJZ33" s="236"/>
      <c r="AKA33" s="236"/>
      <c r="AKB33" s="236"/>
      <c r="AKC33" s="240"/>
      <c r="AKD33" s="235"/>
      <c r="AKE33" s="236"/>
      <c r="AKF33" s="236"/>
      <c r="AKG33" s="236"/>
      <c r="AKH33" s="236"/>
      <c r="AKI33" s="237"/>
      <c r="AKJ33" s="236"/>
      <c r="AKK33" s="236"/>
      <c r="AKL33" s="236"/>
      <c r="AKM33" s="236"/>
      <c r="AKN33" s="236"/>
      <c r="AKO33" s="238"/>
      <c r="AKP33" s="236"/>
      <c r="AKQ33" s="236"/>
      <c r="AKR33" s="236"/>
      <c r="AKS33" s="236"/>
      <c r="AKT33" s="236"/>
      <c r="AKU33" s="239"/>
      <c r="AKV33" s="236"/>
      <c r="AKW33" s="236"/>
      <c r="AKX33" s="236"/>
      <c r="AKY33" s="236"/>
      <c r="AKZ33" s="236"/>
      <c r="ALA33" s="238"/>
      <c r="ALB33" s="236"/>
      <c r="ALC33" s="236"/>
      <c r="ALD33" s="236"/>
      <c r="ALE33" s="236"/>
      <c r="ALF33" s="236"/>
      <c r="ALG33" s="239"/>
      <c r="ALH33" s="236"/>
      <c r="ALI33" s="236"/>
      <c r="ALJ33" s="236"/>
      <c r="ALK33" s="236"/>
      <c r="ALL33" s="236"/>
      <c r="ALM33" s="238"/>
      <c r="ALN33" s="236"/>
      <c r="ALO33" s="236"/>
      <c r="ALP33" s="236"/>
      <c r="ALQ33" s="236"/>
      <c r="ALR33" s="236"/>
      <c r="ALS33" s="239"/>
      <c r="ALT33" s="236"/>
      <c r="ALU33" s="236"/>
      <c r="ALV33" s="236"/>
      <c r="ALW33" s="236"/>
      <c r="ALX33" s="236"/>
      <c r="ALY33" s="238"/>
      <c r="ALZ33" s="236"/>
      <c r="AMA33" s="236"/>
      <c r="AMB33" s="236"/>
      <c r="AMC33" s="236"/>
      <c r="AMD33" s="236"/>
      <c r="AME33" s="239"/>
      <c r="AMF33" s="236"/>
      <c r="AMG33" s="236"/>
      <c r="AMH33" s="236"/>
      <c r="AMI33" s="236"/>
      <c r="AMJ33" s="236"/>
      <c r="AMK33" s="240"/>
      <c r="AML33" s="235"/>
      <c r="AMM33" s="236"/>
      <c r="AMN33" s="236"/>
      <c r="AMO33" s="236"/>
      <c r="AMP33" s="236"/>
      <c r="AMQ33" s="237"/>
      <c r="AMR33" s="236"/>
      <c r="AMS33" s="236"/>
      <c r="AMT33" s="236"/>
      <c r="AMU33" s="236"/>
      <c r="AMV33" s="236"/>
      <c r="AMW33" s="238"/>
      <c r="AMX33" s="236"/>
      <c r="AMY33" s="236"/>
      <c r="AMZ33" s="236"/>
      <c r="ANA33" s="236"/>
      <c r="ANB33" s="236"/>
      <c r="ANC33" s="239"/>
      <c r="AND33" s="236"/>
      <c r="ANE33" s="236"/>
      <c r="ANF33" s="236"/>
      <c r="ANG33" s="236"/>
      <c r="ANH33" s="236"/>
      <c r="ANI33" s="238"/>
      <c r="ANJ33" s="236"/>
      <c r="ANK33" s="236"/>
      <c r="ANL33" s="236"/>
      <c r="ANM33" s="236"/>
      <c r="ANN33" s="236"/>
      <c r="ANO33" s="239"/>
      <c r="ANP33" s="236"/>
      <c r="ANQ33" s="236"/>
      <c r="ANR33" s="236"/>
      <c r="ANS33" s="236"/>
      <c r="ANT33" s="236"/>
      <c r="ANU33" s="238"/>
      <c r="ANV33" s="236"/>
      <c r="ANW33" s="236"/>
      <c r="ANX33" s="236"/>
      <c r="ANY33" s="236"/>
      <c r="ANZ33" s="236"/>
      <c r="AOA33" s="239"/>
      <c r="AOB33" s="236"/>
      <c r="AOC33" s="236"/>
      <c r="AOD33" s="236"/>
      <c r="AOE33" s="236"/>
      <c r="AOF33" s="236"/>
      <c r="AOG33" s="238"/>
      <c r="AOH33" s="236"/>
      <c r="AOI33" s="236"/>
      <c r="AOJ33" s="236"/>
      <c r="AOK33" s="236"/>
      <c r="AOL33" s="236"/>
      <c r="AOM33" s="239"/>
      <c r="AON33" s="236"/>
      <c r="AOO33" s="236"/>
      <c r="AOP33" s="236"/>
      <c r="AOQ33" s="236"/>
      <c r="AOR33" s="236"/>
      <c r="AOS33" s="240"/>
      <c r="AOT33" s="235"/>
      <c r="AOU33" s="236"/>
      <c r="AOV33" s="236"/>
      <c r="AOW33" s="236"/>
      <c r="AOX33" s="236"/>
      <c r="AOY33" s="237"/>
      <c r="AOZ33" s="236"/>
      <c r="APA33" s="236"/>
      <c r="APB33" s="236"/>
      <c r="APC33" s="236"/>
      <c r="APD33" s="236"/>
      <c r="APE33" s="238"/>
      <c r="APF33" s="236"/>
      <c r="APG33" s="236"/>
      <c r="APH33" s="236"/>
      <c r="API33" s="236"/>
      <c r="APJ33" s="236"/>
      <c r="APK33" s="239"/>
      <c r="APL33" s="236"/>
      <c r="APM33" s="236"/>
      <c r="APN33" s="236"/>
      <c r="APO33" s="236"/>
      <c r="APP33" s="236"/>
      <c r="APQ33" s="238"/>
      <c r="APR33" s="236"/>
      <c r="APS33" s="236"/>
      <c r="APT33" s="236"/>
      <c r="APU33" s="236"/>
      <c r="APV33" s="236"/>
      <c r="APW33" s="239"/>
      <c r="APX33" s="236"/>
      <c r="APY33" s="236"/>
      <c r="APZ33" s="236"/>
      <c r="AQA33" s="236"/>
      <c r="AQB33" s="236"/>
      <c r="AQC33" s="238"/>
      <c r="AQD33" s="236"/>
      <c r="AQE33" s="236"/>
      <c r="AQF33" s="236"/>
      <c r="AQG33" s="236"/>
      <c r="AQH33" s="236"/>
      <c r="AQI33" s="239"/>
      <c r="AQJ33" s="236"/>
      <c r="AQK33" s="236"/>
      <c r="AQL33" s="236"/>
      <c r="AQM33" s="236"/>
      <c r="AQN33" s="236"/>
      <c r="AQO33" s="238"/>
      <c r="AQP33" s="236"/>
      <c r="AQQ33" s="236"/>
      <c r="AQR33" s="236"/>
      <c r="AQS33" s="236"/>
      <c r="AQT33" s="236"/>
      <c r="AQU33" s="239"/>
      <c r="AQV33" s="236"/>
      <c r="AQW33" s="236"/>
      <c r="AQX33" s="236"/>
      <c r="AQY33" s="236"/>
      <c r="AQZ33" s="236"/>
      <c r="ARA33" s="240"/>
      <c r="ARB33" s="235"/>
      <c r="ARC33" s="236"/>
      <c r="ARD33" s="236"/>
      <c r="ARE33" s="236"/>
      <c r="ARF33" s="236"/>
      <c r="ARG33" s="237"/>
      <c r="ARH33" s="236"/>
      <c r="ARI33" s="236"/>
      <c r="ARJ33" s="236"/>
      <c r="ARK33" s="236"/>
      <c r="ARL33" s="236"/>
      <c r="ARM33" s="238"/>
      <c r="ARN33" s="236"/>
      <c r="ARO33" s="236"/>
      <c r="ARP33" s="236"/>
      <c r="ARQ33" s="236"/>
      <c r="ARR33" s="236"/>
      <c r="ARS33" s="239"/>
      <c r="ART33" s="236"/>
      <c r="ARU33" s="236"/>
      <c r="ARV33" s="236"/>
      <c r="ARW33" s="236"/>
      <c r="ARX33" s="236"/>
      <c r="ARY33" s="238"/>
      <c r="ARZ33" s="236"/>
      <c r="ASA33" s="236"/>
      <c r="ASB33" s="236"/>
      <c r="ASC33" s="236"/>
      <c r="ASD33" s="236"/>
      <c r="ASE33" s="239"/>
      <c r="ASF33" s="236"/>
      <c r="ASG33" s="236"/>
      <c r="ASH33" s="236"/>
      <c r="ASI33" s="236"/>
      <c r="ASJ33" s="236"/>
      <c r="ASK33" s="238"/>
      <c r="ASL33" s="236"/>
      <c r="ASM33" s="236"/>
      <c r="ASN33" s="236"/>
      <c r="ASO33" s="236"/>
      <c r="ASP33" s="236"/>
      <c r="ASQ33" s="239"/>
      <c r="ASR33" s="236"/>
      <c r="ASS33" s="236"/>
      <c r="AST33" s="236"/>
      <c r="ASU33" s="236"/>
      <c r="ASV33" s="236"/>
      <c r="ASW33" s="238"/>
      <c r="ASX33" s="236"/>
      <c r="ASY33" s="236"/>
      <c r="ASZ33" s="236"/>
      <c r="ATA33" s="236"/>
      <c r="ATB33" s="236"/>
      <c r="ATC33" s="239"/>
      <c r="ATD33" s="236"/>
      <c r="ATE33" s="236"/>
      <c r="ATF33" s="236"/>
      <c r="ATG33" s="236"/>
      <c r="ATH33" s="236"/>
      <c r="ATI33" s="240"/>
      <c r="ATJ33" s="235"/>
      <c r="ATK33" s="236"/>
      <c r="ATL33" s="236"/>
      <c r="ATM33" s="236"/>
      <c r="ATN33" s="236"/>
      <c r="ATO33" s="237"/>
      <c r="ATP33" s="236"/>
      <c r="ATQ33" s="236"/>
      <c r="ATR33" s="236"/>
      <c r="ATS33" s="236"/>
      <c r="ATT33" s="236"/>
      <c r="ATU33" s="238"/>
      <c r="ATV33" s="236"/>
      <c r="ATW33" s="236"/>
      <c r="ATX33" s="236"/>
      <c r="ATY33" s="236"/>
      <c r="ATZ33" s="236"/>
      <c r="AUA33" s="239"/>
      <c r="AUB33" s="236"/>
      <c r="AUC33" s="236"/>
      <c r="AUD33" s="236"/>
      <c r="AUE33" s="236"/>
      <c r="AUF33" s="236"/>
      <c r="AUG33" s="238"/>
      <c r="AUH33" s="236"/>
      <c r="AUI33" s="236"/>
      <c r="AUJ33" s="236"/>
      <c r="AUK33" s="236"/>
      <c r="AUL33" s="236"/>
      <c r="AUM33" s="239"/>
      <c r="AUN33" s="236"/>
      <c r="AUO33" s="236"/>
      <c r="AUP33" s="236"/>
      <c r="AUQ33" s="236"/>
      <c r="AUR33" s="236"/>
      <c r="AUS33" s="238"/>
      <c r="AUT33" s="236"/>
      <c r="AUU33" s="236"/>
      <c r="AUV33" s="236"/>
      <c r="AUW33" s="236"/>
      <c r="AUX33" s="236"/>
      <c r="AUY33" s="239"/>
      <c r="AUZ33" s="236"/>
      <c r="AVA33" s="236"/>
      <c r="AVB33" s="236"/>
      <c r="AVC33" s="236"/>
      <c r="AVD33" s="236"/>
      <c r="AVE33" s="238"/>
      <c r="AVF33" s="236"/>
      <c r="AVG33" s="236"/>
      <c r="AVH33" s="236"/>
      <c r="AVI33" s="236"/>
      <c r="AVJ33" s="236"/>
      <c r="AVK33" s="239"/>
      <c r="AVL33" s="236"/>
      <c r="AVM33" s="236"/>
      <c r="AVN33" s="236"/>
      <c r="AVO33" s="236"/>
      <c r="AVP33" s="236"/>
      <c r="AVQ33" s="240"/>
      <c r="AVR33" s="235"/>
      <c r="AVS33" s="236"/>
      <c r="AVT33" s="236"/>
      <c r="AVU33" s="236"/>
      <c r="AVV33" s="236"/>
      <c r="AVW33" s="237"/>
      <c r="AVX33" s="236"/>
      <c r="AVY33" s="236"/>
      <c r="AVZ33" s="236"/>
      <c r="AWA33" s="236"/>
      <c r="AWB33" s="236"/>
      <c r="AWC33" s="238"/>
      <c r="AWD33" s="236"/>
      <c r="AWE33" s="236"/>
      <c r="AWF33" s="236"/>
      <c r="AWG33" s="236"/>
      <c r="AWH33" s="236"/>
      <c r="AWI33" s="239"/>
      <c r="AWJ33" s="236"/>
      <c r="AWK33" s="236"/>
      <c r="AWL33" s="236"/>
      <c r="AWM33" s="236"/>
      <c r="AWN33" s="236"/>
      <c r="AWO33" s="238"/>
      <c r="AWP33" s="236"/>
      <c r="AWQ33" s="236"/>
      <c r="AWR33" s="236"/>
      <c r="AWS33" s="236"/>
      <c r="AWT33" s="236"/>
      <c r="AWU33" s="239"/>
      <c r="AWV33" s="236"/>
      <c r="AWW33" s="236"/>
      <c r="AWX33" s="236"/>
      <c r="AWY33" s="236"/>
      <c r="AWZ33" s="236"/>
      <c r="AXA33" s="238"/>
      <c r="AXB33" s="236"/>
      <c r="AXC33" s="236"/>
      <c r="AXD33" s="236"/>
      <c r="AXE33" s="236"/>
      <c r="AXF33" s="236"/>
      <c r="AXG33" s="239"/>
      <c r="AXH33" s="236"/>
      <c r="AXI33" s="236"/>
      <c r="AXJ33" s="236"/>
      <c r="AXK33" s="236"/>
      <c r="AXL33" s="236"/>
      <c r="AXM33" s="238"/>
      <c r="AXN33" s="236"/>
      <c r="AXO33" s="236"/>
      <c r="AXP33" s="236"/>
      <c r="AXQ33" s="236"/>
      <c r="AXR33" s="236"/>
      <c r="AXS33" s="239"/>
      <c r="AXT33" s="236"/>
      <c r="AXU33" s="236"/>
      <c r="AXV33" s="236"/>
      <c r="AXW33" s="236"/>
      <c r="AXX33" s="236"/>
      <c r="AXY33" s="240"/>
      <c r="AXZ33" s="235"/>
      <c r="AYA33" s="236"/>
      <c r="AYB33" s="236"/>
      <c r="AYC33" s="236"/>
      <c r="AYD33" s="236"/>
      <c r="AYE33" s="237"/>
      <c r="AYF33" s="236"/>
      <c r="AYG33" s="236"/>
      <c r="AYH33" s="236"/>
      <c r="AYI33" s="236"/>
      <c r="AYJ33" s="236"/>
      <c r="AYK33" s="238"/>
      <c r="AYL33" s="236"/>
      <c r="AYM33" s="236"/>
      <c r="AYN33" s="236"/>
      <c r="AYO33" s="236"/>
      <c r="AYP33" s="236"/>
      <c r="AYQ33" s="239"/>
      <c r="AYR33" s="236"/>
      <c r="AYS33" s="236"/>
      <c r="AYT33" s="236"/>
      <c r="AYU33" s="236"/>
      <c r="AYV33" s="236"/>
      <c r="AYW33" s="238"/>
      <c r="AYX33" s="236"/>
      <c r="AYY33" s="236"/>
      <c r="AYZ33" s="236"/>
      <c r="AZA33" s="236"/>
      <c r="AZB33" s="236"/>
      <c r="AZC33" s="239"/>
      <c r="AZD33" s="236"/>
      <c r="AZE33" s="236"/>
      <c r="AZF33" s="236"/>
      <c r="AZG33" s="236"/>
      <c r="AZH33" s="236"/>
      <c r="AZI33" s="238"/>
      <c r="AZJ33" s="236"/>
      <c r="AZK33" s="236"/>
      <c r="AZL33" s="236"/>
      <c r="AZM33" s="236"/>
      <c r="AZN33" s="236"/>
      <c r="AZO33" s="239"/>
      <c r="AZP33" s="236"/>
      <c r="AZQ33" s="236"/>
      <c r="AZR33" s="236"/>
      <c r="AZS33" s="236"/>
      <c r="AZT33" s="236"/>
      <c r="AZU33" s="238"/>
      <c r="AZV33" s="236"/>
      <c r="AZW33" s="236"/>
      <c r="AZX33" s="236"/>
      <c r="AZY33" s="236"/>
      <c r="AZZ33" s="236"/>
      <c r="BAA33" s="239"/>
      <c r="BAB33" s="236"/>
      <c r="BAC33" s="236"/>
      <c r="BAD33" s="236"/>
      <c r="BAE33" s="236"/>
      <c r="BAF33" s="236"/>
      <c r="BAG33" s="240"/>
      <c r="BAH33" s="235"/>
      <c r="BAI33" s="236"/>
      <c r="BAJ33" s="236"/>
      <c r="BAK33" s="236"/>
      <c r="BAL33" s="236"/>
      <c r="BAM33" s="237"/>
      <c r="BAN33" s="236"/>
      <c r="BAO33" s="236"/>
      <c r="BAP33" s="236"/>
      <c r="BAQ33" s="236"/>
      <c r="BAR33" s="236"/>
      <c r="BAS33" s="238"/>
      <c r="BAT33" s="236"/>
      <c r="BAU33" s="236"/>
      <c r="BAV33" s="236"/>
      <c r="BAW33" s="236"/>
      <c r="BAX33" s="236"/>
      <c r="BAY33" s="239"/>
      <c r="BAZ33" s="236"/>
      <c r="BBA33" s="236"/>
      <c r="BBB33" s="236"/>
      <c r="BBC33" s="236"/>
      <c r="BBD33" s="236"/>
      <c r="BBE33" s="238"/>
      <c r="BBF33" s="236"/>
      <c r="BBG33" s="236"/>
      <c r="BBH33" s="236"/>
      <c r="BBI33" s="236"/>
      <c r="BBJ33" s="236"/>
      <c r="BBK33" s="239"/>
      <c r="BBL33" s="236"/>
      <c r="BBM33" s="236"/>
      <c r="BBN33" s="236"/>
      <c r="BBO33" s="236"/>
      <c r="BBP33" s="236"/>
      <c r="BBQ33" s="238"/>
      <c r="BBR33" s="236"/>
      <c r="BBS33" s="236"/>
      <c r="BBT33" s="236"/>
      <c r="BBU33" s="236"/>
      <c r="BBV33" s="236"/>
      <c r="BBW33" s="239"/>
      <c r="BBX33" s="236"/>
      <c r="BBY33" s="236"/>
      <c r="BBZ33" s="236"/>
      <c r="BCA33" s="236"/>
      <c r="BCB33" s="236"/>
      <c r="BCC33" s="238"/>
      <c r="BCD33" s="236"/>
      <c r="BCE33" s="236"/>
      <c r="BCF33" s="236"/>
      <c r="BCG33" s="236"/>
      <c r="BCH33" s="236"/>
      <c r="BCI33" s="239"/>
      <c r="BCJ33" s="236"/>
      <c r="BCK33" s="236"/>
      <c r="BCL33" s="236"/>
      <c r="BCM33" s="236"/>
      <c r="BCN33" s="236"/>
      <c r="BCO33" s="240"/>
      <c r="BCP33" s="235"/>
      <c r="BCQ33" s="236"/>
      <c r="BCR33" s="236"/>
      <c r="BCS33" s="236"/>
      <c r="BCT33" s="236"/>
      <c r="BCU33" s="237"/>
      <c r="BCV33" s="236"/>
      <c r="BCW33" s="236"/>
      <c r="BCX33" s="236"/>
      <c r="BCY33" s="236"/>
      <c r="BCZ33" s="236"/>
      <c r="BDA33" s="238"/>
      <c r="BDB33" s="236"/>
      <c r="BDC33" s="236"/>
      <c r="BDD33" s="236"/>
      <c r="BDE33" s="236"/>
      <c r="BDF33" s="236"/>
      <c r="BDG33" s="239"/>
      <c r="BDH33" s="236"/>
      <c r="BDI33" s="236"/>
      <c r="BDJ33" s="236"/>
      <c r="BDK33" s="236"/>
      <c r="BDL33" s="236"/>
      <c r="BDM33" s="238"/>
      <c r="BDN33" s="236"/>
      <c r="BDO33" s="236"/>
      <c r="BDP33" s="236"/>
      <c r="BDQ33" s="236"/>
      <c r="BDR33" s="236"/>
      <c r="BDS33" s="239"/>
      <c r="BDT33" s="236"/>
      <c r="BDU33" s="236"/>
      <c r="BDV33" s="236"/>
      <c r="BDW33" s="236"/>
      <c r="BDX33" s="236"/>
      <c r="BDY33" s="238"/>
      <c r="BDZ33" s="236"/>
      <c r="BEA33" s="236"/>
      <c r="BEB33" s="236"/>
      <c r="BEC33" s="236"/>
      <c r="BED33" s="236"/>
      <c r="BEE33" s="239"/>
      <c r="BEF33" s="236"/>
      <c r="BEG33" s="236"/>
      <c r="BEH33" s="236"/>
      <c r="BEI33" s="236"/>
      <c r="BEJ33" s="236"/>
      <c r="BEK33" s="238"/>
      <c r="BEL33" s="236"/>
      <c r="BEM33" s="236"/>
      <c r="BEN33" s="236"/>
      <c r="BEO33" s="236"/>
      <c r="BEP33" s="236"/>
      <c r="BEQ33" s="239"/>
      <c r="BER33" s="236"/>
      <c r="BES33" s="236"/>
      <c r="BET33" s="236"/>
      <c r="BEU33" s="236"/>
      <c r="BEV33" s="236"/>
      <c r="BEW33" s="240"/>
      <c r="BEX33" s="235"/>
      <c r="BEY33" s="236"/>
      <c r="BEZ33" s="236"/>
      <c r="BFA33" s="236"/>
      <c r="BFB33" s="236"/>
      <c r="BFC33" s="237"/>
      <c r="BFD33" s="236"/>
      <c r="BFE33" s="236"/>
      <c r="BFF33" s="236"/>
      <c r="BFG33" s="236"/>
      <c r="BFH33" s="236"/>
      <c r="BFI33" s="238"/>
      <c r="BFJ33" s="236"/>
      <c r="BFK33" s="236"/>
      <c r="BFL33" s="236"/>
      <c r="BFM33" s="236"/>
      <c r="BFN33" s="236"/>
      <c r="BFO33" s="239"/>
      <c r="BFP33" s="236"/>
      <c r="BFQ33" s="236"/>
      <c r="BFR33" s="236"/>
      <c r="BFS33" s="236"/>
      <c r="BFT33" s="236"/>
      <c r="BFU33" s="238"/>
      <c r="BFV33" s="236"/>
      <c r="BFW33" s="236"/>
      <c r="BFX33" s="236"/>
      <c r="BFY33" s="236"/>
      <c r="BFZ33" s="236"/>
      <c r="BGA33" s="239"/>
      <c r="BGB33" s="236"/>
      <c r="BGC33" s="236"/>
      <c r="BGD33" s="236"/>
      <c r="BGE33" s="236"/>
      <c r="BGF33" s="236"/>
      <c r="BGG33" s="238"/>
      <c r="BGH33" s="236"/>
      <c r="BGI33" s="236"/>
      <c r="BGJ33" s="236"/>
      <c r="BGK33" s="236"/>
      <c r="BGL33" s="236"/>
      <c r="BGM33" s="239"/>
      <c r="BGN33" s="236"/>
      <c r="BGO33" s="236"/>
      <c r="BGP33" s="236"/>
      <c r="BGQ33" s="236"/>
      <c r="BGR33" s="236"/>
      <c r="BGS33" s="238"/>
      <c r="BGT33" s="236"/>
      <c r="BGU33" s="236"/>
      <c r="BGV33" s="236"/>
      <c r="BGW33" s="236"/>
      <c r="BGX33" s="236"/>
      <c r="BGY33" s="239"/>
      <c r="BGZ33" s="236"/>
      <c r="BHA33" s="236"/>
      <c r="BHB33" s="236"/>
      <c r="BHC33" s="236"/>
      <c r="BHD33" s="236"/>
      <c r="BHE33" s="240"/>
      <c r="BHF33" s="235"/>
      <c r="BHG33" s="236"/>
      <c r="BHH33" s="236"/>
      <c r="BHI33" s="236"/>
      <c r="BHJ33" s="236"/>
      <c r="BHK33" s="237"/>
      <c r="BHL33" s="236"/>
      <c r="BHM33" s="236"/>
      <c r="BHN33" s="236"/>
      <c r="BHO33" s="236"/>
      <c r="BHP33" s="236"/>
      <c r="BHQ33" s="238"/>
      <c r="BHR33" s="236"/>
      <c r="BHS33" s="236"/>
      <c r="BHT33" s="236"/>
      <c r="BHU33" s="236"/>
      <c r="BHV33" s="236"/>
      <c r="BHW33" s="239"/>
      <c r="BHX33" s="236"/>
      <c r="BHY33" s="236"/>
      <c r="BHZ33" s="236"/>
      <c r="BIA33" s="236"/>
      <c r="BIB33" s="236"/>
      <c r="BIC33" s="238"/>
      <c r="BID33" s="236"/>
      <c r="BIE33" s="236"/>
      <c r="BIF33" s="236"/>
      <c r="BIG33" s="236"/>
      <c r="BIH33" s="236"/>
      <c r="BII33" s="239"/>
      <c r="BIJ33" s="236"/>
      <c r="BIK33" s="236"/>
      <c r="BIL33" s="236"/>
      <c r="BIM33" s="236"/>
      <c r="BIN33" s="236"/>
      <c r="BIO33" s="238"/>
      <c r="BIP33" s="236"/>
      <c r="BIQ33" s="236"/>
      <c r="BIR33" s="236"/>
      <c r="BIS33" s="236"/>
      <c r="BIT33" s="236"/>
      <c r="BIU33" s="239"/>
      <c r="BIV33" s="236"/>
      <c r="BIW33" s="236"/>
      <c r="BIX33" s="236"/>
      <c r="BIY33" s="236"/>
      <c r="BIZ33" s="236"/>
      <c r="BJA33" s="238"/>
      <c r="BJB33" s="236"/>
      <c r="BJC33" s="236"/>
      <c r="BJD33" s="236"/>
      <c r="BJE33" s="236"/>
      <c r="BJF33" s="236"/>
      <c r="BJG33" s="239"/>
      <c r="BJH33" s="236"/>
      <c r="BJI33" s="236"/>
      <c r="BJJ33" s="236"/>
      <c r="BJK33" s="236"/>
      <c r="BJL33" s="236"/>
      <c r="BJM33" s="240"/>
      <c r="BJN33" s="233"/>
      <c r="BJO33" s="234"/>
      <c r="BJP33" s="234"/>
      <c r="BJQ33" s="234"/>
      <c r="BJR33" s="234"/>
      <c r="BJS33" s="234"/>
      <c r="BJT33" s="234"/>
      <c r="BJU33" s="234"/>
      <c r="BJV33" s="234"/>
      <c r="BJW33" s="234"/>
      <c r="BJX33" s="234"/>
      <c r="BJY33" s="234"/>
      <c r="BJZ33" s="234"/>
      <c r="BKA33" s="234"/>
      <c r="BKB33" s="234"/>
      <c r="BKC33" s="234"/>
      <c r="BKD33" s="234"/>
      <c r="BKE33" s="234"/>
      <c r="BKF33" s="234"/>
      <c r="BKG33" s="234"/>
      <c r="BKH33" s="234"/>
      <c r="BKI33" s="234"/>
      <c r="BKJ33" s="234"/>
      <c r="BKK33" s="234"/>
      <c r="BKL33" s="234"/>
      <c r="BKM33" s="234"/>
      <c r="BKN33" s="234"/>
    </row>
    <row r="34" spans="1:1652" ht="20.100000000000001" customHeight="1" x14ac:dyDescent="0.3">
      <c r="A34" s="84" t="s">
        <v>20</v>
      </c>
      <c r="B34" s="53" t="str">
        <f>IF(LEN(C53)=0,"",C53)</f>
        <v/>
      </c>
      <c r="C34" s="178"/>
      <c r="D34" s="131" t="str">
        <f t="shared" si="0"/>
        <v>6h40min</v>
      </c>
      <c r="E34" s="30">
        <v>80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166"/>
      <c r="ABI34" s="168"/>
      <c r="ABJ34" s="166"/>
      <c r="ABK34" s="166"/>
      <c r="ABL34" s="166"/>
      <c r="ABM34" s="166"/>
      <c r="ABN34" s="166"/>
      <c r="ABO34" s="169"/>
      <c r="ABP34" s="166"/>
      <c r="ABQ34" s="166"/>
      <c r="ABR34" s="166"/>
      <c r="ABS34" s="166"/>
      <c r="ABT34" s="166"/>
      <c r="ABU34" s="168"/>
      <c r="ABV34" s="166"/>
      <c r="ABW34" s="166"/>
      <c r="ABX34" s="166"/>
      <c r="ABY34" s="166"/>
      <c r="ABZ34" s="166"/>
      <c r="ACA34" s="169"/>
      <c r="ACB34" s="166"/>
      <c r="ACC34" s="166"/>
      <c r="ACD34" s="166"/>
      <c r="ACE34" s="166"/>
      <c r="ACF34" s="166"/>
      <c r="ACG34" s="168"/>
      <c r="ACH34" s="166"/>
      <c r="ACI34" s="166"/>
      <c r="ACJ34" s="166"/>
      <c r="ACK34" s="166"/>
      <c r="ACL34" s="166"/>
      <c r="ACM34" s="169"/>
      <c r="ACN34" s="166"/>
      <c r="ACO34" s="166"/>
      <c r="ACP34" s="166"/>
      <c r="ACQ34" s="166"/>
      <c r="ACR34" s="32"/>
      <c r="ACS34" s="121"/>
      <c r="ACT34" s="32"/>
      <c r="ACU34" s="32"/>
      <c r="ACV34" s="32"/>
      <c r="ACW34" s="32"/>
      <c r="ACX34" s="32"/>
      <c r="ACY34" s="60"/>
      <c r="ACZ34" s="32"/>
      <c r="ADA34" s="32"/>
      <c r="ADB34" s="32"/>
      <c r="ADC34" s="32"/>
      <c r="ADD34" s="32"/>
      <c r="ADE34" s="33"/>
      <c r="ADF34" s="165"/>
      <c r="ADG34" s="166"/>
      <c r="ADH34" s="166"/>
      <c r="ADI34" s="166"/>
      <c r="ADJ34" s="166"/>
      <c r="ADK34" s="167"/>
      <c r="ADL34" s="166"/>
      <c r="ADM34" s="166"/>
      <c r="ADN34" s="166"/>
      <c r="ADO34" s="166"/>
      <c r="ADP34" s="166"/>
      <c r="ADQ34" s="168"/>
      <c r="ADR34" s="166"/>
      <c r="ADS34" s="166"/>
      <c r="ADT34" s="166"/>
      <c r="ADU34" s="166"/>
      <c r="ADV34" s="166"/>
      <c r="ADW34" s="169"/>
      <c r="ADX34" s="166"/>
      <c r="ADY34" s="166"/>
      <c r="ADZ34" s="166"/>
      <c r="AEA34" s="166"/>
      <c r="AEB34" s="166"/>
      <c r="AEC34" s="168"/>
      <c r="AED34" s="166"/>
      <c r="AEE34" s="166"/>
      <c r="AEF34" s="166"/>
      <c r="AEG34" s="166"/>
      <c r="AEH34" s="166"/>
      <c r="AEI34" s="169"/>
      <c r="AEJ34" s="166"/>
      <c r="AEK34" s="166"/>
      <c r="AEL34" s="166"/>
      <c r="AEM34" s="166"/>
      <c r="AEN34" s="166"/>
      <c r="AEO34" s="168"/>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166"/>
      <c r="AKI34" s="167"/>
      <c r="AKJ34" s="166"/>
      <c r="AKK34" s="166"/>
      <c r="AKL34" s="166"/>
      <c r="AKM34" s="166"/>
      <c r="AKN34" s="166"/>
      <c r="AKO34" s="168"/>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174"/>
      <c r="BJO34" s="4"/>
      <c r="BJP34" s="4"/>
      <c r="BJQ34" s="4"/>
      <c r="BJR34" s="4"/>
      <c r="BJS34" s="4"/>
      <c r="BJT34" s="4"/>
      <c r="BJU34" s="4"/>
      <c r="BJV34" s="4"/>
      <c r="BJW34" s="4"/>
      <c r="BJX34" s="4"/>
      <c r="BJY34" s="4"/>
      <c r="BJZ34" s="4"/>
      <c r="BKA34" s="4"/>
      <c r="BKB34" s="4"/>
      <c r="BKC34" s="4"/>
      <c r="BKD34" s="4"/>
      <c r="BKE34" s="4"/>
      <c r="BKF34" s="4"/>
      <c r="BKG34" s="4"/>
      <c r="BKH34" s="4"/>
      <c r="BKI34" s="4"/>
      <c r="BKJ34" s="4"/>
      <c r="BKK34" s="4"/>
      <c r="BKL34" s="4"/>
      <c r="BKM34" s="4"/>
      <c r="BKN34" s="4"/>
    </row>
    <row r="35" spans="1:1652" ht="20.100000000000001" customHeight="1" x14ac:dyDescent="0.25">
      <c r="A35" s="84" t="s">
        <v>19</v>
      </c>
      <c r="B35" s="53" t="str">
        <f>IF(LEN(C55)=0,"",C55)</f>
        <v/>
      </c>
      <c r="C35" s="177" t="s">
        <v>51</v>
      </c>
      <c r="D35" s="129" t="str">
        <f t="shared" si="0"/>
        <v>3h25min</v>
      </c>
      <c r="E35" s="34">
        <v>41</v>
      </c>
      <c r="F35" s="241"/>
      <c r="G35" s="242"/>
      <c r="H35" s="242"/>
      <c r="I35" s="242"/>
      <c r="J35" s="242"/>
      <c r="K35" s="243"/>
      <c r="L35" s="242"/>
      <c r="M35" s="242"/>
      <c r="N35" s="242"/>
      <c r="O35" s="242"/>
      <c r="P35" s="242"/>
      <c r="Q35" s="244"/>
      <c r="R35" s="242"/>
      <c r="S35" s="242"/>
      <c r="T35" s="242"/>
      <c r="U35" s="242"/>
      <c r="V35" s="242"/>
      <c r="W35" s="245"/>
      <c r="X35" s="242"/>
      <c r="Y35" s="242"/>
      <c r="Z35" s="242"/>
      <c r="AA35" s="242"/>
      <c r="AB35" s="242"/>
      <c r="AC35" s="244"/>
      <c r="AD35" s="242"/>
      <c r="AE35" s="242"/>
      <c r="AF35" s="242"/>
      <c r="AG35" s="242"/>
      <c r="AH35" s="242"/>
      <c r="AI35" s="245"/>
      <c r="AJ35" s="242"/>
      <c r="AK35" s="242"/>
      <c r="AL35" s="242"/>
      <c r="AM35" s="242"/>
      <c r="AN35" s="242"/>
      <c r="AO35" s="244"/>
      <c r="AP35" s="242"/>
      <c r="AQ35" s="242"/>
      <c r="AR35" s="242"/>
      <c r="AS35" s="242"/>
      <c r="AT35" s="242"/>
      <c r="AU35" s="245"/>
      <c r="AV35" s="242"/>
      <c r="AW35" s="242"/>
      <c r="AX35" s="242"/>
      <c r="AY35" s="242"/>
      <c r="AZ35" s="242"/>
      <c r="BA35" s="244"/>
      <c r="BB35" s="242"/>
      <c r="BC35" s="242"/>
      <c r="BD35" s="242"/>
      <c r="BE35" s="242"/>
      <c r="BF35" s="242"/>
      <c r="BG35" s="245"/>
      <c r="BH35" s="242"/>
      <c r="BI35" s="242"/>
      <c r="BJ35" s="242"/>
      <c r="BK35" s="242"/>
      <c r="BL35" s="242"/>
      <c r="BM35" s="246"/>
      <c r="BN35" s="241"/>
      <c r="BO35" s="242"/>
      <c r="BP35" s="242"/>
      <c r="BQ35" s="242"/>
      <c r="BR35" s="242"/>
      <c r="BS35" s="243"/>
      <c r="BT35" s="242"/>
      <c r="BU35" s="242"/>
      <c r="BV35" s="242"/>
      <c r="BW35" s="242"/>
      <c r="BX35" s="242"/>
      <c r="BY35" s="244"/>
      <c r="BZ35" s="242"/>
      <c r="CA35" s="242"/>
      <c r="CB35" s="242"/>
      <c r="CC35" s="242"/>
      <c r="CD35" s="242"/>
      <c r="CE35" s="245"/>
      <c r="CF35" s="242"/>
      <c r="CG35" s="242"/>
      <c r="CH35" s="242"/>
      <c r="CI35" s="242"/>
      <c r="CJ35" s="242"/>
      <c r="CK35" s="244"/>
      <c r="CL35" s="242"/>
      <c r="CM35" s="242"/>
      <c r="CN35" s="242"/>
      <c r="CO35" s="242"/>
      <c r="CP35" s="242"/>
      <c r="CQ35" s="245"/>
      <c r="CR35" s="242"/>
      <c r="CS35" s="242"/>
      <c r="CT35" s="242"/>
      <c r="CU35" s="242"/>
      <c r="CV35" s="242"/>
      <c r="CW35" s="244"/>
      <c r="CX35" s="242"/>
      <c r="CY35" s="242"/>
      <c r="CZ35" s="242"/>
      <c r="DA35" s="242"/>
      <c r="DB35" s="242"/>
      <c r="DC35" s="245"/>
      <c r="DD35" s="242"/>
      <c r="DE35" s="242"/>
      <c r="DF35" s="242"/>
      <c r="DG35" s="242"/>
      <c r="DH35" s="242"/>
      <c r="DI35" s="244"/>
      <c r="DJ35" s="242"/>
      <c r="DK35" s="242"/>
      <c r="DL35" s="242"/>
      <c r="DM35" s="242"/>
      <c r="DN35" s="242"/>
      <c r="DO35" s="245"/>
      <c r="DP35" s="242"/>
      <c r="DQ35" s="242"/>
      <c r="DR35" s="242"/>
      <c r="DS35" s="242"/>
      <c r="DT35" s="242"/>
      <c r="DU35" s="246"/>
      <c r="DV35" s="241"/>
      <c r="DW35" s="242"/>
      <c r="DX35" s="242"/>
      <c r="DY35" s="242"/>
      <c r="DZ35" s="242"/>
      <c r="EA35" s="243"/>
      <c r="EB35" s="242"/>
      <c r="EC35" s="242"/>
      <c r="ED35" s="242"/>
      <c r="EE35" s="242"/>
      <c r="EF35" s="242"/>
      <c r="EG35" s="244"/>
      <c r="EH35" s="242"/>
      <c r="EI35" s="242"/>
      <c r="EJ35" s="242"/>
      <c r="EK35" s="242"/>
      <c r="EL35" s="242"/>
      <c r="EM35" s="245"/>
      <c r="EN35" s="242"/>
      <c r="EO35" s="242"/>
      <c r="EP35" s="242"/>
      <c r="EQ35" s="242"/>
      <c r="ER35" s="242"/>
      <c r="ES35" s="244"/>
      <c r="ET35" s="242"/>
      <c r="EU35" s="242"/>
      <c r="EV35" s="242"/>
      <c r="EW35" s="242"/>
      <c r="EX35" s="242"/>
      <c r="EY35" s="245"/>
      <c r="EZ35" s="242"/>
      <c r="FA35" s="242"/>
      <c r="FB35" s="242"/>
      <c r="FC35" s="242"/>
      <c r="FD35" s="242"/>
      <c r="FE35" s="244"/>
      <c r="FF35" s="242"/>
      <c r="FG35" s="242"/>
      <c r="FH35" s="242"/>
      <c r="FI35" s="242"/>
      <c r="FJ35" s="242"/>
      <c r="FK35" s="245"/>
      <c r="FL35" s="242"/>
      <c r="FM35" s="242"/>
      <c r="FN35" s="242"/>
      <c r="FO35" s="242"/>
      <c r="FP35" s="242"/>
      <c r="FQ35" s="244"/>
      <c r="FR35" s="242"/>
      <c r="FS35" s="242"/>
      <c r="FT35" s="242"/>
      <c r="FU35" s="242"/>
      <c r="FV35" s="242"/>
      <c r="FW35" s="245"/>
      <c r="FX35" s="242"/>
      <c r="FY35" s="242"/>
      <c r="FZ35" s="242"/>
      <c r="GA35" s="242"/>
      <c r="GB35" s="242"/>
      <c r="GC35" s="246"/>
      <c r="GD35" s="241"/>
      <c r="GE35" s="242"/>
      <c r="GF35" s="242"/>
      <c r="GG35" s="242"/>
      <c r="GH35" s="242"/>
      <c r="GI35" s="243"/>
      <c r="GJ35" s="242"/>
      <c r="GK35" s="242"/>
      <c r="GL35" s="242"/>
      <c r="GM35" s="242"/>
      <c r="GN35" s="242"/>
      <c r="GO35" s="244"/>
      <c r="GP35" s="242"/>
      <c r="GQ35" s="242"/>
      <c r="GR35" s="242"/>
      <c r="GS35" s="242"/>
      <c r="GT35" s="242"/>
      <c r="GU35" s="245"/>
      <c r="GV35" s="242"/>
      <c r="GW35" s="242"/>
      <c r="GX35" s="242"/>
      <c r="GY35" s="242"/>
      <c r="GZ35" s="242"/>
      <c r="HA35" s="244"/>
      <c r="HB35" s="242"/>
      <c r="HC35" s="242"/>
      <c r="HD35" s="242"/>
      <c r="HE35" s="242"/>
      <c r="HF35" s="242"/>
      <c r="HG35" s="245"/>
      <c r="HH35" s="242"/>
      <c r="HI35" s="242"/>
      <c r="HJ35" s="242"/>
      <c r="HK35" s="242"/>
      <c r="HL35" s="242"/>
      <c r="HM35" s="244"/>
      <c r="HN35" s="242"/>
      <c r="HO35" s="242"/>
      <c r="HP35" s="242"/>
      <c r="HQ35" s="242"/>
      <c r="HR35" s="242"/>
      <c r="HS35" s="245"/>
      <c r="HT35" s="242"/>
      <c r="HU35" s="242"/>
      <c r="HV35" s="242"/>
      <c r="HW35" s="242"/>
      <c r="HX35" s="242"/>
      <c r="HY35" s="244"/>
      <c r="HZ35" s="242"/>
      <c r="IA35" s="242"/>
      <c r="IB35" s="242"/>
      <c r="IC35" s="242"/>
      <c r="ID35" s="242"/>
      <c r="IE35" s="245"/>
      <c r="IF35" s="242"/>
      <c r="IG35" s="242"/>
      <c r="IH35" s="242"/>
      <c r="II35" s="242"/>
      <c r="IJ35" s="242"/>
      <c r="IK35" s="246"/>
      <c r="IL35" s="241"/>
      <c r="IM35" s="242"/>
      <c r="IN35" s="242"/>
      <c r="IO35" s="242"/>
      <c r="IP35" s="242"/>
      <c r="IQ35" s="243"/>
      <c r="IR35" s="242"/>
      <c r="IS35" s="242"/>
      <c r="IT35" s="242"/>
      <c r="IU35" s="242"/>
      <c r="IV35" s="242"/>
      <c r="IW35" s="244"/>
      <c r="IX35" s="242"/>
      <c r="IY35" s="242"/>
      <c r="IZ35" s="242"/>
      <c r="JA35" s="242"/>
      <c r="JB35" s="242"/>
      <c r="JC35" s="245"/>
      <c r="JD35" s="242"/>
      <c r="JE35" s="242"/>
      <c r="JF35" s="242"/>
      <c r="JG35" s="242"/>
      <c r="JH35" s="242"/>
      <c r="JI35" s="244"/>
      <c r="JJ35" s="242"/>
      <c r="JK35" s="242"/>
      <c r="JL35" s="242"/>
      <c r="JM35" s="242"/>
      <c r="JN35" s="242"/>
      <c r="JO35" s="245"/>
      <c r="JP35" s="242"/>
      <c r="JQ35" s="242"/>
      <c r="JR35" s="242"/>
      <c r="JS35" s="242"/>
      <c r="JT35" s="242"/>
      <c r="JU35" s="244"/>
      <c r="JV35" s="242"/>
      <c r="JW35" s="242"/>
      <c r="JX35" s="242"/>
      <c r="JY35" s="242"/>
      <c r="JZ35" s="242"/>
      <c r="KA35" s="245"/>
      <c r="KB35" s="242"/>
      <c r="KC35" s="242"/>
      <c r="KD35" s="242"/>
      <c r="KE35" s="242"/>
      <c r="KF35" s="242"/>
      <c r="KG35" s="244"/>
      <c r="KH35" s="242"/>
      <c r="KI35" s="242"/>
      <c r="KJ35" s="242"/>
      <c r="KK35" s="242"/>
      <c r="KL35" s="242"/>
      <c r="KM35" s="245"/>
      <c r="KN35" s="242"/>
      <c r="KO35" s="242"/>
      <c r="KP35" s="242"/>
      <c r="KQ35" s="242"/>
      <c r="KR35" s="242"/>
      <c r="KS35" s="246"/>
      <c r="KT35" s="241"/>
      <c r="KU35" s="242"/>
      <c r="KV35" s="242"/>
      <c r="KW35" s="242"/>
      <c r="KX35" s="242"/>
      <c r="KY35" s="243"/>
      <c r="KZ35" s="242"/>
      <c r="LA35" s="242"/>
      <c r="LB35" s="242"/>
      <c r="LC35" s="242"/>
      <c r="LD35" s="242"/>
      <c r="LE35" s="244"/>
      <c r="LF35" s="242"/>
      <c r="LG35" s="242"/>
      <c r="LH35" s="242"/>
      <c r="LI35" s="242"/>
      <c r="LJ35" s="242"/>
      <c r="LK35" s="245"/>
      <c r="LL35" s="242"/>
      <c r="LM35" s="242"/>
      <c r="LN35" s="242"/>
      <c r="LO35" s="242"/>
      <c r="LP35" s="242"/>
      <c r="LQ35" s="244"/>
      <c r="LR35" s="242"/>
      <c r="LS35" s="242"/>
      <c r="LT35" s="242"/>
      <c r="LU35" s="242"/>
      <c r="LV35" s="242"/>
      <c r="LW35" s="245"/>
      <c r="LX35" s="242"/>
      <c r="LY35" s="242"/>
      <c r="LZ35" s="242"/>
      <c r="MA35" s="242"/>
      <c r="MB35" s="242"/>
      <c r="MC35" s="244"/>
      <c r="MD35" s="242"/>
      <c r="ME35" s="242"/>
      <c r="MF35" s="242"/>
      <c r="MG35" s="242"/>
      <c r="MH35" s="242"/>
      <c r="MI35" s="245"/>
      <c r="MJ35" s="242"/>
      <c r="MK35" s="242"/>
      <c r="ML35" s="242"/>
      <c r="MM35" s="242"/>
      <c r="MN35" s="242"/>
      <c r="MO35" s="244"/>
      <c r="MP35" s="242"/>
      <c r="MQ35" s="242"/>
      <c r="MR35" s="242"/>
      <c r="MS35" s="242"/>
      <c r="MT35" s="242"/>
      <c r="MU35" s="245"/>
      <c r="MV35" s="242"/>
      <c r="MW35" s="242"/>
      <c r="MX35" s="242"/>
      <c r="MY35" s="242"/>
      <c r="MZ35" s="242"/>
      <c r="NA35" s="246"/>
      <c r="NB35" s="241"/>
      <c r="NC35" s="242"/>
      <c r="ND35" s="242"/>
      <c r="NE35" s="242"/>
      <c r="NF35" s="242"/>
      <c r="NG35" s="243"/>
      <c r="NH35" s="242"/>
      <c r="NI35" s="242"/>
      <c r="NJ35" s="242"/>
      <c r="NK35" s="242"/>
      <c r="NL35" s="242"/>
      <c r="NM35" s="244"/>
      <c r="NN35" s="242"/>
      <c r="NO35" s="242"/>
      <c r="NP35" s="242"/>
      <c r="NQ35" s="242"/>
      <c r="NR35" s="242"/>
      <c r="NS35" s="245"/>
      <c r="NT35" s="242"/>
      <c r="NU35" s="242"/>
      <c r="NV35" s="242"/>
      <c r="NW35" s="242"/>
      <c r="NX35" s="242"/>
      <c r="NY35" s="244"/>
      <c r="NZ35" s="242"/>
      <c r="OA35" s="242"/>
      <c r="OB35" s="242"/>
      <c r="OC35" s="242"/>
      <c r="OD35" s="242"/>
      <c r="OE35" s="245"/>
      <c r="OF35" s="242"/>
      <c r="OG35" s="242"/>
      <c r="OH35" s="242"/>
      <c r="OI35" s="242"/>
      <c r="OJ35" s="242"/>
      <c r="OK35" s="244"/>
      <c r="OL35" s="242"/>
      <c r="OM35" s="242"/>
      <c r="ON35" s="242"/>
      <c r="OO35" s="242"/>
      <c r="OP35" s="242"/>
      <c r="OQ35" s="245"/>
      <c r="OR35" s="242"/>
      <c r="OS35" s="242"/>
      <c r="OT35" s="242"/>
      <c r="OU35" s="242"/>
      <c r="OV35" s="242"/>
      <c r="OW35" s="244"/>
      <c r="OX35" s="242"/>
      <c r="OY35" s="242"/>
      <c r="OZ35" s="242"/>
      <c r="PA35" s="242"/>
      <c r="PB35" s="242"/>
      <c r="PC35" s="245"/>
      <c r="PD35" s="242"/>
      <c r="PE35" s="242"/>
      <c r="PF35" s="242"/>
      <c r="PG35" s="242"/>
      <c r="PH35" s="242"/>
      <c r="PI35" s="246"/>
      <c r="PJ35" s="241"/>
      <c r="PK35" s="242"/>
      <c r="PL35" s="242"/>
      <c r="PM35" s="242"/>
      <c r="PN35" s="242"/>
      <c r="PO35" s="243"/>
      <c r="PP35" s="242"/>
      <c r="PQ35" s="242"/>
      <c r="PR35" s="242"/>
      <c r="PS35" s="242"/>
      <c r="PT35" s="242"/>
      <c r="PU35" s="244"/>
      <c r="PV35" s="242"/>
      <c r="PW35" s="242"/>
      <c r="PX35" s="242"/>
      <c r="PY35" s="242"/>
      <c r="PZ35" s="242"/>
      <c r="QA35" s="245"/>
      <c r="QB35" s="242"/>
      <c r="QC35" s="242"/>
      <c r="QD35" s="242"/>
      <c r="QE35" s="242"/>
      <c r="QF35" s="242"/>
      <c r="QG35" s="244"/>
      <c r="QH35" s="242"/>
      <c r="QI35" s="242"/>
      <c r="QJ35" s="242"/>
      <c r="QK35" s="242"/>
      <c r="QL35" s="242"/>
      <c r="QM35" s="245"/>
      <c r="QN35" s="242"/>
      <c r="QO35" s="242"/>
      <c r="QP35" s="242"/>
      <c r="QQ35" s="242"/>
      <c r="QR35" s="242"/>
      <c r="QS35" s="244"/>
      <c r="QT35" s="242"/>
      <c r="QU35" s="242"/>
      <c r="QV35" s="242"/>
      <c r="QW35" s="242"/>
      <c r="QX35" s="242"/>
      <c r="QY35" s="245"/>
      <c r="QZ35" s="242"/>
      <c r="RA35" s="242"/>
      <c r="RB35" s="242"/>
      <c r="RC35" s="242"/>
      <c r="RD35" s="242"/>
      <c r="RE35" s="244"/>
      <c r="RF35" s="242"/>
      <c r="RG35" s="242"/>
      <c r="RH35" s="242"/>
      <c r="RI35" s="242"/>
      <c r="RJ35" s="242"/>
      <c r="RK35" s="245"/>
      <c r="RL35" s="242"/>
      <c r="RM35" s="242"/>
      <c r="RN35" s="242"/>
      <c r="RO35" s="242"/>
      <c r="RP35" s="242"/>
      <c r="RQ35" s="246"/>
      <c r="RR35" s="241"/>
      <c r="RS35" s="242"/>
      <c r="RT35" s="242"/>
      <c r="RU35" s="242"/>
      <c r="RV35" s="242"/>
      <c r="RW35" s="243"/>
      <c r="RX35" s="242"/>
      <c r="RY35" s="242"/>
      <c r="RZ35" s="242"/>
      <c r="SA35" s="242"/>
      <c r="SB35" s="242"/>
      <c r="SC35" s="244"/>
      <c r="SD35" s="242"/>
      <c r="SE35" s="242"/>
      <c r="SF35" s="242"/>
      <c r="SG35" s="242"/>
      <c r="SH35" s="242"/>
      <c r="SI35" s="245"/>
      <c r="SJ35" s="242"/>
      <c r="SK35" s="242"/>
      <c r="SL35" s="242"/>
      <c r="SM35" s="242"/>
      <c r="SN35" s="242"/>
      <c r="SO35" s="244"/>
      <c r="SP35" s="242"/>
      <c r="SQ35" s="242"/>
      <c r="SR35" s="242"/>
      <c r="SS35" s="242"/>
      <c r="ST35" s="242"/>
      <c r="SU35" s="245"/>
      <c r="SV35" s="242"/>
      <c r="SW35" s="242"/>
      <c r="SX35" s="242"/>
      <c r="SY35" s="242"/>
      <c r="SZ35" s="242"/>
      <c r="TA35" s="244"/>
      <c r="TB35" s="242"/>
      <c r="TC35" s="242"/>
      <c r="TD35" s="242"/>
      <c r="TE35" s="242"/>
      <c r="TF35" s="242"/>
      <c r="TG35" s="245"/>
      <c r="TH35" s="242"/>
      <c r="TI35" s="242"/>
      <c r="TJ35" s="242"/>
      <c r="TK35" s="242"/>
      <c r="TL35" s="242"/>
      <c r="TM35" s="244"/>
      <c r="TN35" s="242"/>
      <c r="TO35" s="242"/>
      <c r="TP35" s="242"/>
      <c r="TQ35" s="242"/>
      <c r="TR35" s="242"/>
      <c r="TS35" s="245"/>
      <c r="TT35" s="242"/>
      <c r="TU35" s="242"/>
      <c r="TV35" s="242"/>
      <c r="TW35" s="242"/>
      <c r="TX35" s="242"/>
      <c r="TY35" s="246"/>
      <c r="TZ35" s="241"/>
      <c r="UA35" s="242"/>
      <c r="UB35" s="242"/>
      <c r="UC35" s="242"/>
      <c r="UD35" s="242"/>
      <c r="UE35" s="243"/>
      <c r="UF35" s="242"/>
      <c r="UG35" s="242"/>
      <c r="UH35" s="242"/>
      <c r="UI35" s="242"/>
      <c r="UJ35" s="242"/>
      <c r="UK35" s="244"/>
      <c r="UL35" s="242"/>
      <c r="UM35" s="242"/>
      <c r="UN35" s="242"/>
      <c r="UO35" s="242"/>
      <c r="UP35" s="242"/>
      <c r="UQ35" s="245"/>
      <c r="UR35" s="242"/>
      <c r="US35" s="153"/>
      <c r="UT35" s="153"/>
      <c r="UU35" s="153"/>
      <c r="UV35" s="153"/>
      <c r="UW35" s="154"/>
      <c r="UX35" s="153"/>
      <c r="UY35" s="153"/>
      <c r="UZ35" s="153"/>
      <c r="VA35" s="153"/>
      <c r="VB35" s="153"/>
      <c r="VC35" s="156"/>
      <c r="VD35" s="153"/>
      <c r="VE35" s="153"/>
      <c r="VF35" s="153"/>
      <c r="VG35" s="153"/>
      <c r="VH35" s="153"/>
      <c r="VI35" s="154"/>
      <c r="VJ35" s="153"/>
      <c r="VK35" s="153"/>
      <c r="VL35" s="153"/>
      <c r="VM35" s="153"/>
      <c r="VN35" s="153"/>
      <c r="VO35" s="156"/>
      <c r="VP35" s="153"/>
      <c r="VQ35" s="153"/>
      <c r="VR35" s="153"/>
      <c r="VS35" s="153"/>
      <c r="VT35" s="242"/>
      <c r="VU35" s="244"/>
      <c r="VV35" s="242"/>
      <c r="VW35" s="242"/>
      <c r="VX35" s="242"/>
      <c r="VY35" s="242"/>
      <c r="VZ35" s="242"/>
      <c r="WA35" s="245"/>
      <c r="WB35" s="242"/>
      <c r="WC35" s="242"/>
      <c r="WD35" s="242"/>
      <c r="WE35" s="242"/>
      <c r="WF35" s="242"/>
      <c r="WG35" s="246"/>
      <c r="WH35" s="148"/>
      <c r="WI35" s="153"/>
      <c r="WJ35" s="153"/>
      <c r="WK35" s="153"/>
      <c r="WL35" s="153"/>
      <c r="WM35" s="155"/>
      <c r="WN35" s="153"/>
      <c r="WO35" s="153"/>
      <c r="WP35" s="153"/>
      <c r="WQ35" s="153"/>
      <c r="WR35" s="153"/>
      <c r="WS35" s="154"/>
      <c r="WT35" s="153"/>
      <c r="WU35" s="153"/>
      <c r="WV35" s="242"/>
      <c r="WW35" s="242"/>
      <c r="WX35" s="242"/>
      <c r="WY35" s="245"/>
      <c r="WZ35" s="242"/>
      <c r="XA35" s="242"/>
      <c r="XB35" s="242"/>
      <c r="XC35" s="242"/>
      <c r="XD35" s="242"/>
      <c r="XE35" s="244"/>
      <c r="XF35" s="242"/>
      <c r="XG35" s="242"/>
      <c r="XH35" s="242"/>
      <c r="XI35" s="242"/>
      <c r="XJ35" s="242"/>
      <c r="XK35" s="245"/>
      <c r="XL35" s="242"/>
      <c r="XM35" s="242"/>
      <c r="XN35" s="242"/>
      <c r="XO35" s="242"/>
      <c r="XP35" s="242"/>
      <c r="XQ35" s="244"/>
      <c r="XR35" s="242"/>
      <c r="XS35" s="242"/>
      <c r="XT35" s="242"/>
      <c r="XU35" s="242"/>
      <c r="XV35" s="242"/>
      <c r="XW35" s="245"/>
      <c r="XX35" s="242"/>
      <c r="XY35" s="242"/>
      <c r="XZ35" s="242"/>
      <c r="YA35" s="242"/>
      <c r="YB35" s="242"/>
      <c r="YC35" s="244"/>
      <c r="YD35" s="242"/>
      <c r="YE35" s="242"/>
      <c r="YF35" s="242"/>
      <c r="YG35" s="242"/>
      <c r="YH35" s="242"/>
      <c r="YI35" s="245"/>
      <c r="YJ35" s="242"/>
      <c r="YK35" s="242"/>
      <c r="YL35" s="242"/>
      <c r="YM35" s="242"/>
      <c r="YN35" s="242"/>
      <c r="YO35" s="246"/>
      <c r="YP35" s="241"/>
      <c r="YQ35" s="242"/>
      <c r="YR35" s="242"/>
      <c r="YS35" s="242"/>
      <c r="YT35" s="242"/>
      <c r="YU35" s="243"/>
      <c r="YV35" s="242"/>
      <c r="YW35" s="242"/>
      <c r="YX35" s="242"/>
      <c r="YY35" s="242"/>
      <c r="YZ35" s="242"/>
      <c r="ZA35" s="244"/>
      <c r="ZB35" s="242"/>
      <c r="ZC35" s="242"/>
      <c r="ZD35" s="242"/>
      <c r="ZE35" s="242"/>
      <c r="ZF35" s="242"/>
      <c r="ZG35" s="245"/>
      <c r="ZH35" s="242"/>
      <c r="ZI35" s="242"/>
      <c r="ZJ35" s="242"/>
      <c r="ZK35" s="242"/>
      <c r="ZL35" s="242"/>
      <c r="ZM35" s="244"/>
      <c r="ZN35" s="242"/>
      <c r="ZO35" s="242"/>
      <c r="ZP35" s="242"/>
      <c r="ZQ35" s="242"/>
      <c r="ZR35" s="242"/>
      <c r="ZS35" s="245"/>
      <c r="ZT35" s="242"/>
      <c r="ZU35" s="242"/>
      <c r="ZV35" s="242"/>
      <c r="ZW35" s="242"/>
      <c r="ZX35" s="242"/>
      <c r="ZY35" s="244"/>
      <c r="ZZ35" s="242"/>
      <c r="AAA35" s="242"/>
      <c r="AAB35" s="242"/>
      <c r="AAC35" s="242"/>
      <c r="AAD35" s="242"/>
      <c r="AAE35" s="245"/>
      <c r="AAF35" s="242"/>
      <c r="AAG35" s="242"/>
      <c r="AAH35" s="242"/>
      <c r="AAI35" s="242"/>
      <c r="AAJ35" s="242"/>
      <c r="AAK35" s="244"/>
      <c r="AAL35" s="242"/>
      <c r="AAM35" s="242"/>
      <c r="AAN35" s="242"/>
      <c r="AAO35" s="242"/>
      <c r="AAP35" s="242"/>
      <c r="AAQ35" s="245"/>
      <c r="AAR35" s="242"/>
      <c r="AAS35" s="242"/>
      <c r="AAT35" s="242"/>
      <c r="AAU35" s="242"/>
      <c r="AAV35" s="242"/>
      <c r="AAW35" s="246"/>
      <c r="AAX35" s="241"/>
      <c r="AAY35" s="242"/>
      <c r="AAZ35" s="242"/>
      <c r="ABA35" s="242"/>
      <c r="ABB35" s="242"/>
      <c r="ABC35" s="243"/>
      <c r="ABD35" s="242"/>
      <c r="ABE35" s="242"/>
      <c r="ABF35" s="242"/>
      <c r="ABG35" s="242"/>
      <c r="ABH35" s="242"/>
      <c r="ABI35" s="244"/>
      <c r="ABJ35" s="242"/>
      <c r="ABK35" s="242"/>
      <c r="ABL35" s="242"/>
      <c r="ABM35" s="242"/>
      <c r="ABN35" s="242"/>
      <c r="ABO35" s="245"/>
      <c r="ABP35" s="242"/>
      <c r="ABQ35" s="242"/>
      <c r="ABR35" s="242"/>
      <c r="ABS35" s="242"/>
      <c r="ABT35" s="242"/>
      <c r="ABU35" s="244"/>
      <c r="ABV35" s="242"/>
      <c r="ABW35" s="242"/>
      <c r="ABX35" s="242"/>
      <c r="ABY35" s="242"/>
      <c r="ABZ35" s="242"/>
      <c r="ACA35" s="245"/>
      <c r="ACB35" s="242"/>
      <c r="ACC35" s="242"/>
      <c r="ACD35" s="242"/>
      <c r="ACE35" s="242"/>
      <c r="ACF35" s="242"/>
      <c r="ACG35" s="244"/>
      <c r="ACH35" s="242"/>
      <c r="ACI35" s="242"/>
      <c r="ACJ35" s="242"/>
      <c r="ACK35" s="242"/>
      <c r="ACL35" s="242"/>
      <c r="ACM35" s="245"/>
      <c r="ACN35" s="242"/>
      <c r="ACO35" s="242"/>
      <c r="ACP35" s="242"/>
      <c r="ACQ35" s="242"/>
      <c r="ACR35" s="242"/>
      <c r="ACS35" s="244"/>
      <c r="ACT35" s="242"/>
      <c r="ACU35" s="242"/>
      <c r="ACV35" s="242"/>
      <c r="ACW35" s="242"/>
      <c r="ACX35" s="242"/>
      <c r="ACY35" s="245"/>
      <c r="ACZ35" s="242"/>
      <c r="ADA35" s="242"/>
      <c r="ADB35" s="242"/>
      <c r="ADC35" s="242"/>
      <c r="ADD35" s="242"/>
      <c r="ADE35" s="246"/>
      <c r="ADF35" s="241"/>
      <c r="ADG35" s="242"/>
      <c r="ADH35" s="242"/>
      <c r="ADI35" s="242"/>
      <c r="ADJ35" s="242"/>
      <c r="ADK35" s="243"/>
      <c r="ADL35" s="242"/>
      <c r="ADM35" s="242"/>
      <c r="ADN35" s="242"/>
      <c r="ADO35" s="242"/>
      <c r="ADP35" s="242"/>
      <c r="ADQ35" s="244"/>
      <c r="ADR35" s="242"/>
      <c r="ADS35" s="242"/>
      <c r="ADT35" s="242"/>
      <c r="ADU35" s="242"/>
      <c r="ADV35" s="242"/>
      <c r="ADW35" s="245"/>
      <c r="ADX35" s="242"/>
      <c r="ADY35" s="242"/>
      <c r="ADZ35" s="242"/>
      <c r="AEA35" s="242"/>
      <c r="AEB35" s="242"/>
      <c r="AEC35" s="244"/>
      <c r="AED35" s="242"/>
      <c r="AEE35" s="242"/>
      <c r="AEF35" s="242"/>
      <c r="AEG35" s="242"/>
      <c r="AEH35" s="242"/>
      <c r="AEI35" s="245"/>
      <c r="AEJ35" s="242"/>
      <c r="AEK35" s="242"/>
      <c r="AEL35" s="242"/>
      <c r="AEM35" s="242"/>
      <c r="AEN35" s="242"/>
      <c r="AEO35" s="244"/>
      <c r="AEP35" s="242"/>
      <c r="AEQ35" s="242"/>
      <c r="AER35" s="242"/>
      <c r="AES35" s="242"/>
      <c r="AET35" s="242"/>
      <c r="AEU35" s="245"/>
      <c r="AEV35" s="242"/>
      <c r="AEW35" s="242"/>
      <c r="AEX35" s="242"/>
      <c r="AEY35" s="242"/>
      <c r="AEZ35" s="242"/>
      <c r="AFA35" s="244"/>
      <c r="AFB35" s="242"/>
      <c r="AFC35" s="242"/>
      <c r="AFD35" s="242"/>
      <c r="AFE35" s="242"/>
      <c r="AFF35" s="242"/>
      <c r="AFG35" s="245"/>
      <c r="AFH35" s="242"/>
      <c r="AFI35" s="242"/>
      <c r="AFJ35" s="242"/>
      <c r="AFK35" s="242"/>
      <c r="AFL35" s="242"/>
      <c r="AFM35" s="246"/>
      <c r="AFN35" s="241"/>
      <c r="AFO35" s="242"/>
      <c r="AFP35" s="242"/>
      <c r="AFQ35" s="242"/>
      <c r="AFR35" s="242"/>
      <c r="AFS35" s="243"/>
      <c r="AFT35" s="242"/>
      <c r="AFU35" s="242"/>
      <c r="AFV35" s="242"/>
      <c r="AFW35" s="242"/>
      <c r="AFX35" s="242"/>
      <c r="AFY35" s="244"/>
      <c r="AFZ35" s="242"/>
      <c r="AGA35" s="242"/>
      <c r="AGB35" s="242"/>
      <c r="AGC35" s="242"/>
      <c r="AGD35" s="242"/>
      <c r="AGE35" s="245"/>
      <c r="AGF35" s="242"/>
      <c r="AGG35" s="242"/>
      <c r="AGH35" s="242"/>
      <c r="AGI35" s="242"/>
      <c r="AGJ35" s="242"/>
      <c r="AGK35" s="244"/>
      <c r="AGL35" s="242"/>
      <c r="AGM35" s="242"/>
      <c r="AGN35" s="242"/>
      <c r="AGO35" s="242"/>
      <c r="AGP35" s="242"/>
      <c r="AGQ35" s="245"/>
      <c r="AGR35" s="242"/>
      <c r="AGS35" s="242"/>
      <c r="AGT35" s="242"/>
      <c r="AGU35" s="242"/>
      <c r="AGV35" s="242"/>
      <c r="AGW35" s="244"/>
      <c r="AGX35" s="242"/>
      <c r="AGY35" s="242"/>
      <c r="AGZ35" s="242"/>
      <c r="AHA35" s="242"/>
      <c r="AHB35" s="242"/>
      <c r="AHC35" s="245"/>
      <c r="AHD35" s="242"/>
      <c r="AHE35" s="242"/>
      <c r="AHF35" s="242"/>
      <c r="AHG35" s="242"/>
      <c r="AHH35" s="242"/>
      <c r="AHI35" s="244"/>
      <c r="AHJ35" s="242"/>
      <c r="AHK35" s="242"/>
      <c r="AHL35" s="242"/>
      <c r="AHM35" s="242"/>
      <c r="AHN35" s="242"/>
      <c r="AHO35" s="245"/>
      <c r="AHP35" s="242"/>
      <c r="AHQ35" s="242"/>
      <c r="AHR35" s="242"/>
      <c r="AHS35" s="242"/>
      <c r="AHT35" s="242"/>
      <c r="AHU35" s="246"/>
      <c r="AHV35" s="241"/>
      <c r="AHW35" s="242"/>
      <c r="AHX35" s="242"/>
      <c r="AHY35" s="242"/>
      <c r="AHZ35" s="242"/>
      <c r="AIA35" s="243"/>
      <c r="AIB35" s="242"/>
      <c r="AIC35" s="242"/>
      <c r="AID35" s="242"/>
      <c r="AIE35" s="242"/>
      <c r="AIF35" s="242"/>
      <c r="AIG35" s="244"/>
      <c r="AIH35" s="242"/>
      <c r="AII35" s="242"/>
      <c r="AIJ35" s="242"/>
      <c r="AIK35" s="242"/>
      <c r="AIL35" s="242"/>
      <c r="AIM35" s="245"/>
      <c r="AIN35" s="242"/>
      <c r="AIO35" s="242"/>
      <c r="AIP35" s="242"/>
      <c r="AIQ35" s="242"/>
      <c r="AIR35" s="242"/>
      <c r="AIS35" s="244"/>
      <c r="AIT35" s="242"/>
      <c r="AIU35" s="242"/>
      <c r="AIV35" s="242"/>
      <c r="AIW35" s="242"/>
      <c r="AIX35" s="242"/>
      <c r="AIY35" s="245"/>
      <c r="AIZ35" s="242"/>
      <c r="AJA35" s="242"/>
      <c r="AJB35" s="242"/>
      <c r="AJC35" s="242"/>
      <c r="AJD35" s="242"/>
      <c r="AJE35" s="244"/>
      <c r="AJF35" s="242"/>
      <c r="AJG35" s="242"/>
      <c r="AJH35" s="242"/>
      <c r="AJI35" s="242"/>
      <c r="AJJ35" s="242"/>
      <c r="AJK35" s="245"/>
      <c r="AJL35" s="242"/>
      <c r="AJM35" s="242"/>
      <c r="AJN35" s="242"/>
      <c r="AJO35" s="242"/>
      <c r="AJP35" s="242"/>
      <c r="AJQ35" s="244"/>
      <c r="AJR35" s="242"/>
      <c r="AJS35" s="242"/>
      <c r="AJT35" s="242"/>
      <c r="AJU35" s="242"/>
      <c r="AJV35" s="242"/>
      <c r="AJW35" s="245"/>
      <c r="AJX35" s="242"/>
      <c r="AJY35" s="242"/>
      <c r="AJZ35" s="242"/>
      <c r="AKA35" s="242"/>
      <c r="AKB35" s="242"/>
      <c r="AKC35" s="246"/>
      <c r="AKD35" s="241"/>
      <c r="AKE35" s="242"/>
      <c r="AKF35" s="242"/>
      <c r="AKG35" s="242"/>
      <c r="AKH35" s="242"/>
      <c r="AKI35" s="243"/>
      <c r="AKJ35" s="242"/>
      <c r="AKK35" s="242"/>
      <c r="AKL35" s="242"/>
      <c r="AKM35" s="242"/>
      <c r="AKN35" s="242"/>
      <c r="AKO35" s="244"/>
      <c r="AKP35" s="242"/>
      <c r="AKQ35" s="242"/>
      <c r="AKR35" s="242"/>
      <c r="AKS35" s="242"/>
      <c r="AKT35" s="242"/>
      <c r="AKU35" s="245"/>
      <c r="AKV35" s="242"/>
      <c r="AKW35" s="242"/>
      <c r="AKX35" s="242"/>
      <c r="AKY35" s="242"/>
      <c r="AKZ35" s="242"/>
      <c r="ALA35" s="244"/>
      <c r="ALB35" s="242"/>
      <c r="ALC35" s="242"/>
      <c r="ALD35" s="242"/>
      <c r="ALE35" s="242"/>
      <c r="ALF35" s="242"/>
      <c r="ALG35" s="245"/>
      <c r="ALH35" s="242"/>
      <c r="ALI35" s="242"/>
      <c r="ALJ35" s="242"/>
      <c r="ALK35" s="242"/>
      <c r="ALL35" s="242"/>
      <c r="ALM35" s="244"/>
      <c r="ALN35" s="242"/>
      <c r="ALO35" s="242"/>
      <c r="ALP35" s="242"/>
      <c r="ALQ35" s="242"/>
      <c r="ALR35" s="242"/>
      <c r="ALS35" s="245"/>
      <c r="ALT35" s="242"/>
      <c r="ALU35" s="242"/>
      <c r="ALV35" s="242"/>
      <c r="ALW35" s="242"/>
      <c r="ALX35" s="242"/>
      <c r="ALY35" s="244"/>
      <c r="ALZ35" s="242"/>
      <c r="AMA35" s="242"/>
      <c r="AMB35" s="242"/>
      <c r="AMC35" s="242"/>
      <c r="AMD35" s="242"/>
      <c r="AME35" s="245"/>
      <c r="AMF35" s="242"/>
      <c r="AMG35" s="242"/>
      <c r="AMH35" s="242"/>
      <c r="AMI35" s="242"/>
      <c r="AMJ35" s="242"/>
      <c r="AMK35" s="246"/>
      <c r="AML35" s="241"/>
      <c r="AMM35" s="242"/>
      <c r="AMN35" s="242"/>
      <c r="AMO35" s="242"/>
      <c r="AMP35" s="242"/>
      <c r="AMQ35" s="243"/>
      <c r="AMR35" s="242"/>
      <c r="AMS35" s="242"/>
      <c r="AMT35" s="242"/>
      <c r="AMU35" s="242"/>
      <c r="AMV35" s="242"/>
      <c r="AMW35" s="244"/>
      <c r="AMX35" s="242"/>
      <c r="AMY35" s="242"/>
      <c r="AMZ35" s="242"/>
      <c r="ANA35" s="242"/>
      <c r="ANB35" s="242"/>
      <c r="ANC35" s="245"/>
      <c r="AND35" s="242"/>
      <c r="ANE35" s="242"/>
      <c r="ANF35" s="242"/>
      <c r="ANG35" s="242"/>
      <c r="ANH35" s="242"/>
      <c r="ANI35" s="244"/>
      <c r="ANJ35" s="242"/>
      <c r="ANK35" s="242"/>
      <c r="ANL35" s="242"/>
      <c r="ANM35" s="242"/>
      <c r="ANN35" s="242"/>
      <c r="ANO35" s="245"/>
      <c r="ANP35" s="242"/>
      <c r="ANQ35" s="242"/>
      <c r="ANR35" s="242"/>
      <c r="ANS35" s="242"/>
      <c r="ANT35" s="242"/>
      <c r="ANU35" s="244"/>
      <c r="ANV35" s="242"/>
      <c r="ANW35" s="242"/>
      <c r="ANX35" s="242"/>
      <c r="ANY35" s="242"/>
      <c r="ANZ35" s="242"/>
      <c r="AOA35" s="245"/>
      <c r="AOB35" s="242"/>
      <c r="AOC35" s="242"/>
      <c r="AOD35" s="242"/>
      <c r="AOE35" s="242"/>
      <c r="AOF35" s="242"/>
      <c r="AOG35" s="244"/>
      <c r="AOH35" s="242"/>
      <c r="AOI35" s="242"/>
      <c r="AOJ35" s="242"/>
      <c r="AOK35" s="242"/>
      <c r="AOL35" s="242"/>
      <c r="AOM35" s="245"/>
      <c r="AON35" s="242"/>
      <c r="AOO35" s="242"/>
      <c r="AOP35" s="242"/>
      <c r="AOQ35" s="242"/>
      <c r="AOR35" s="242"/>
      <c r="AOS35" s="246"/>
      <c r="AOT35" s="241"/>
      <c r="AOU35" s="242"/>
      <c r="AOV35" s="242"/>
      <c r="AOW35" s="242"/>
      <c r="AOX35" s="242"/>
      <c r="AOY35" s="243"/>
      <c r="AOZ35" s="242"/>
      <c r="APA35" s="242"/>
      <c r="APB35" s="242"/>
      <c r="APC35" s="242"/>
      <c r="APD35" s="242"/>
      <c r="APE35" s="244"/>
      <c r="APF35" s="242"/>
      <c r="APG35" s="242"/>
      <c r="APH35" s="242"/>
      <c r="API35" s="242"/>
      <c r="APJ35" s="242"/>
      <c r="APK35" s="245"/>
      <c r="APL35" s="242"/>
      <c r="APM35" s="242"/>
      <c r="APN35" s="242"/>
      <c r="APO35" s="242"/>
      <c r="APP35" s="242"/>
      <c r="APQ35" s="244"/>
      <c r="APR35" s="242"/>
      <c r="APS35" s="242"/>
      <c r="APT35" s="242"/>
      <c r="APU35" s="242"/>
      <c r="APV35" s="242"/>
      <c r="APW35" s="245"/>
      <c r="APX35" s="242"/>
      <c r="APY35" s="242"/>
      <c r="APZ35" s="242"/>
      <c r="AQA35" s="242"/>
      <c r="AQB35" s="242"/>
      <c r="AQC35" s="244"/>
      <c r="AQD35" s="242"/>
      <c r="AQE35" s="242"/>
      <c r="AQF35" s="242"/>
      <c r="AQG35" s="242"/>
      <c r="AQH35" s="242"/>
      <c r="AQI35" s="245"/>
      <c r="AQJ35" s="242"/>
      <c r="AQK35" s="242"/>
      <c r="AQL35" s="242"/>
      <c r="AQM35" s="242"/>
      <c r="AQN35" s="242"/>
      <c r="AQO35" s="244"/>
      <c r="AQP35" s="242"/>
      <c r="AQQ35" s="242"/>
      <c r="AQR35" s="242"/>
      <c r="AQS35" s="242"/>
      <c r="AQT35" s="242"/>
      <c r="AQU35" s="245"/>
      <c r="AQV35" s="242"/>
      <c r="AQW35" s="242"/>
      <c r="AQX35" s="242"/>
      <c r="AQY35" s="242"/>
      <c r="AQZ35" s="242"/>
      <c r="ARA35" s="246"/>
      <c r="ARB35" s="241"/>
      <c r="ARC35" s="242"/>
      <c r="ARD35" s="242"/>
      <c r="ARE35" s="242"/>
      <c r="ARF35" s="242"/>
      <c r="ARG35" s="243"/>
      <c r="ARH35" s="242"/>
      <c r="ARI35" s="242"/>
      <c r="ARJ35" s="242"/>
      <c r="ARK35" s="242"/>
      <c r="ARL35" s="242"/>
      <c r="ARM35" s="244"/>
      <c r="ARN35" s="242"/>
      <c r="ARO35" s="242"/>
      <c r="ARP35" s="242"/>
      <c r="ARQ35" s="242"/>
      <c r="ARR35" s="242"/>
      <c r="ARS35" s="245"/>
      <c r="ART35" s="242"/>
      <c r="ARU35" s="242"/>
      <c r="ARV35" s="242"/>
      <c r="ARW35" s="242"/>
      <c r="ARX35" s="242"/>
      <c r="ARY35" s="244"/>
      <c r="ARZ35" s="242"/>
      <c r="ASA35" s="242"/>
      <c r="ASB35" s="242"/>
      <c r="ASC35" s="242"/>
      <c r="ASD35" s="242"/>
      <c r="ASE35" s="245"/>
      <c r="ASF35" s="242"/>
      <c r="ASG35" s="242"/>
      <c r="ASH35" s="242"/>
      <c r="ASI35" s="242"/>
      <c r="ASJ35" s="242"/>
      <c r="ASK35" s="244"/>
      <c r="ASL35" s="242"/>
      <c r="ASM35" s="242"/>
      <c r="ASN35" s="242"/>
      <c r="ASO35" s="242"/>
      <c r="ASP35" s="242"/>
      <c r="ASQ35" s="245"/>
      <c r="ASR35" s="242"/>
      <c r="ASS35" s="242"/>
      <c r="AST35" s="242"/>
      <c r="ASU35" s="242"/>
      <c r="ASV35" s="242"/>
      <c r="ASW35" s="244"/>
      <c r="ASX35" s="242"/>
      <c r="ASY35" s="242"/>
      <c r="ASZ35" s="242"/>
      <c r="ATA35" s="242"/>
      <c r="ATB35" s="242"/>
      <c r="ATC35" s="245"/>
      <c r="ATD35" s="242"/>
      <c r="ATE35" s="242"/>
      <c r="ATF35" s="242"/>
      <c r="ATG35" s="242"/>
      <c r="ATH35" s="242"/>
      <c r="ATI35" s="246"/>
      <c r="ATJ35" s="241"/>
      <c r="ATK35" s="242"/>
      <c r="ATL35" s="242"/>
      <c r="ATM35" s="242"/>
      <c r="ATN35" s="242"/>
      <c r="ATO35" s="243"/>
      <c r="ATP35" s="242"/>
      <c r="ATQ35" s="242"/>
      <c r="ATR35" s="242"/>
      <c r="ATS35" s="242"/>
      <c r="ATT35" s="242"/>
      <c r="ATU35" s="244"/>
      <c r="ATV35" s="242"/>
      <c r="ATW35" s="242"/>
      <c r="ATX35" s="242"/>
      <c r="ATY35" s="242"/>
      <c r="ATZ35" s="242"/>
      <c r="AUA35" s="245"/>
      <c r="AUB35" s="242"/>
      <c r="AUC35" s="242"/>
      <c r="AUD35" s="242"/>
      <c r="AUE35" s="242"/>
      <c r="AUF35" s="242"/>
      <c r="AUG35" s="244"/>
      <c r="AUH35" s="242"/>
      <c r="AUI35" s="242"/>
      <c r="AUJ35" s="242"/>
      <c r="AUK35" s="242"/>
      <c r="AUL35" s="242"/>
      <c r="AUM35" s="245"/>
      <c r="AUN35" s="242"/>
      <c r="AUO35" s="242"/>
      <c r="AUP35" s="242"/>
      <c r="AUQ35" s="242"/>
      <c r="AUR35" s="242"/>
      <c r="AUS35" s="244"/>
      <c r="AUT35" s="242"/>
      <c r="AUU35" s="242"/>
      <c r="AUV35" s="242"/>
      <c r="AUW35" s="242"/>
      <c r="AUX35" s="242"/>
      <c r="AUY35" s="245"/>
      <c r="AUZ35" s="242"/>
      <c r="AVA35" s="242"/>
      <c r="AVB35" s="242"/>
      <c r="AVC35" s="242"/>
      <c r="AVD35" s="242"/>
      <c r="AVE35" s="244"/>
      <c r="AVF35" s="242"/>
      <c r="AVG35" s="242"/>
      <c r="AVH35" s="242"/>
      <c r="AVI35" s="242"/>
      <c r="AVJ35" s="242"/>
      <c r="AVK35" s="245"/>
      <c r="AVL35" s="242"/>
      <c r="AVM35" s="242"/>
      <c r="AVN35" s="242"/>
      <c r="AVO35" s="242"/>
      <c r="AVP35" s="242"/>
      <c r="AVQ35" s="246"/>
      <c r="AVR35" s="241"/>
      <c r="AVS35" s="242"/>
      <c r="AVT35" s="242"/>
      <c r="AVU35" s="242"/>
      <c r="AVV35" s="242"/>
      <c r="AVW35" s="243"/>
      <c r="AVX35" s="242"/>
      <c r="AVY35" s="242"/>
      <c r="AVZ35" s="242"/>
      <c r="AWA35" s="242"/>
      <c r="AWB35" s="242"/>
      <c r="AWC35" s="244"/>
      <c r="AWD35" s="242"/>
      <c r="AWE35" s="242"/>
      <c r="AWF35" s="242"/>
      <c r="AWG35" s="242"/>
      <c r="AWH35" s="242"/>
      <c r="AWI35" s="245"/>
      <c r="AWJ35" s="242"/>
      <c r="AWK35" s="242"/>
      <c r="AWL35" s="242"/>
      <c r="AWM35" s="242"/>
      <c r="AWN35" s="242"/>
      <c r="AWO35" s="244"/>
      <c r="AWP35" s="242"/>
      <c r="AWQ35" s="242"/>
      <c r="AWR35" s="242"/>
      <c r="AWS35" s="242"/>
      <c r="AWT35" s="242"/>
      <c r="AWU35" s="245"/>
      <c r="AWV35" s="242"/>
      <c r="AWW35" s="242"/>
      <c r="AWX35" s="242"/>
      <c r="AWY35" s="242"/>
      <c r="AWZ35" s="242"/>
      <c r="AXA35" s="244"/>
      <c r="AXB35" s="242"/>
      <c r="AXC35" s="242"/>
      <c r="AXD35" s="242"/>
      <c r="AXE35" s="242"/>
      <c r="AXF35" s="242"/>
      <c r="AXG35" s="245"/>
      <c r="AXH35" s="242"/>
      <c r="AXI35" s="242"/>
      <c r="AXJ35" s="242"/>
      <c r="AXK35" s="242"/>
      <c r="AXL35" s="242"/>
      <c r="AXM35" s="244"/>
      <c r="AXN35" s="242"/>
      <c r="AXO35" s="242"/>
      <c r="AXP35" s="242"/>
      <c r="AXQ35" s="242"/>
      <c r="AXR35" s="242"/>
      <c r="AXS35" s="245"/>
      <c r="AXT35" s="242"/>
      <c r="AXU35" s="242"/>
      <c r="AXV35" s="242"/>
      <c r="AXW35" s="242"/>
      <c r="AXX35" s="242"/>
      <c r="AXY35" s="246"/>
      <c r="AXZ35" s="241"/>
      <c r="AYA35" s="242"/>
      <c r="AYB35" s="242"/>
      <c r="AYC35" s="242"/>
      <c r="AYD35" s="242"/>
      <c r="AYE35" s="243"/>
      <c r="AYF35" s="242"/>
      <c r="AYG35" s="242"/>
      <c r="AYH35" s="242"/>
      <c r="AYI35" s="242"/>
      <c r="AYJ35" s="242"/>
      <c r="AYK35" s="244"/>
      <c r="AYL35" s="242"/>
      <c r="AYM35" s="242"/>
      <c r="AYN35" s="242"/>
      <c r="AYO35" s="242"/>
      <c r="AYP35" s="242"/>
      <c r="AYQ35" s="245"/>
      <c r="AYR35" s="242"/>
      <c r="AYS35" s="242"/>
      <c r="AYT35" s="242"/>
      <c r="AYU35" s="242"/>
      <c r="AYV35" s="242"/>
      <c r="AYW35" s="244"/>
      <c r="AYX35" s="242"/>
      <c r="AYY35" s="242"/>
      <c r="AYZ35" s="242"/>
      <c r="AZA35" s="242"/>
      <c r="AZB35" s="242"/>
      <c r="AZC35" s="245"/>
      <c r="AZD35" s="242"/>
      <c r="AZE35" s="242"/>
      <c r="AZF35" s="242"/>
      <c r="AZG35" s="242"/>
      <c r="AZH35" s="242"/>
      <c r="AZI35" s="244"/>
      <c r="AZJ35" s="242"/>
      <c r="AZK35" s="242"/>
      <c r="AZL35" s="242"/>
      <c r="AZM35" s="242"/>
      <c r="AZN35" s="242"/>
      <c r="AZO35" s="245"/>
      <c r="AZP35" s="242"/>
      <c r="AZQ35" s="242"/>
      <c r="AZR35" s="242"/>
      <c r="AZS35" s="242"/>
      <c r="AZT35" s="242"/>
      <c r="AZU35" s="244"/>
      <c r="AZV35" s="242"/>
      <c r="AZW35" s="242"/>
      <c r="AZX35" s="242"/>
      <c r="AZY35" s="242"/>
      <c r="AZZ35" s="242"/>
      <c r="BAA35" s="245"/>
      <c r="BAB35" s="242"/>
      <c r="BAC35" s="242"/>
      <c r="BAD35" s="242"/>
      <c r="BAE35" s="242"/>
      <c r="BAF35" s="242"/>
      <c r="BAG35" s="246"/>
      <c r="BAH35" s="241"/>
      <c r="BAI35" s="242"/>
      <c r="BAJ35" s="242"/>
      <c r="BAK35" s="242"/>
      <c r="BAL35" s="242"/>
      <c r="BAM35" s="243"/>
      <c r="BAN35" s="242"/>
      <c r="BAO35" s="242"/>
      <c r="BAP35" s="242"/>
      <c r="BAQ35" s="242"/>
      <c r="BAR35" s="242"/>
      <c r="BAS35" s="244"/>
      <c r="BAT35" s="242"/>
      <c r="BAU35" s="242"/>
      <c r="BAV35" s="242"/>
      <c r="BAW35" s="242"/>
      <c r="BAX35" s="242"/>
      <c r="BAY35" s="245"/>
      <c r="BAZ35" s="242"/>
      <c r="BBA35" s="242"/>
      <c r="BBB35" s="242"/>
      <c r="BBC35" s="242"/>
      <c r="BBD35" s="242"/>
      <c r="BBE35" s="244"/>
      <c r="BBF35" s="242"/>
      <c r="BBG35" s="242"/>
      <c r="BBH35" s="242"/>
      <c r="BBI35" s="242"/>
      <c r="BBJ35" s="242"/>
      <c r="BBK35" s="245"/>
      <c r="BBL35" s="242"/>
      <c r="BBM35" s="242"/>
      <c r="BBN35" s="242"/>
      <c r="BBO35" s="242"/>
      <c r="BBP35" s="242"/>
      <c r="BBQ35" s="244"/>
      <c r="BBR35" s="242"/>
      <c r="BBS35" s="242"/>
      <c r="BBT35" s="242"/>
      <c r="BBU35" s="242"/>
      <c r="BBV35" s="242"/>
      <c r="BBW35" s="245"/>
      <c r="BBX35" s="242"/>
      <c r="BBY35" s="242"/>
      <c r="BBZ35" s="242"/>
      <c r="BCA35" s="242"/>
      <c r="BCB35" s="242"/>
      <c r="BCC35" s="244"/>
      <c r="BCD35" s="242"/>
      <c r="BCE35" s="242"/>
      <c r="BCF35" s="242"/>
      <c r="BCG35" s="242"/>
      <c r="BCH35" s="242"/>
      <c r="BCI35" s="245"/>
      <c r="BCJ35" s="242"/>
      <c r="BCK35" s="242"/>
      <c r="BCL35" s="242"/>
      <c r="BCM35" s="242"/>
      <c r="BCN35" s="242"/>
      <c r="BCO35" s="246"/>
      <c r="BCP35" s="241"/>
      <c r="BCQ35" s="242"/>
      <c r="BCR35" s="242"/>
      <c r="BCS35" s="242"/>
      <c r="BCT35" s="242"/>
      <c r="BCU35" s="243"/>
      <c r="BCV35" s="242"/>
      <c r="BCW35" s="242"/>
      <c r="BCX35" s="242"/>
      <c r="BCY35" s="242"/>
      <c r="BCZ35" s="242"/>
      <c r="BDA35" s="244"/>
      <c r="BDB35" s="242"/>
      <c r="BDC35" s="242"/>
      <c r="BDD35" s="242"/>
      <c r="BDE35" s="242"/>
      <c r="BDF35" s="242"/>
      <c r="BDG35" s="245"/>
      <c r="BDH35" s="242"/>
      <c r="BDI35" s="242"/>
      <c r="BDJ35" s="242"/>
      <c r="BDK35" s="242"/>
      <c r="BDL35" s="242"/>
      <c r="BDM35" s="244"/>
      <c r="BDN35" s="242"/>
      <c r="BDO35" s="242"/>
      <c r="BDP35" s="242"/>
      <c r="BDQ35" s="242"/>
      <c r="BDR35" s="242"/>
      <c r="BDS35" s="245"/>
      <c r="BDT35" s="242"/>
      <c r="BDU35" s="242"/>
      <c r="BDV35" s="242"/>
      <c r="BDW35" s="242"/>
      <c r="BDX35" s="242"/>
      <c r="BDY35" s="244"/>
      <c r="BDZ35" s="242"/>
      <c r="BEA35" s="242"/>
      <c r="BEB35" s="242"/>
      <c r="BEC35" s="242"/>
      <c r="BED35" s="242"/>
      <c r="BEE35" s="245"/>
      <c r="BEF35" s="242"/>
      <c r="BEG35" s="242"/>
      <c r="BEH35" s="242"/>
      <c r="BEI35" s="242"/>
      <c r="BEJ35" s="242"/>
      <c r="BEK35" s="244"/>
      <c r="BEL35" s="242"/>
      <c r="BEM35" s="242"/>
      <c r="BEN35" s="242"/>
      <c r="BEO35" s="242"/>
      <c r="BEP35" s="242"/>
      <c r="BEQ35" s="245"/>
      <c r="BER35" s="242"/>
      <c r="BES35" s="242"/>
      <c r="BET35" s="242"/>
      <c r="BEU35" s="242"/>
      <c r="BEV35" s="242"/>
      <c r="BEW35" s="246"/>
      <c r="BEX35" s="241"/>
      <c r="BEY35" s="242"/>
      <c r="BEZ35" s="242"/>
      <c r="BFA35" s="242"/>
      <c r="BFB35" s="242"/>
      <c r="BFC35" s="243"/>
      <c r="BFD35" s="242"/>
      <c r="BFE35" s="242"/>
      <c r="BFF35" s="242"/>
      <c r="BFG35" s="242"/>
      <c r="BFH35" s="242"/>
      <c r="BFI35" s="244"/>
      <c r="BFJ35" s="242"/>
      <c r="BFK35" s="242"/>
      <c r="BFL35" s="242"/>
      <c r="BFM35" s="242"/>
      <c r="BFN35" s="242"/>
      <c r="BFO35" s="245"/>
      <c r="BFP35" s="242"/>
      <c r="BFQ35" s="242"/>
      <c r="BFR35" s="242"/>
      <c r="BFS35" s="242"/>
      <c r="BFT35" s="242"/>
      <c r="BFU35" s="244"/>
      <c r="BFV35" s="242"/>
      <c r="BFW35" s="242"/>
      <c r="BFX35" s="242"/>
      <c r="BFY35" s="242"/>
      <c r="BFZ35" s="242"/>
      <c r="BGA35" s="245"/>
      <c r="BGB35" s="242"/>
      <c r="BGC35" s="242"/>
      <c r="BGD35" s="242"/>
      <c r="BGE35" s="242"/>
      <c r="BGF35" s="242"/>
      <c r="BGG35" s="244"/>
      <c r="BGH35" s="242"/>
      <c r="BGI35" s="242"/>
      <c r="BGJ35" s="242"/>
      <c r="BGK35" s="242"/>
      <c r="BGL35" s="242"/>
      <c r="BGM35" s="245"/>
      <c r="BGN35" s="242"/>
      <c r="BGO35" s="242"/>
      <c r="BGP35" s="242"/>
      <c r="BGQ35" s="242"/>
      <c r="BGR35" s="242"/>
      <c r="BGS35" s="244"/>
      <c r="BGT35" s="242"/>
      <c r="BGU35" s="242"/>
      <c r="BGV35" s="242"/>
      <c r="BGW35" s="242"/>
      <c r="BGX35" s="242"/>
      <c r="BGY35" s="245"/>
      <c r="BGZ35" s="242"/>
      <c r="BHA35" s="242"/>
      <c r="BHB35" s="242"/>
      <c r="BHC35" s="242"/>
      <c r="BHD35" s="242"/>
      <c r="BHE35" s="246"/>
      <c r="BHF35" s="241"/>
      <c r="BHG35" s="242"/>
      <c r="BHH35" s="242"/>
      <c r="BHI35" s="242"/>
      <c r="BHJ35" s="242"/>
      <c r="BHK35" s="243"/>
      <c r="BHL35" s="242"/>
      <c r="BHM35" s="242"/>
      <c r="BHN35" s="242"/>
      <c r="BHO35" s="242"/>
      <c r="BHP35" s="242"/>
      <c r="BHQ35" s="244"/>
      <c r="BHR35" s="242"/>
      <c r="BHS35" s="242"/>
      <c r="BHT35" s="242"/>
      <c r="BHU35" s="242"/>
      <c r="BHV35" s="242"/>
      <c r="BHW35" s="245"/>
      <c r="BHX35" s="242"/>
      <c r="BHY35" s="242"/>
      <c r="BHZ35" s="242"/>
      <c r="BIA35" s="242"/>
      <c r="BIB35" s="242"/>
      <c r="BIC35" s="244"/>
      <c r="BID35" s="242"/>
      <c r="BIE35" s="242"/>
      <c r="BIF35" s="242"/>
      <c r="BIG35" s="242"/>
      <c r="BIH35" s="242"/>
      <c r="BII35" s="245"/>
      <c r="BIJ35" s="242"/>
      <c r="BIK35" s="242"/>
      <c r="BIL35" s="242"/>
      <c r="BIM35" s="242"/>
      <c r="BIN35" s="242"/>
      <c r="BIO35" s="244"/>
      <c r="BIP35" s="242"/>
      <c r="BIQ35" s="242"/>
      <c r="BIR35" s="242"/>
      <c r="BIS35" s="242"/>
      <c r="BIT35" s="242"/>
      <c r="BIU35" s="245"/>
      <c r="BIV35" s="242"/>
      <c r="BIW35" s="242"/>
      <c r="BIX35" s="242"/>
      <c r="BIY35" s="242"/>
      <c r="BIZ35" s="242"/>
      <c r="BJA35" s="244"/>
      <c r="BJB35" s="242"/>
      <c r="BJC35" s="242"/>
      <c r="BJD35" s="242"/>
      <c r="BJE35" s="242"/>
      <c r="BJF35" s="242"/>
      <c r="BJG35" s="245"/>
      <c r="BJH35" s="242"/>
      <c r="BJI35" s="242"/>
      <c r="BJJ35" s="242"/>
      <c r="BJK35" s="242"/>
      <c r="BJL35" s="242"/>
      <c r="BJM35" s="246"/>
      <c r="BJN35" s="233"/>
      <c r="BJO35" s="234"/>
      <c r="BJP35" s="234"/>
      <c r="BJQ35" s="234"/>
      <c r="BJR35" s="234"/>
      <c r="BJS35" s="234"/>
      <c r="BJT35" s="234"/>
      <c r="BJU35" s="234"/>
      <c r="BJV35" s="234"/>
      <c r="BJW35" s="234"/>
      <c r="BJX35" s="234"/>
      <c r="BJY35" s="234"/>
      <c r="BJZ35" s="234"/>
      <c r="BKA35" s="234"/>
      <c r="BKB35" s="234"/>
      <c r="BKC35" s="234"/>
      <c r="BKD35" s="234"/>
      <c r="BKE35" s="234"/>
      <c r="BKF35" s="234"/>
      <c r="BKG35" s="234"/>
      <c r="BKH35" s="234"/>
      <c r="BKI35" s="234"/>
      <c r="BKJ35" s="234"/>
      <c r="BKK35" s="234"/>
      <c r="BKL35" s="234"/>
      <c r="BKM35" s="234"/>
      <c r="BKN35" s="234"/>
    </row>
    <row r="36" spans="1:1652" ht="20.100000000000001" customHeight="1" x14ac:dyDescent="0.25">
      <c r="A36" s="84" t="s">
        <v>20</v>
      </c>
      <c r="B36" s="53" t="str">
        <f>IF(LEN(C57)=0,"",C57)</f>
        <v/>
      </c>
      <c r="C36" s="178"/>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174"/>
      <c r="BJO36" s="4"/>
      <c r="BJP36" s="4"/>
      <c r="BJQ36" s="4"/>
      <c r="BJR36" s="4"/>
      <c r="BJS36" s="4"/>
      <c r="BJT36" s="4"/>
      <c r="BJU36" s="4"/>
      <c r="BJV36" s="4"/>
      <c r="BJW36" s="4"/>
      <c r="BJX36" s="4"/>
      <c r="BJY36" s="4"/>
      <c r="BJZ36" s="4"/>
      <c r="BKA36" s="4"/>
      <c r="BKB36" s="4"/>
      <c r="BKC36" s="4"/>
      <c r="BKD36" s="4"/>
      <c r="BKE36" s="4"/>
      <c r="BKF36" s="4"/>
      <c r="BKG36" s="4"/>
      <c r="BKH36" s="4"/>
      <c r="BKI36" s="4"/>
      <c r="BKJ36" s="4"/>
      <c r="BKK36" s="4"/>
      <c r="BKL36" s="4"/>
      <c r="BKM36" s="4"/>
      <c r="BKN36" s="4"/>
    </row>
    <row r="37" spans="1:1652" ht="20.100000000000001" customHeight="1" x14ac:dyDescent="0.25">
      <c r="A37" s="84" t="s">
        <v>19</v>
      </c>
      <c r="B37" s="53" t="str">
        <f>IF(LEN(C59)=0,"",C59)</f>
        <v/>
      </c>
      <c r="C37" s="177" t="s">
        <v>52</v>
      </c>
      <c r="D37" s="129" t="str">
        <f t="shared" si="0"/>
        <v>2h55min</v>
      </c>
      <c r="E37" s="26">
        <v>35</v>
      </c>
      <c r="F37" s="235"/>
      <c r="G37" s="236"/>
      <c r="H37" s="236"/>
      <c r="I37" s="236"/>
      <c r="J37" s="236"/>
      <c r="K37" s="237"/>
      <c r="L37" s="236"/>
      <c r="M37" s="236"/>
      <c r="N37" s="236"/>
      <c r="O37" s="236"/>
      <c r="P37" s="236"/>
      <c r="Q37" s="238"/>
      <c r="R37" s="236"/>
      <c r="S37" s="236"/>
      <c r="T37" s="236"/>
      <c r="U37" s="236"/>
      <c r="V37" s="236"/>
      <c r="W37" s="239"/>
      <c r="X37" s="236"/>
      <c r="Y37" s="236"/>
      <c r="Z37" s="236"/>
      <c r="AA37" s="236"/>
      <c r="AB37" s="236"/>
      <c r="AC37" s="238"/>
      <c r="AD37" s="236"/>
      <c r="AE37" s="236"/>
      <c r="AF37" s="236"/>
      <c r="AG37" s="236"/>
      <c r="AH37" s="236"/>
      <c r="AI37" s="239"/>
      <c r="AJ37" s="236"/>
      <c r="AK37" s="236"/>
      <c r="AL37" s="236"/>
      <c r="AM37" s="236"/>
      <c r="AN37" s="236"/>
      <c r="AO37" s="238"/>
      <c r="AP37" s="236"/>
      <c r="AQ37" s="236"/>
      <c r="AR37" s="236"/>
      <c r="AS37" s="236"/>
      <c r="AT37" s="236"/>
      <c r="AU37" s="239"/>
      <c r="AV37" s="236"/>
      <c r="AW37" s="236"/>
      <c r="AX37" s="236"/>
      <c r="AY37" s="236"/>
      <c r="AZ37" s="236"/>
      <c r="BA37" s="238"/>
      <c r="BB37" s="236"/>
      <c r="BC37" s="236"/>
      <c r="BD37" s="236"/>
      <c r="BE37" s="236"/>
      <c r="BF37" s="236"/>
      <c r="BG37" s="239"/>
      <c r="BH37" s="236"/>
      <c r="BI37" s="236"/>
      <c r="BJ37" s="236"/>
      <c r="BK37" s="236"/>
      <c r="BL37" s="236"/>
      <c r="BM37" s="240"/>
      <c r="BN37" s="235"/>
      <c r="BO37" s="236"/>
      <c r="BP37" s="236"/>
      <c r="BQ37" s="236"/>
      <c r="BR37" s="236"/>
      <c r="BS37" s="237"/>
      <c r="BT37" s="236"/>
      <c r="BU37" s="236"/>
      <c r="BV37" s="236"/>
      <c r="BW37" s="236"/>
      <c r="BX37" s="236"/>
      <c r="BY37" s="238"/>
      <c r="BZ37" s="236"/>
      <c r="CA37" s="236"/>
      <c r="CB37" s="236"/>
      <c r="CC37" s="236"/>
      <c r="CD37" s="236"/>
      <c r="CE37" s="239"/>
      <c r="CF37" s="236"/>
      <c r="CG37" s="236"/>
      <c r="CH37" s="236"/>
      <c r="CI37" s="236"/>
      <c r="CJ37" s="236"/>
      <c r="CK37" s="238"/>
      <c r="CL37" s="236"/>
      <c r="CM37" s="236"/>
      <c r="CN37" s="236"/>
      <c r="CO37" s="236"/>
      <c r="CP37" s="236"/>
      <c r="CQ37" s="239"/>
      <c r="CR37" s="236"/>
      <c r="CS37" s="236"/>
      <c r="CT37" s="236"/>
      <c r="CU37" s="236"/>
      <c r="CV37" s="236"/>
      <c r="CW37" s="238"/>
      <c r="CX37" s="236"/>
      <c r="CY37" s="236"/>
      <c r="CZ37" s="236"/>
      <c r="DA37" s="236"/>
      <c r="DB37" s="236"/>
      <c r="DC37" s="239"/>
      <c r="DD37" s="236"/>
      <c r="DE37" s="236"/>
      <c r="DF37" s="236"/>
      <c r="DG37" s="236"/>
      <c r="DH37" s="236"/>
      <c r="DI37" s="238"/>
      <c r="DJ37" s="236"/>
      <c r="DK37" s="236"/>
      <c r="DL37" s="236"/>
      <c r="DM37" s="236"/>
      <c r="DN37" s="236"/>
      <c r="DO37" s="239"/>
      <c r="DP37" s="236"/>
      <c r="DQ37" s="236"/>
      <c r="DR37" s="236"/>
      <c r="DS37" s="236"/>
      <c r="DT37" s="236"/>
      <c r="DU37" s="240"/>
      <c r="DV37" s="235"/>
      <c r="DW37" s="236"/>
      <c r="DX37" s="236"/>
      <c r="DY37" s="236"/>
      <c r="DZ37" s="236"/>
      <c r="EA37" s="237"/>
      <c r="EB37" s="236"/>
      <c r="EC37" s="236"/>
      <c r="ED37" s="236"/>
      <c r="EE37" s="236"/>
      <c r="EF37" s="236"/>
      <c r="EG37" s="238"/>
      <c r="EH37" s="236"/>
      <c r="EI37" s="236"/>
      <c r="EJ37" s="236"/>
      <c r="EK37" s="236"/>
      <c r="EL37" s="236"/>
      <c r="EM37" s="239"/>
      <c r="EN37" s="236"/>
      <c r="EO37" s="236"/>
      <c r="EP37" s="236"/>
      <c r="EQ37" s="236"/>
      <c r="ER37" s="236"/>
      <c r="ES37" s="238"/>
      <c r="ET37" s="236"/>
      <c r="EU37" s="236"/>
      <c r="EV37" s="236"/>
      <c r="EW37" s="236"/>
      <c r="EX37" s="236"/>
      <c r="EY37" s="239"/>
      <c r="EZ37" s="236"/>
      <c r="FA37" s="236"/>
      <c r="FB37" s="236"/>
      <c r="FC37" s="236"/>
      <c r="FD37" s="236"/>
      <c r="FE37" s="238"/>
      <c r="FF37" s="236"/>
      <c r="FG37" s="236"/>
      <c r="FH37" s="236"/>
      <c r="FI37" s="236"/>
      <c r="FJ37" s="236"/>
      <c r="FK37" s="239"/>
      <c r="FL37" s="236"/>
      <c r="FM37" s="236"/>
      <c r="FN37" s="236"/>
      <c r="FO37" s="236"/>
      <c r="FP37" s="236"/>
      <c r="FQ37" s="238"/>
      <c r="FR37" s="236"/>
      <c r="FS37" s="236"/>
      <c r="FT37" s="236"/>
      <c r="FU37" s="236"/>
      <c r="FV37" s="236"/>
      <c r="FW37" s="239"/>
      <c r="FX37" s="236"/>
      <c r="FY37" s="236"/>
      <c r="FZ37" s="236"/>
      <c r="GA37" s="236"/>
      <c r="GB37" s="236"/>
      <c r="GC37" s="240"/>
      <c r="GD37" s="235"/>
      <c r="GE37" s="236"/>
      <c r="GF37" s="236"/>
      <c r="GG37" s="236"/>
      <c r="GH37" s="236"/>
      <c r="GI37" s="237"/>
      <c r="GJ37" s="236"/>
      <c r="GK37" s="236"/>
      <c r="GL37" s="236"/>
      <c r="GM37" s="236"/>
      <c r="GN37" s="236"/>
      <c r="GO37" s="238"/>
      <c r="GP37" s="236"/>
      <c r="GQ37" s="236"/>
      <c r="GR37" s="236"/>
      <c r="GS37" s="236"/>
      <c r="GT37" s="236"/>
      <c r="GU37" s="239"/>
      <c r="GV37" s="236"/>
      <c r="GW37" s="236"/>
      <c r="GX37" s="236"/>
      <c r="GY37" s="236"/>
      <c r="GZ37" s="236"/>
      <c r="HA37" s="238"/>
      <c r="HB37" s="236"/>
      <c r="HC37" s="236"/>
      <c r="HD37" s="236"/>
      <c r="HE37" s="236"/>
      <c r="HF37" s="236"/>
      <c r="HG37" s="239"/>
      <c r="HH37" s="236"/>
      <c r="HI37" s="236"/>
      <c r="HJ37" s="236"/>
      <c r="HK37" s="236"/>
      <c r="HL37" s="236"/>
      <c r="HM37" s="238"/>
      <c r="HN37" s="236"/>
      <c r="HO37" s="236"/>
      <c r="HP37" s="236"/>
      <c r="HQ37" s="236"/>
      <c r="HR37" s="236"/>
      <c r="HS37" s="239"/>
      <c r="HT37" s="236"/>
      <c r="HU37" s="236"/>
      <c r="HV37" s="236"/>
      <c r="HW37" s="236"/>
      <c r="HX37" s="236"/>
      <c r="HY37" s="238"/>
      <c r="HZ37" s="236"/>
      <c r="IA37" s="236"/>
      <c r="IB37" s="236"/>
      <c r="IC37" s="236"/>
      <c r="ID37" s="236"/>
      <c r="IE37" s="239"/>
      <c r="IF37" s="236"/>
      <c r="IG37" s="236"/>
      <c r="IH37" s="236"/>
      <c r="II37" s="236"/>
      <c r="IJ37" s="236"/>
      <c r="IK37" s="240"/>
      <c r="IL37" s="235"/>
      <c r="IM37" s="236"/>
      <c r="IN37" s="236"/>
      <c r="IO37" s="236"/>
      <c r="IP37" s="236"/>
      <c r="IQ37" s="237"/>
      <c r="IR37" s="236"/>
      <c r="IS37" s="236"/>
      <c r="IT37" s="236"/>
      <c r="IU37" s="236"/>
      <c r="IV37" s="236"/>
      <c r="IW37" s="238"/>
      <c r="IX37" s="236"/>
      <c r="IY37" s="236"/>
      <c r="IZ37" s="236"/>
      <c r="JA37" s="236"/>
      <c r="JB37" s="236"/>
      <c r="JC37" s="239"/>
      <c r="JD37" s="236"/>
      <c r="JE37" s="236"/>
      <c r="JF37" s="236"/>
      <c r="JG37" s="236"/>
      <c r="JH37" s="236"/>
      <c r="JI37" s="238"/>
      <c r="JJ37" s="236"/>
      <c r="JK37" s="236"/>
      <c r="JL37" s="236"/>
      <c r="JM37" s="236"/>
      <c r="JN37" s="236"/>
      <c r="JO37" s="239"/>
      <c r="JP37" s="236"/>
      <c r="JQ37" s="236"/>
      <c r="JR37" s="236"/>
      <c r="JS37" s="236"/>
      <c r="JT37" s="236"/>
      <c r="JU37" s="238"/>
      <c r="JV37" s="236"/>
      <c r="JW37" s="236"/>
      <c r="JX37" s="236"/>
      <c r="JY37" s="236"/>
      <c r="JZ37" s="236"/>
      <c r="KA37" s="239"/>
      <c r="KB37" s="236"/>
      <c r="KC37" s="236"/>
      <c r="KD37" s="236"/>
      <c r="KE37" s="236"/>
      <c r="KF37" s="236"/>
      <c r="KG37" s="238"/>
      <c r="KH37" s="236"/>
      <c r="KI37" s="236"/>
      <c r="KJ37" s="236"/>
      <c r="KK37" s="236"/>
      <c r="KL37" s="236"/>
      <c r="KM37" s="239"/>
      <c r="KN37" s="236"/>
      <c r="KO37" s="236"/>
      <c r="KP37" s="236"/>
      <c r="KQ37" s="236"/>
      <c r="KR37" s="236"/>
      <c r="KS37" s="240"/>
      <c r="KT37" s="235"/>
      <c r="KU37" s="236"/>
      <c r="KV37" s="236"/>
      <c r="KW37" s="236"/>
      <c r="KX37" s="236"/>
      <c r="KY37" s="237"/>
      <c r="KZ37" s="236"/>
      <c r="LA37" s="236"/>
      <c r="LB37" s="236"/>
      <c r="LC37" s="236"/>
      <c r="LD37" s="236"/>
      <c r="LE37" s="238"/>
      <c r="LF37" s="236"/>
      <c r="LG37" s="236"/>
      <c r="LH37" s="236"/>
      <c r="LI37" s="236"/>
      <c r="LJ37" s="236"/>
      <c r="LK37" s="239"/>
      <c r="LL37" s="236"/>
      <c r="LM37" s="236"/>
      <c r="LN37" s="236"/>
      <c r="LO37" s="236"/>
      <c r="LP37" s="236"/>
      <c r="LQ37" s="238"/>
      <c r="LR37" s="236"/>
      <c r="LS37" s="236"/>
      <c r="LT37" s="236"/>
      <c r="LU37" s="236"/>
      <c r="LV37" s="236"/>
      <c r="LW37" s="239"/>
      <c r="LX37" s="236"/>
      <c r="LY37" s="236"/>
      <c r="LZ37" s="236"/>
      <c r="MA37" s="236"/>
      <c r="MB37" s="236"/>
      <c r="MC37" s="238"/>
      <c r="MD37" s="236"/>
      <c r="ME37" s="236"/>
      <c r="MF37" s="236"/>
      <c r="MG37" s="236"/>
      <c r="MH37" s="236"/>
      <c r="MI37" s="239"/>
      <c r="MJ37" s="236"/>
      <c r="MK37" s="236"/>
      <c r="ML37" s="236"/>
      <c r="MM37" s="236"/>
      <c r="MN37" s="236"/>
      <c r="MO37" s="238"/>
      <c r="MP37" s="236"/>
      <c r="MQ37" s="236"/>
      <c r="MR37" s="236"/>
      <c r="MS37" s="236"/>
      <c r="MT37" s="236"/>
      <c r="MU37" s="239"/>
      <c r="MV37" s="236"/>
      <c r="MW37" s="236"/>
      <c r="MX37" s="236"/>
      <c r="MY37" s="236"/>
      <c r="MZ37" s="236"/>
      <c r="NA37" s="240"/>
      <c r="NB37" s="235"/>
      <c r="NC37" s="236"/>
      <c r="ND37" s="236"/>
      <c r="NE37" s="236"/>
      <c r="NF37" s="236"/>
      <c r="NG37" s="237"/>
      <c r="NH37" s="236"/>
      <c r="NI37" s="236"/>
      <c r="NJ37" s="236"/>
      <c r="NK37" s="236"/>
      <c r="NL37" s="236"/>
      <c r="NM37" s="238"/>
      <c r="NN37" s="236"/>
      <c r="NO37" s="236"/>
      <c r="NP37" s="236"/>
      <c r="NQ37" s="236"/>
      <c r="NR37" s="236"/>
      <c r="NS37" s="239"/>
      <c r="NT37" s="236"/>
      <c r="NU37" s="236"/>
      <c r="NV37" s="236"/>
      <c r="NW37" s="236"/>
      <c r="NX37" s="236"/>
      <c r="NY37" s="238"/>
      <c r="NZ37" s="236"/>
      <c r="OA37" s="236"/>
      <c r="OB37" s="236"/>
      <c r="OC37" s="236"/>
      <c r="OD37" s="236"/>
      <c r="OE37" s="239"/>
      <c r="OF37" s="236"/>
      <c r="OG37" s="236"/>
      <c r="OH37" s="236"/>
      <c r="OI37" s="236"/>
      <c r="OJ37" s="236"/>
      <c r="OK37" s="238"/>
      <c r="OL37" s="236"/>
      <c r="OM37" s="236"/>
      <c r="ON37" s="236"/>
      <c r="OO37" s="236"/>
      <c r="OP37" s="236"/>
      <c r="OQ37" s="239"/>
      <c r="OR37" s="236"/>
      <c r="OS37" s="236"/>
      <c r="OT37" s="236"/>
      <c r="OU37" s="236"/>
      <c r="OV37" s="236"/>
      <c r="OW37" s="238"/>
      <c r="OX37" s="236"/>
      <c r="OY37" s="236"/>
      <c r="OZ37" s="236"/>
      <c r="PA37" s="236"/>
      <c r="PB37" s="236"/>
      <c r="PC37" s="239"/>
      <c r="PD37" s="236"/>
      <c r="PE37" s="236"/>
      <c r="PF37" s="236"/>
      <c r="PG37" s="236"/>
      <c r="PH37" s="236"/>
      <c r="PI37" s="240"/>
      <c r="PJ37" s="235"/>
      <c r="PK37" s="236"/>
      <c r="PL37" s="236"/>
      <c r="PM37" s="236"/>
      <c r="PN37" s="236"/>
      <c r="PO37" s="237"/>
      <c r="PP37" s="236"/>
      <c r="PQ37" s="236"/>
      <c r="PR37" s="236"/>
      <c r="PS37" s="236"/>
      <c r="PT37" s="236"/>
      <c r="PU37" s="238"/>
      <c r="PV37" s="236"/>
      <c r="PW37" s="236"/>
      <c r="PX37" s="236"/>
      <c r="PY37" s="236"/>
      <c r="PZ37" s="236"/>
      <c r="QA37" s="239"/>
      <c r="QB37" s="236"/>
      <c r="QC37" s="236"/>
      <c r="QD37" s="236"/>
      <c r="QE37" s="236"/>
      <c r="QF37" s="236"/>
      <c r="QG37" s="238"/>
      <c r="QH37" s="236"/>
      <c r="QI37" s="236"/>
      <c r="QJ37" s="236"/>
      <c r="QK37" s="236"/>
      <c r="QL37" s="236"/>
      <c r="QM37" s="239"/>
      <c r="QN37" s="236"/>
      <c r="QO37" s="236"/>
      <c r="QP37" s="236"/>
      <c r="QQ37" s="236"/>
      <c r="QR37" s="236"/>
      <c r="QS37" s="238"/>
      <c r="QT37" s="236"/>
      <c r="QU37" s="236"/>
      <c r="QV37" s="236"/>
      <c r="QW37" s="236"/>
      <c r="QX37" s="236"/>
      <c r="QY37" s="239"/>
      <c r="QZ37" s="236"/>
      <c r="RA37" s="236"/>
      <c r="RB37" s="236"/>
      <c r="RC37" s="236"/>
      <c r="RD37" s="236"/>
      <c r="RE37" s="238"/>
      <c r="RF37" s="236"/>
      <c r="RG37" s="236"/>
      <c r="RH37" s="236"/>
      <c r="RI37" s="236"/>
      <c r="RJ37" s="236"/>
      <c r="RK37" s="239"/>
      <c r="RL37" s="236"/>
      <c r="RM37" s="236"/>
      <c r="RN37" s="236"/>
      <c r="RO37" s="236"/>
      <c r="RP37" s="236"/>
      <c r="RQ37" s="240"/>
      <c r="RR37" s="235"/>
      <c r="RS37" s="236"/>
      <c r="RT37" s="236"/>
      <c r="RU37" s="236"/>
      <c r="RV37" s="236"/>
      <c r="RW37" s="237"/>
      <c r="RX37" s="236"/>
      <c r="RY37" s="236"/>
      <c r="RZ37" s="236"/>
      <c r="SA37" s="236"/>
      <c r="SB37" s="236"/>
      <c r="SC37" s="238"/>
      <c r="SD37" s="236"/>
      <c r="SE37" s="236"/>
      <c r="SF37" s="236"/>
      <c r="SG37" s="236"/>
      <c r="SH37" s="236"/>
      <c r="SI37" s="239"/>
      <c r="SJ37" s="236"/>
      <c r="SK37" s="236"/>
      <c r="SL37" s="236"/>
      <c r="SM37" s="236"/>
      <c r="SN37" s="236"/>
      <c r="SO37" s="238"/>
      <c r="SP37" s="236"/>
      <c r="SQ37" s="236"/>
      <c r="SR37" s="236"/>
      <c r="SS37" s="236"/>
      <c r="ST37" s="236"/>
      <c r="SU37" s="239"/>
      <c r="SV37" s="236"/>
      <c r="SW37" s="236"/>
      <c r="SX37" s="236"/>
      <c r="SY37" s="236"/>
      <c r="SZ37" s="236"/>
      <c r="TA37" s="238"/>
      <c r="TB37" s="236"/>
      <c r="TC37" s="236"/>
      <c r="TD37" s="236"/>
      <c r="TE37" s="236"/>
      <c r="TF37" s="236"/>
      <c r="TG37" s="239"/>
      <c r="TH37" s="236"/>
      <c r="TI37" s="236"/>
      <c r="TJ37" s="236"/>
      <c r="TK37" s="236"/>
      <c r="TL37" s="236"/>
      <c r="TM37" s="238"/>
      <c r="TN37" s="236"/>
      <c r="TO37" s="236"/>
      <c r="TP37" s="236"/>
      <c r="TQ37" s="236"/>
      <c r="TR37" s="236"/>
      <c r="TS37" s="239"/>
      <c r="TT37" s="236"/>
      <c r="TU37" s="236"/>
      <c r="TV37" s="236"/>
      <c r="TW37" s="236"/>
      <c r="TX37" s="236"/>
      <c r="TY37" s="240"/>
      <c r="TZ37" s="235"/>
      <c r="UA37" s="236"/>
      <c r="UB37" s="236"/>
      <c r="UC37" s="236"/>
      <c r="UD37" s="236"/>
      <c r="UE37" s="237"/>
      <c r="UF37" s="236"/>
      <c r="UG37" s="236"/>
      <c r="UH37" s="236"/>
      <c r="UI37" s="236"/>
      <c r="UJ37" s="236"/>
      <c r="UK37" s="238"/>
      <c r="UL37" s="236"/>
      <c r="UM37" s="236"/>
      <c r="UN37" s="236"/>
      <c r="UO37" s="236"/>
      <c r="UP37" s="236"/>
      <c r="UQ37" s="239"/>
      <c r="UR37" s="236"/>
      <c r="US37" s="236"/>
      <c r="UT37" s="236"/>
      <c r="UU37" s="236"/>
      <c r="UV37" s="236"/>
      <c r="UW37" s="238"/>
      <c r="UX37" s="236"/>
      <c r="UY37" s="236"/>
      <c r="UZ37" s="236"/>
      <c r="VA37" s="236"/>
      <c r="VB37" s="236"/>
      <c r="VC37" s="239"/>
      <c r="VD37" s="236"/>
      <c r="VE37" s="236"/>
      <c r="VF37" s="236"/>
      <c r="VG37" s="236"/>
      <c r="VH37" s="236"/>
      <c r="VI37" s="238"/>
      <c r="VJ37" s="236"/>
      <c r="VK37" s="236"/>
      <c r="VL37" s="236"/>
      <c r="VM37" s="236"/>
      <c r="VN37" s="236"/>
      <c r="VO37" s="239"/>
      <c r="VP37" s="236"/>
      <c r="VQ37" s="236"/>
      <c r="VR37" s="236"/>
      <c r="VS37" s="236"/>
      <c r="VT37" s="236"/>
      <c r="VU37" s="238"/>
      <c r="VV37" s="236"/>
      <c r="VW37" s="236"/>
      <c r="VX37" s="236"/>
      <c r="VY37" s="236"/>
      <c r="VZ37" s="236"/>
      <c r="WA37" s="239"/>
      <c r="WB37" s="236"/>
      <c r="WC37" s="236"/>
      <c r="WD37" s="236"/>
      <c r="WE37" s="236"/>
      <c r="WF37" s="236"/>
      <c r="WG37" s="240"/>
      <c r="WH37" s="235"/>
      <c r="WI37" s="236"/>
      <c r="WJ37" s="236"/>
      <c r="WK37" s="236"/>
      <c r="WL37" s="236"/>
      <c r="WM37" s="237"/>
      <c r="WN37" s="236"/>
      <c r="WO37" s="236"/>
      <c r="WP37" s="236"/>
      <c r="WQ37" s="236"/>
      <c r="WR37" s="236"/>
      <c r="WS37" s="238"/>
      <c r="WT37" s="236"/>
      <c r="WU37" s="236"/>
      <c r="WV37" s="236"/>
      <c r="WW37" s="236"/>
      <c r="WX37" s="236"/>
      <c r="WY37" s="239"/>
      <c r="WZ37" s="236"/>
      <c r="XA37" s="236"/>
      <c r="XB37" s="236"/>
      <c r="XC37" s="236"/>
      <c r="XD37" s="236"/>
      <c r="XE37" s="238"/>
      <c r="XF37" s="236"/>
      <c r="XG37" s="236"/>
      <c r="XH37" s="236"/>
      <c r="XI37" s="236"/>
      <c r="XJ37" s="236"/>
      <c r="XK37" s="239"/>
      <c r="XL37" s="236"/>
      <c r="XM37" s="236"/>
      <c r="XN37" s="236"/>
      <c r="XO37" s="236"/>
      <c r="XP37" s="236"/>
      <c r="XQ37" s="238"/>
      <c r="XR37" s="236"/>
      <c r="XS37" s="236"/>
      <c r="XT37" s="236"/>
      <c r="XU37" s="236"/>
      <c r="XV37" s="236"/>
      <c r="XW37" s="239"/>
      <c r="XX37" s="236"/>
      <c r="XY37" s="236"/>
      <c r="XZ37" s="236"/>
      <c r="YA37" s="236"/>
      <c r="YB37" s="236"/>
      <c r="YC37" s="238"/>
      <c r="YD37" s="236"/>
      <c r="YE37" s="236"/>
      <c r="YF37" s="236"/>
      <c r="YG37" s="236"/>
      <c r="YH37" s="236"/>
      <c r="YI37" s="239"/>
      <c r="YJ37" s="236"/>
      <c r="YK37" s="236"/>
      <c r="YL37" s="236"/>
      <c r="YM37" s="236"/>
      <c r="YN37" s="236"/>
      <c r="YO37" s="240"/>
      <c r="YP37" s="235"/>
      <c r="YQ37" s="236"/>
      <c r="YR37" s="236"/>
      <c r="YS37" s="236"/>
      <c r="YT37" s="236"/>
      <c r="YU37" s="237"/>
      <c r="YV37" s="236"/>
      <c r="YW37" s="236"/>
      <c r="YX37" s="236"/>
      <c r="YY37" s="236"/>
      <c r="YZ37" s="236"/>
      <c r="ZA37" s="238"/>
      <c r="ZB37" s="236"/>
      <c r="ZC37" s="236"/>
      <c r="ZD37" s="236"/>
      <c r="ZE37" s="236"/>
      <c r="ZF37" s="236"/>
      <c r="ZG37" s="239"/>
      <c r="ZH37" s="236"/>
      <c r="ZI37" s="149"/>
      <c r="ZJ37" s="149"/>
      <c r="ZK37" s="149"/>
      <c r="ZL37" s="149"/>
      <c r="ZM37" s="151"/>
      <c r="ZN37" s="149"/>
      <c r="ZO37" s="149"/>
      <c r="ZP37" s="236"/>
      <c r="ZQ37" s="236"/>
      <c r="ZR37" s="236"/>
      <c r="ZS37" s="239"/>
      <c r="ZT37" s="236"/>
      <c r="ZU37" s="236"/>
      <c r="ZV37" s="236"/>
      <c r="ZW37" s="236"/>
      <c r="ZX37" s="236"/>
      <c r="ZY37" s="238"/>
      <c r="ZZ37" s="236"/>
      <c r="AAA37" s="236"/>
      <c r="AAB37" s="236"/>
      <c r="AAC37" s="236"/>
      <c r="AAD37" s="236"/>
      <c r="AAE37" s="239"/>
      <c r="AAF37" s="236"/>
      <c r="AAG37" s="236"/>
      <c r="AAH37" s="236"/>
      <c r="AAI37" s="236"/>
      <c r="AAJ37" s="236"/>
      <c r="AAK37" s="238"/>
      <c r="AAL37" s="236"/>
      <c r="AAM37" s="236"/>
      <c r="AAN37" s="236"/>
      <c r="AAO37" s="236"/>
      <c r="AAP37" s="236"/>
      <c r="AAQ37" s="239"/>
      <c r="AAR37" s="236"/>
      <c r="AAS37" s="236"/>
      <c r="AAT37" s="236"/>
      <c r="AAU37" s="236"/>
      <c r="AAV37" s="236"/>
      <c r="AAW37" s="240"/>
      <c r="AAX37" s="157"/>
      <c r="AAY37" s="149"/>
      <c r="AAZ37" s="149"/>
      <c r="ABA37" s="149"/>
      <c r="ABB37" s="149"/>
      <c r="ABC37" s="150"/>
      <c r="ABD37" s="149"/>
      <c r="ABE37" s="149"/>
      <c r="ABF37" s="149"/>
      <c r="ABG37" s="149"/>
      <c r="ABH37" s="149"/>
      <c r="ABI37" s="151"/>
      <c r="ABJ37" s="149"/>
      <c r="ABK37" s="149"/>
      <c r="ABL37" s="149"/>
      <c r="ABM37" s="149"/>
      <c r="ABN37" s="149"/>
      <c r="ABO37" s="152"/>
      <c r="ABP37" s="149"/>
      <c r="ABQ37" s="149"/>
      <c r="ABR37" s="149"/>
      <c r="ABS37" s="149"/>
      <c r="ABT37" s="149"/>
      <c r="ABU37" s="151"/>
      <c r="ABV37" s="149"/>
      <c r="ABW37" s="149"/>
      <c r="ABX37" s="149"/>
      <c r="ABY37" s="149"/>
      <c r="ABZ37" s="236"/>
      <c r="ACA37" s="239"/>
      <c r="ACB37" s="236"/>
      <c r="ACC37" s="236"/>
      <c r="ACD37" s="236"/>
      <c r="ACE37" s="236"/>
      <c r="ACF37" s="236"/>
      <c r="ACG37" s="238"/>
      <c r="ACH37" s="236"/>
      <c r="ACI37" s="236"/>
      <c r="ACJ37" s="236"/>
      <c r="ACK37" s="236"/>
      <c r="ACL37" s="236"/>
      <c r="ACM37" s="239"/>
      <c r="ACN37" s="236"/>
      <c r="ACO37" s="236"/>
      <c r="ACP37" s="236"/>
      <c r="ACQ37" s="236"/>
      <c r="ACR37" s="236"/>
      <c r="ACS37" s="238"/>
      <c r="ACT37" s="236"/>
      <c r="ACU37" s="236"/>
      <c r="ACV37" s="236"/>
      <c r="ACW37" s="236"/>
      <c r="ACX37" s="236"/>
      <c r="ACY37" s="239"/>
      <c r="ACZ37" s="236"/>
      <c r="ADA37" s="236"/>
      <c r="ADB37" s="236"/>
      <c r="ADC37" s="236"/>
      <c r="ADD37" s="236"/>
      <c r="ADE37" s="240"/>
      <c r="ADF37" s="235"/>
      <c r="ADG37" s="236"/>
      <c r="ADH37" s="236"/>
      <c r="ADI37" s="236"/>
      <c r="ADJ37" s="236"/>
      <c r="ADK37" s="237"/>
      <c r="ADL37" s="236"/>
      <c r="ADM37" s="236"/>
      <c r="ADN37" s="236"/>
      <c r="ADO37" s="236"/>
      <c r="ADP37" s="236"/>
      <c r="ADQ37" s="238"/>
      <c r="ADR37" s="236"/>
      <c r="ADS37" s="236"/>
      <c r="ADT37" s="236"/>
      <c r="ADU37" s="236"/>
      <c r="ADV37" s="236"/>
      <c r="ADW37" s="239"/>
      <c r="ADX37" s="236"/>
      <c r="ADY37" s="236"/>
      <c r="ADZ37" s="236"/>
      <c r="AEA37" s="236"/>
      <c r="AEB37" s="236"/>
      <c r="AEC37" s="238"/>
      <c r="AED37" s="236"/>
      <c r="AEE37" s="236"/>
      <c r="AEF37" s="236"/>
      <c r="AEG37" s="236"/>
      <c r="AEH37" s="236"/>
      <c r="AEI37" s="239"/>
      <c r="AEJ37" s="236"/>
      <c r="AEK37" s="236"/>
      <c r="AEL37" s="236"/>
      <c r="AEM37" s="236"/>
      <c r="AEN37" s="236"/>
      <c r="AEO37" s="238"/>
      <c r="AEP37" s="236"/>
      <c r="AEQ37" s="236"/>
      <c r="AER37" s="236"/>
      <c r="AES37" s="236"/>
      <c r="AET37" s="236"/>
      <c r="AEU37" s="239"/>
      <c r="AEV37" s="236"/>
      <c r="AEW37" s="236"/>
      <c r="AEX37" s="236"/>
      <c r="AEY37" s="236"/>
      <c r="AEZ37" s="236"/>
      <c r="AFA37" s="238"/>
      <c r="AFB37" s="236"/>
      <c r="AFC37" s="236"/>
      <c r="AFD37" s="236"/>
      <c r="AFE37" s="236"/>
      <c r="AFF37" s="236"/>
      <c r="AFG37" s="239"/>
      <c r="AFH37" s="236"/>
      <c r="AFI37" s="236"/>
      <c r="AFJ37" s="236"/>
      <c r="AFK37" s="236"/>
      <c r="AFL37" s="236"/>
      <c r="AFM37" s="240"/>
      <c r="AFN37" s="235"/>
      <c r="AFO37" s="236"/>
      <c r="AFP37" s="236"/>
      <c r="AFQ37" s="236"/>
      <c r="AFR37" s="236"/>
      <c r="AFS37" s="237"/>
      <c r="AFT37" s="236"/>
      <c r="AFU37" s="236"/>
      <c r="AFV37" s="236"/>
      <c r="AFW37" s="236"/>
      <c r="AFX37" s="236"/>
      <c r="AFY37" s="238"/>
      <c r="AFZ37" s="236"/>
      <c r="AGA37" s="236"/>
      <c r="AGB37" s="236"/>
      <c r="AGC37" s="236"/>
      <c r="AGD37" s="236"/>
      <c r="AGE37" s="239"/>
      <c r="AGF37" s="236"/>
      <c r="AGG37" s="236"/>
      <c r="AGH37" s="236"/>
      <c r="AGI37" s="236"/>
      <c r="AGJ37" s="236"/>
      <c r="AGK37" s="238"/>
      <c r="AGL37" s="236"/>
      <c r="AGM37" s="236"/>
      <c r="AGN37" s="236"/>
      <c r="AGO37" s="236"/>
      <c r="AGP37" s="236"/>
      <c r="AGQ37" s="239"/>
      <c r="AGR37" s="236"/>
      <c r="AGS37" s="236"/>
      <c r="AGT37" s="236"/>
      <c r="AGU37" s="236"/>
      <c r="AGV37" s="236"/>
      <c r="AGW37" s="238"/>
      <c r="AGX37" s="236"/>
      <c r="AGY37" s="236"/>
      <c r="AGZ37" s="236"/>
      <c r="AHA37" s="236"/>
      <c r="AHB37" s="236"/>
      <c r="AHC37" s="239"/>
      <c r="AHD37" s="236"/>
      <c r="AHE37" s="236"/>
      <c r="AHF37" s="236"/>
      <c r="AHG37" s="236"/>
      <c r="AHH37" s="236"/>
      <c r="AHI37" s="238"/>
      <c r="AHJ37" s="236"/>
      <c r="AHK37" s="236"/>
      <c r="AHL37" s="236"/>
      <c r="AHM37" s="236"/>
      <c r="AHN37" s="236"/>
      <c r="AHO37" s="239"/>
      <c r="AHP37" s="236"/>
      <c r="AHQ37" s="236"/>
      <c r="AHR37" s="236"/>
      <c r="AHS37" s="236"/>
      <c r="AHT37" s="236"/>
      <c r="AHU37" s="240"/>
      <c r="AHV37" s="235"/>
      <c r="AHW37" s="236"/>
      <c r="AHX37" s="236"/>
      <c r="AHY37" s="236"/>
      <c r="AHZ37" s="236"/>
      <c r="AIA37" s="237"/>
      <c r="AIB37" s="236"/>
      <c r="AIC37" s="236"/>
      <c r="AID37" s="236"/>
      <c r="AIE37" s="236"/>
      <c r="AIF37" s="236"/>
      <c r="AIG37" s="238"/>
      <c r="AIH37" s="236"/>
      <c r="AII37" s="236"/>
      <c r="AIJ37" s="236"/>
      <c r="AIK37" s="236"/>
      <c r="AIL37" s="236"/>
      <c r="AIM37" s="239"/>
      <c r="AIN37" s="236"/>
      <c r="AIO37" s="236"/>
      <c r="AIP37" s="236"/>
      <c r="AIQ37" s="236"/>
      <c r="AIR37" s="236"/>
      <c r="AIS37" s="238"/>
      <c r="AIT37" s="236"/>
      <c r="AIU37" s="236"/>
      <c r="AIV37" s="236"/>
      <c r="AIW37" s="236"/>
      <c r="AIX37" s="236"/>
      <c r="AIY37" s="239"/>
      <c r="AIZ37" s="236"/>
      <c r="AJA37" s="236"/>
      <c r="AJB37" s="236"/>
      <c r="AJC37" s="236"/>
      <c r="AJD37" s="236"/>
      <c r="AJE37" s="238"/>
      <c r="AJF37" s="236"/>
      <c r="AJG37" s="236"/>
      <c r="AJH37" s="236"/>
      <c r="AJI37" s="236"/>
      <c r="AJJ37" s="236"/>
      <c r="AJK37" s="239"/>
      <c r="AJL37" s="236"/>
      <c r="AJM37" s="236"/>
      <c r="AJN37" s="236"/>
      <c r="AJO37" s="236"/>
      <c r="AJP37" s="236"/>
      <c r="AJQ37" s="238"/>
      <c r="AJR37" s="236"/>
      <c r="AJS37" s="236"/>
      <c r="AJT37" s="236"/>
      <c r="AJU37" s="236"/>
      <c r="AJV37" s="236"/>
      <c r="AJW37" s="239"/>
      <c r="AJX37" s="236"/>
      <c r="AJY37" s="236"/>
      <c r="AJZ37" s="236"/>
      <c r="AKA37" s="236"/>
      <c r="AKB37" s="236"/>
      <c r="AKC37" s="240"/>
      <c r="AKD37" s="235"/>
      <c r="AKE37" s="236"/>
      <c r="AKF37" s="236"/>
      <c r="AKG37" s="236"/>
      <c r="AKH37" s="236"/>
      <c r="AKI37" s="237"/>
      <c r="AKJ37" s="236"/>
      <c r="AKK37" s="236"/>
      <c r="AKL37" s="236"/>
      <c r="AKM37" s="236"/>
      <c r="AKN37" s="236"/>
      <c r="AKO37" s="238"/>
      <c r="AKP37" s="236"/>
      <c r="AKQ37" s="236"/>
      <c r="AKR37" s="236"/>
      <c r="AKS37" s="236"/>
      <c r="AKT37" s="236"/>
      <c r="AKU37" s="239"/>
      <c r="AKV37" s="236"/>
      <c r="AKW37" s="236"/>
      <c r="AKX37" s="236"/>
      <c r="AKY37" s="236"/>
      <c r="AKZ37" s="236"/>
      <c r="ALA37" s="238"/>
      <c r="ALB37" s="236"/>
      <c r="ALC37" s="236"/>
      <c r="ALD37" s="236"/>
      <c r="ALE37" s="236"/>
      <c r="ALF37" s="236"/>
      <c r="ALG37" s="239"/>
      <c r="ALH37" s="236"/>
      <c r="ALI37" s="236"/>
      <c r="ALJ37" s="236"/>
      <c r="ALK37" s="236"/>
      <c r="ALL37" s="236"/>
      <c r="ALM37" s="238"/>
      <c r="ALN37" s="236"/>
      <c r="ALO37" s="236"/>
      <c r="ALP37" s="236"/>
      <c r="ALQ37" s="236"/>
      <c r="ALR37" s="236"/>
      <c r="ALS37" s="239"/>
      <c r="ALT37" s="236"/>
      <c r="ALU37" s="236"/>
      <c r="ALV37" s="236"/>
      <c r="ALW37" s="236"/>
      <c r="ALX37" s="236"/>
      <c r="ALY37" s="238"/>
      <c r="ALZ37" s="236"/>
      <c r="AMA37" s="236"/>
      <c r="AMB37" s="236"/>
      <c r="AMC37" s="236"/>
      <c r="AMD37" s="236"/>
      <c r="AME37" s="239"/>
      <c r="AMF37" s="236"/>
      <c r="AMG37" s="236"/>
      <c r="AMH37" s="236"/>
      <c r="AMI37" s="236"/>
      <c r="AMJ37" s="236"/>
      <c r="AMK37" s="240"/>
      <c r="AML37" s="235"/>
      <c r="AMM37" s="236"/>
      <c r="AMN37" s="236"/>
      <c r="AMO37" s="236"/>
      <c r="AMP37" s="236"/>
      <c r="AMQ37" s="237"/>
      <c r="AMR37" s="236"/>
      <c r="AMS37" s="236"/>
      <c r="AMT37" s="236"/>
      <c r="AMU37" s="236"/>
      <c r="AMV37" s="236"/>
      <c r="AMW37" s="238"/>
      <c r="AMX37" s="236"/>
      <c r="AMY37" s="236"/>
      <c r="AMZ37" s="236"/>
      <c r="ANA37" s="236"/>
      <c r="ANB37" s="236"/>
      <c r="ANC37" s="239"/>
      <c r="AND37" s="236"/>
      <c r="ANE37" s="236"/>
      <c r="ANF37" s="236"/>
      <c r="ANG37" s="236"/>
      <c r="ANH37" s="236"/>
      <c r="ANI37" s="238"/>
      <c r="ANJ37" s="236"/>
      <c r="ANK37" s="236"/>
      <c r="ANL37" s="236"/>
      <c r="ANM37" s="236"/>
      <c r="ANN37" s="236"/>
      <c r="ANO37" s="239"/>
      <c r="ANP37" s="236"/>
      <c r="ANQ37" s="236"/>
      <c r="ANR37" s="236"/>
      <c r="ANS37" s="236"/>
      <c r="ANT37" s="236"/>
      <c r="ANU37" s="238"/>
      <c r="ANV37" s="236"/>
      <c r="ANW37" s="236"/>
      <c r="ANX37" s="236"/>
      <c r="ANY37" s="236"/>
      <c r="ANZ37" s="236"/>
      <c r="AOA37" s="239"/>
      <c r="AOB37" s="236"/>
      <c r="AOC37" s="236"/>
      <c r="AOD37" s="236"/>
      <c r="AOE37" s="236"/>
      <c r="AOF37" s="236"/>
      <c r="AOG37" s="238"/>
      <c r="AOH37" s="236"/>
      <c r="AOI37" s="236"/>
      <c r="AOJ37" s="236"/>
      <c r="AOK37" s="236"/>
      <c r="AOL37" s="236"/>
      <c r="AOM37" s="239"/>
      <c r="AON37" s="236"/>
      <c r="AOO37" s="236"/>
      <c r="AOP37" s="236"/>
      <c r="AOQ37" s="236"/>
      <c r="AOR37" s="236"/>
      <c r="AOS37" s="240"/>
      <c r="AOT37" s="235"/>
      <c r="AOU37" s="236"/>
      <c r="AOV37" s="236"/>
      <c r="AOW37" s="236"/>
      <c r="AOX37" s="236"/>
      <c r="AOY37" s="237"/>
      <c r="AOZ37" s="236"/>
      <c r="APA37" s="236"/>
      <c r="APB37" s="236"/>
      <c r="APC37" s="236"/>
      <c r="APD37" s="236"/>
      <c r="APE37" s="238"/>
      <c r="APF37" s="236"/>
      <c r="APG37" s="236"/>
      <c r="APH37" s="236"/>
      <c r="API37" s="236"/>
      <c r="APJ37" s="236"/>
      <c r="APK37" s="239"/>
      <c r="APL37" s="236"/>
      <c r="APM37" s="236"/>
      <c r="APN37" s="236"/>
      <c r="APO37" s="236"/>
      <c r="APP37" s="236"/>
      <c r="APQ37" s="238"/>
      <c r="APR37" s="236"/>
      <c r="APS37" s="236"/>
      <c r="APT37" s="236"/>
      <c r="APU37" s="236"/>
      <c r="APV37" s="236"/>
      <c r="APW37" s="239"/>
      <c r="APX37" s="236"/>
      <c r="APY37" s="236"/>
      <c r="APZ37" s="236"/>
      <c r="AQA37" s="236"/>
      <c r="AQB37" s="236"/>
      <c r="AQC37" s="238"/>
      <c r="AQD37" s="236"/>
      <c r="AQE37" s="236"/>
      <c r="AQF37" s="236"/>
      <c r="AQG37" s="236"/>
      <c r="AQH37" s="236"/>
      <c r="AQI37" s="239"/>
      <c r="AQJ37" s="236"/>
      <c r="AQK37" s="236"/>
      <c r="AQL37" s="236"/>
      <c r="AQM37" s="236"/>
      <c r="AQN37" s="236"/>
      <c r="AQO37" s="238"/>
      <c r="AQP37" s="236"/>
      <c r="AQQ37" s="236"/>
      <c r="AQR37" s="236"/>
      <c r="AQS37" s="236"/>
      <c r="AQT37" s="236"/>
      <c r="AQU37" s="239"/>
      <c r="AQV37" s="236"/>
      <c r="AQW37" s="236"/>
      <c r="AQX37" s="236"/>
      <c r="AQY37" s="236"/>
      <c r="AQZ37" s="236"/>
      <c r="ARA37" s="240"/>
      <c r="ARB37" s="235"/>
      <c r="ARC37" s="236"/>
      <c r="ARD37" s="236"/>
      <c r="ARE37" s="236"/>
      <c r="ARF37" s="236"/>
      <c r="ARG37" s="237"/>
      <c r="ARH37" s="236"/>
      <c r="ARI37" s="236"/>
      <c r="ARJ37" s="236"/>
      <c r="ARK37" s="236"/>
      <c r="ARL37" s="236"/>
      <c r="ARM37" s="238"/>
      <c r="ARN37" s="236"/>
      <c r="ARO37" s="236"/>
      <c r="ARP37" s="236"/>
      <c r="ARQ37" s="236"/>
      <c r="ARR37" s="236"/>
      <c r="ARS37" s="239"/>
      <c r="ART37" s="236"/>
      <c r="ARU37" s="236"/>
      <c r="ARV37" s="236"/>
      <c r="ARW37" s="236"/>
      <c r="ARX37" s="236"/>
      <c r="ARY37" s="238"/>
      <c r="ARZ37" s="236"/>
      <c r="ASA37" s="236"/>
      <c r="ASB37" s="236"/>
      <c r="ASC37" s="236"/>
      <c r="ASD37" s="236"/>
      <c r="ASE37" s="239"/>
      <c r="ASF37" s="236"/>
      <c r="ASG37" s="236"/>
      <c r="ASH37" s="236"/>
      <c r="ASI37" s="236"/>
      <c r="ASJ37" s="236"/>
      <c r="ASK37" s="238"/>
      <c r="ASL37" s="236"/>
      <c r="ASM37" s="236"/>
      <c r="ASN37" s="236"/>
      <c r="ASO37" s="236"/>
      <c r="ASP37" s="236"/>
      <c r="ASQ37" s="239"/>
      <c r="ASR37" s="236"/>
      <c r="ASS37" s="236"/>
      <c r="AST37" s="236"/>
      <c r="ASU37" s="236"/>
      <c r="ASV37" s="236"/>
      <c r="ASW37" s="238"/>
      <c r="ASX37" s="236"/>
      <c r="ASY37" s="236"/>
      <c r="ASZ37" s="236"/>
      <c r="ATA37" s="236"/>
      <c r="ATB37" s="236"/>
      <c r="ATC37" s="239"/>
      <c r="ATD37" s="236"/>
      <c r="ATE37" s="236"/>
      <c r="ATF37" s="236"/>
      <c r="ATG37" s="236"/>
      <c r="ATH37" s="236"/>
      <c r="ATI37" s="240"/>
      <c r="ATJ37" s="235"/>
      <c r="ATK37" s="236"/>
      <c r="ATL37" s="236"/>
      <c r="ATM37" s="236"/>
      <c r="ATN37" s="236"/>
      <c r="ATO37" s="237"/>
      <c r="ATP37" s="236"/>
      <c r="ATQ37" s="236"/>
      <c r="ATR37" s="236"/>
      <c r="ATS37" s="236"/>
      <c r="ATT37" s="236"/>
      <c r="ATU37" s="238"/>
      <c r="ATV37" s="236"/>
      <c r="ATW37" s="236"/>
      <c r="ATX37" s="236"/>
      <c r="ATY37" s="236"/>
      <c r="ATZ37" s="236"/>
      <c r="AUA37" s="239"/>
      <c r="AUB37" s="236"/>
      <c r="AUC37" s="236"/>
      <c r="AUD37" s="236"/>
      <c r="AUE37" s="236"/>
      <c r="AUF37" s="236"/>
      <c r="AUG37" s="238"/>
      <c r="AUH37" s="236"/>
      <c r="AUI37" s="236"/>
      <c r="AUJ37" s="236"/>
      <c r="AUK37" s="236"/>
      <c r="AUL37" s="236"/>
      <c r="AUM37" s="239"/>
      <c r="AUN37" s="236"/>
      <c r="AUO37" s="236"/>
      <c r="AUP37" s="236"/>
      <c r="AUQ37" s="236"/>
      <c r="AUR37" s="236"/>
      <c r="AUS37" s="238"/>
      <c r="AUT37" s="236"/>
      <c r="AUU37" s="236"/>
      <c r="AUV37" s="236"/>
      <c r="AUW37" s="236"/>
      <c r="AUX37" s="236"/>
      <c r="AUY37" s="239"/>
      <c r="AUZ37" s="236"/>
      <c r="AVA37" s="236"/>
      <c r="AVB37" s="236"/>
      <c r="AVC37" s="236"/>
      <c r="AVD37" s="236"/>
      <c r="AVE37" s="238"/>
      <c r="AVF37" s="236"/>
      <c r="AVG37" s="236"/>
      <c r="AVH37" s="236"/>
      <c r="AVI37" s="236"/>
      <c r="AVJ37" s="236"/>
      <c r="AVK37" s="239"/>
      <c r="AVL37" s="236"/>
      <c r="AVM37" s="236"/>
      <c r="AVN37" s="236"/>
      <c r="AVO37" s="236"/>
      <c r="AVP37" s="236"/>
      <c r="AVQ37" s="240"/>
      <c r="AVR37" s="235"/>
      <c r="AVS37" s="236"/>
      <c r="AVT37" s="236"/>
      <c r="AVU37" s="236"/>
      <c r="AVV37" s="236"/>
      <c r="AVW37" s="237"/>
      <c r="AVX37" s="236"/>
      <c r="AVY37" s="236"/>
      <c r="AVZ37" s="236"/>
      <c r="AWA37" s="236"/>
      <c r="AWB37" s="236"/>
      <c r="AWC37" s="238"/>
      <c r="AWD37" s="236"/>
      <c r="AWE37" s="236"/>
      <c r="AWF37" s="236"/>
      <c r="AWG37" s="236"/>
      <c r="AWH37" s="236"/>
      <c r="AWI37" s="239"/>
      <c r="AWJ37" s="236"/>
      <c r="AWK37" s="236"/>
      <c r="AWL37" s="236"/>
      <c r="AWM37" s="236"/>
      <c r="AWN37" s="236"/>
      <c r="AWO37" s="238"/>
      <c r="AWP37" s="236"/>
      <c r="AWQ37" s="236"/>
      <c r="AWR37" s="236"/>
      <c r="AWS37" s="236"/>
      <c r="AWT37" s="236"/>
      <c r="AWU37" s="239"/>
      <c r="AWV37" s="236"/>
      <c r="AWW37" s="236"/>
      <c r="AWX37" s="236"/>
      <c r="AWY37" s="236"/>
      <c r="AWZ37" s="236"/>
      <c r="AXA37" s="238"/>
      <c r="AXB37" s="236"/>
      <c r="AXC37" s="236"/>
      <c r="AXD37" s="236"/>
      <c r="AXE37" s="236"/>
      <c r="AXF37" s="236"/>
      <c r="AXG37" s="239"/>
      <c r="AXH37" s="236"/>
      <c r="AXI37" s="236"/>
      <c r="AXJ37" s="236"/>
      <c r="AXK37" s="236"/>
      <c r="AXL37" s="236"/>
      <c r="AXM37" s="238"/>
      <c r="AXN37" s="236"/>
      <c r="AXO37" s="236"/>
      <c r="AXP37" s="236"/>
      <c r="AXQ37" s="236"/>
      <c r="AXR37" s="236"/>
      <c r="AXS37" s="239"/>
      <c r="AXT37" s="236"/>
      <c r="AXU37" s="236"/>
      <c r="AXV37" s="236"/>
      <c r="AXW37" s="236"/>
      <c r="AXX37" s="236"/>
      <c r="AXY37" s="240"/>
      <c r="AXZ37" s="235"/>
      <c r="AYA37" s="236"/>
      <c r="AYB37" s="236"/>
      <c r="AYC37" s="236"/>
      <c r="AYD37" s="236"/>
      <c r="AYE37" s="237"/>
      <c r="AYF37" s="236"/>
      <c r="AYG37" s="236"/>
      <c r="AYH37" s="236"/>
      <c r="AYI37" s="236"/>
      <c r="AYJ37" s="236"/>
      <c r="AYK37" s="238"/>
      <c r="AYL37" s="236"/>
      <c r="AYM37" s="236"/>
      <c r="AYN37" s="236"/>
      <c r="AYO37" s="236"/>
      <c r="AYP37" s="236"/>
      <c r="AYQ37" s="239"/>
      <c r="AYR37" s="236"/>
      <c r="AYS37" s="236"/>
      <c r="AYT37" s="236"/>
      <c r="AYU37" s="236"/>
      <c r="AYV37" s="236"/>
      <c r="AYW37" s="238"/>
      <c r="AYX37" s="236"/>
      <c r="AYY37" s="236"/>
      <c r="AYZ37" s="236"/>
      <c r="AZA37" s="236"/>
      <c r="AZB37" s="236"/>
      <c r="AZC37" s="239"/>
      <c r="AZD37" s="236"/>
      <c r="AZE37" s="236"/>
      <c r="AZF37" s="236"/>
      <c r="AZG37" s="236"/>
      <c r="AZH37" s="236"/>
      <c r="AZI37" s="238"/>
      <c r="AZJ37" s="236"/>
      <c r="AZK37" s="236"/>
      <c r="AZL37" s="236"/>
      <c r="AZM37" s="236"/>
      <c r="AZN37" s="236"/>
      <c r="AZO37" s="239"/>
      <c r="AZP37" s="236"/>
      <c r="AZQ37" s="236"/>
      <c r="AZR37" s="236"/>
      <c r="AZS37" s="236"/>
      <c r="AZT37" s="236"/>
      <c r="AZU37" s="238"/>
      <c r="AZV37" s="236"/>
      <c r="AZW37" s="236"/>
      <c r="AZX37" s="236"/>
      <c r="AZY37" s="236"/>
      <c r="AZZ37" s="236"/>
      <c r="BAA37" s="239"/>
      <c r="BAB37" s="236"/>
      <c r="BAC37" s="236"/>
      <c r="BAD37" s="236"/>
      <c r="BAE37" s="236"/>
      <c r="BAF37" s="236"/>
      <c r="BAG37" s="240"/>
      <c r="BAH37" s="235"/>
      <c r="BAI37" s="236"/>
      <c r="BAJ37" s="236"/>
      <c r="BAK37" s="236"/>
      <c r="BAL37" s="236"/>
      <c r="BAM37" s="237"/>
      <c r="BAN37" s="236"/>
      <c r="BAO37" s="236"/>
      <c r="BAP37" s="236"/>
      <c r="BAQ37" s="236"/>
      <c r="BAR37" s="236"/>
      <c r="BAS37" s="238"/>
      <c r="BAT37" s="236"/>
      <c r="BAU37" s="236"/>
      <c r="BAV37" s="236"/>
      <c r="BAW37" s="236"/>
      <c r="BAX37" s="236"/>
      <c r="BAY37" s="239"/>
      <c r="BAZ37" s="236"/>
      <c r="BBA37" s="236"/>
      <c r="BBB37" s="236"/>
      <c r="BBC37" s="236"/>
      <c r="BBD37" s="236"/>
      <c r="BBE37" s="238"/>
      <c r="BBF37" s="236"/>
      <c r="BBG37" s="236"/>
      <c r="BBH37" s="236"/>
      <c r="BBI37" s="236"/>
      <c r="BBJ37" s="236"/>
      <c r="BBK37" s="239"/>
      <c r="BBL37" s="236"/>
      <c r="BBM37" s="236"/>
      <c r="BBN37" s="236"/>
      <c r="BBO37" s="236"/>
      <c r="BBP37" s="236"/>
      <c r="BBQ37" s="238"/>
      <c r="BBR37" s="236"/>
      <c r="BBS37" s="236"/>
      <c r="BBT37" s="236"/>
      <c r="BBU37" s="236"/>
      <c r="BBV37" s="236"/>
      <c r="BBW37" s="239"/>
      <c r="BBX37" s="236"/>
      <c r="BBY37" s="236"/>
      <c r="BBZ37" s="236"/>
      <c r="BCA37" s="236"/>
      <c r="BCB37" s="236"/>
      <c r="BCC37" s="238"/>
      <c r="BCD37" s="236"/>
      <c r="BCE37" s="236"/>
      <c r="BCF37" s="236"/>
      <c r="BCG37" s="236"/>
      <c r="BCH37" s="236"/>
      <c r="BCI37" s="239"/>
      <c r="BCJ37" s="236"/>
      <c r="BCK37" s="236"/>
      <c r="BCL37" s="236"/>
      <c r="BCM37" s="236"/>
      <c r="BCN37" s="236"/>
      <c r="BCO37" s="240"/>
      <c r="BCP37" s="235"/>
      <c r="BCQ37" s="236"/>
      <c r="BCR37" s="236"/>
      <c r="BCS37" s="236"/>
      <c r="BCT37" s="236"/>
      <c r="BCU37" s="237"/>
      <c r="BCV37" s="236"/>
      <c r="BCW37" s="236"/>
      <c r="BCX37" s="236"/>
      <c r="BCY37" s="236"/>
      <c r="BCZ37" s="236"/>
      <c r="BDA37" s="238"/>
      <c r="BDB37" s="236"/>
      <c r="BDC37" s="236"/>
      <c r="BDD37" s="236"/>
      <c r="BDE37" s="236"/>
      <c r="BDF37" s="236"/>
      <c r="BDG37" s="239"/>
      <c r="BDH37" s="236"/>
      <c r="BDI37" s="236"/>
      <c r="BDJ37" s="236"/>
      <c r="BDK37" s="236"/>
      <c r="BDL37" s="236"/>
      <c r="BDM37" s="238"/>
      <c r="BDN37" s="236"/>
      <c r="BDO37" s="236"/>
      <c r="BDP37" s="236"/>
      <c r="BDQ37" s="236"/>
      <c r="BDR37" s="236"/>
      <c r="BDS37" s="239"/>
      <c r="BDT37" s="236"/>
      <c r="BDU37" s="236"/>
      <c r="BDV37" s="236"/>
      <c r="BDW37" s="236"/>
      <c r="BDX37" s="236"/>
      <c r="BDY37" s="238"/>
      <c r="BDZ37" s="236"/>
      <c r="BEA37" s="236"/>
      <c r="BEB37" s="236"/>
      <c r="BEC37" s="236"/>
      <c r="BED37" s="236"/>
      <c r="BEE37" s="239"/>
      <c r="BEF37" s="236"/>
      <c r="BEG37" s="236"/>
      <c r="BEH37" s="236"/>
      <c r="BEI37" s="236"/>
      <c r="BEJ37" s="236"/>
      <c r="BEK37" s="238"/>
      <c r="BEL37" s="236"/>
      <c r="BEM37" s="236"/>
      <c r="BEN37" s="236"/>
      <c r="BEO37" s="236"/>
      <c r="BEP37" s="236"/>
      <c r="BEQ37" s="239"/>
      <c r="BER37" s="236"/>
      <c r="BES37" s="236"/>
      <c r="BET37" s="236"/>
      <c r="BEU37" s="236"/>
      <c r="BEV37" s="236"/>
      <c r="BEW37" s="240"/>
      <c r="BEX37" s="235"/>
      <c r="BEY37" s="236"/>
      <c r="BEZ37" s="236"/>
      <c r="BFA37" s="236"/>
      <c r="BFB37" s="236"/>
      <c r="BFC37" s="237"/>
      <c r="BFD37" s="236"/>
      <c r="BFE37" s="236"/>
      <c r="BFF37" s="236"/>
      <c r="BFG37" s="236"/>
      <c r="BFH37" s="236"/>
      <c r="BFI37" s="238"/>
      <c r="BFJ37" s="236"/>
      <c r="BFK37" s="236"/>
      <c r="BFL37" s="236"/>
      <c r="BFM37" s="236"/>
      <c r="BFN37" s="236"/>
      <c r="BFO37" s="239"/>
      <c r="BFP37" s="236"/>
      <c r="BFQ37" s="236"/>
      <c r="BFR37" s="236"/>
      <c r="BFS37" s="236"/>
      <c r="BFT37" s="236"/>
      <c r="BFU37" s="238"/>
      <c r="BFV37" s="236"/>
      <c r="BFW37" s="236"/>
      <c r="BFX37" s="236"/>
      <c r="BFY37" s="236"/>
      <c r="BFZ37" s="236"/>
      <c r="BGA37" s="239"/>
      <c r="BGB37" s="236"/>
      <c r="BGC37" s="236"/>
      <c r="BGD37" s="236"/>
      <c r="BGE37" s="236"/>
      <c r="BGF37" s="236"/>
      <c r="BGG37" s="238"/>
      <c r="BGH37" s="236"/>
      <c r="BGI37" s="236"/>
      <c r="BGJ37" s="236"/>
      <c r="BGK37" s="236"/>
      <c r="BGL37" s="236"/>
      <c r="BGM37" s="239"/>
      <c r="BGN37" s="236"/>
      <c r="BGO37" s="236"/>
      <c r="BGP37" s="236"/>
      <c r="BGQ37" s="236"/>
      <c r="BGR37" s="236"/>
      <c r="BGS37" s="238"/>
      <c r="BGT37" s="236"/>
      <c r="BGU37" s="236"/>
      <c r="BGV37" s="236"/>
      <c r="BGW37" s="236"/>
      <c r="BGX37" s="236"/>
      <c r="BGY37" s="239"/>
      <c r="BGZ37" s="236"/>
      <c r="BHA37" s="236"/>
      <c r="BHB37" s="236"/>
      <c r="BHC37" s="236"/>
      <c r="BHD37" s="236"/>
      <c r="BHE37" s="240"/>
      <c r="BHF37" s="235"/>
      <c r="BHG37" s="236"/>
      <c r="BHH37" s="236"/>
      <c r="BHI37" s="236"/>
      <c r="BHJ37" s="236"/>
      <c r="BHK37" s="237"/>
      <c r="BHL37" s="236"/>
      <c r="BHM37" s="236"/>
      <c r="BHN37" s="236"/>
      <c r="BHO37" s="236"/>
      <c r="BHP37" s="236"/>
      <c r="BHQ37" s="238"/>
      <c r="BHR37" s="236"/>
      <c r="BHS37" s="236"/>
      <c r="BHT37" s="236"/>
      <c r="BHU37" s="236"/>
      <c r="BHV37" s="236"/>
      <c r="BHW37" s="239"/>
      <c r="BHX37" s="236"/>
      <c r="BHY37" s="236"/>
      <c r="BHZ37" s="236"/>
      <c r="BIA37" s="236"/>
      <c r="BIB37" s="236"/>
      <c r="BIC37" s="238"/>
      <c r="BID37" s="236"/>
      <c r="BIE37" s="236"/>
      <c r="BIF37" s="236"/>
      <c r="BIG37" s="236"/>
      <c r="BIH37" s="236"/>
      <c r="BII37" s="239"/>
      <c r="BIJ37" s="236"/>
      <c r="BIK37" s="236"/>
      <c r="BIL37" s="236"/>
      <c r="BIM37" s="236"/>
      <c r="BIN37" s="236"/>
      <c r="BIO37" s="238"/>
      <c r="BIP37" s="236"/>
      <c r="BIQ37" s="236"/>
      <c r="BIR37" s="236"/>
      <c r="BIS37" s="236"/>
      <c r="BIT37" s="236"/>
      <c r="BIU37" s="239"/>
      <c r="BIV37" s="236"/>
      <c r="BIW37" s="236"/>
      <c r="BIX37" s="236"/>
      <c r="BIY37" s="236"/>
      <c r="BIZ37" s="236"/>
      <c r="BJA37" s="238"/>
      <c r="BJB37" s="236"/>
      <c r="BJC37" s="236"/>
      <c r="BJD37" s="236"/>
      <c r="BJE37" s="236"/>
      <c r="BJF37" s="236"/>
      <c r="BJG37" s="239"/>
      <c r="BJH37" s="236"/>
      <c r="BJI37" s="236"/>
      <c r="BJJ37" s="236"/>
      <c r="BJK37" s="236"/>
      <c r="BJL37" s="236"/>
      <c r="BJM37" s="240"/>
      <c r="BJN37" s="233"/>
      <c r="BJO37" s="234"/>
      <c r="BJP37" s="234"/>
      <c r="BJQ37" s="234"/>
      <c r="BJR37" s="234"/>
      <c r="BJS37" s="234"/>
      <c r="BJT37" s="234"/>
      <c r="BJU37" s="234"/>
      <c r="BJV37" s="234"/>
      <c r="BJW37" s="234"/>
      <c r="BJX37" s="234"/>
      <c r="BJY37" s="234"/>
      <c r="BJZ37" s="234"/>
      <c r="BKA37" s="234"/>
      <c r="BKB37" s="234"/>
      <c r="BKC37" s="234"/>
      <c r="BKD37" s="234"/>
      <c r="BKE37" s="234"/>
      <c r="BKF37" s="234"/>
      <c r="BKG37" s="234"/>
      <c r="BKH37" s="234"/>
      <c r="BKI37" s="234"/>
      <c r="BKJ37" s="234"/>
      <c r="BKK37" s="234"/>
      <c r="BKL37" s="234"/>
      <c r="BKM37" s="234"/>
      <c r="BKN37" s="234"/>
    </row>
    <row r="38" spans="1:1652" ht="20.100000000000001" customHeight="1" x14ac:dyDescent="0.3">
      <c r="A38" s="84" t="s">
        <v>20</v>
      </c>
      <c r="B38" s="53" t="str">
        <f>IF(LEN(C61)=0,"",C61)</f>
        <v/>
      </c>
      <c r="C38" s="178"/>
      <c r="D38" s="131" t="str">
        <f t="shared" si="0"/>
        <v>2h</v>
      </c>
      <c r="E38" s="30">
        <v>24</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166"/>
      <c r="AKQ38" s="166"/>
      <c r="AKR38" s="166"/>
      <c r="AKS38" s="166"/>
      <c r="AKT38" s="166"/>
      <c r="AKU38" s="169"/>
      <c r="AKV38" s="166"/>
      <c r="AKW38" s="166"/>
      <c r="AKX38" s="166"/>
      <c r="AKY38" s="166"/>
      <c r="AKZ38" s="166"/>
      <c r="ALA38" s="168"/>
      <c r="ALB38" s="166"/>
      <c r="ALC38" s="166"/>
      <c r="ALD38" s="166"/>
      <c r="ALE38" s="166"/>
      <c r="ALF38" s="166"/>
      <c r="ALG38" s="169"/>
      <c r="ALH38" s="166"/>
      <c r="ALI38" s="166"/>
      <c r="ALJ38" s="166"/>
      <c r="ALK38" s="166"/>
      <c r="ALL38" s="166"/>
      <c r="ALM38" s="168"/>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174"/>
      <c r="BJO38" s="4"/>
      <c r="BJP38" s="4"/>
      <c r="BJQ38" s="4"/>
      <c r="BJR38" s="4"/>
      <c r="BJS38" s="4"/>
      <c r="BJT38" s="4"/>
      <c r="BJU38" s="4"/>
      <c r="BJV38" s="4"/>
      <c r="BJW38" s="4"/>
      <c r="BJX38" s="4"/>
      <c r="BJY38" s="4"/>
      <c r="BJZ38" s="4"/>
      <c r="BKA38" s="4"/>
      <c r="BKB38" s="4"/>
      <c r="BKC38" s="4"/>
      <c r="BKD38" s="4"/>
      <c r="BKE38" s="4"/>
      <c r="BKF38" s="4"/>
      <c r="BKG38" s="4"/>
      <c r="BKH38" s="4"/>
      <c r="BKI38" s="4"/>
      <c r="BKJ38" s="4"/>
      <c r="BKK38" s="4"/>
      <c r="BKL38" s="4"/>
      <c r="BKM38" s="4"/>
      <c r="BKN38" s="4"/>
    </row>
    <row r="39" spans="1:1652" ht="20.100000000000001" customHeight="1" x14ac:dyDescent="0.25">
      <c r="A39" s="84" t="s">
        <v>19</v>
      </c>
      <c r="B39" s="53" t="str">
        <f>IF(LEN(C63)=0,"",C63)</f>
        <v/>
      </c>
      <c r="C39" s="177" t="s">
        <v>79</v>
      </c>
      <c r="D39" s="129" t="str">
        <f t="shared" si="0"/>
        <v>5h30min</v>
      </c>
      <c r="E39" s="34">
        <v>66</v>
      </c>
      <c r="F39" s="241"/>
      <c r="G39" s="242"/>
      <c r="H39" s="242"/>
      <c r="I39" s="242"/>
      <c r="J39" s="242"/>
      <c r="K39" s="243"/>
      <c r="L39" s="242"/>
      <c r="M39" s="242"/>
      <c r="N39" s="242"/>
      <c r="O39" s="242"/>
      <c r="P39" s="242"/>
      <c r="Q39" s="244"/>
      <c r="R39" s="242"/>
      <c r="S39" s="242"/>
      <c r="T39" s="242"/>
      <c r="U39" s="242"/>
      <c r="V39" s="242"/>
      <c r="W39" s="245"/>
      <c r="X39" s="242"/>
      <c r="Y39" s="242"/>
      <c r="Z39" s="242"/>
      <c r="AA39" s="242"/>
      <c r="AB39" s="242"/>
      <c r="AC39" s="244"/>
      <c r="AD39" s="242"/>
      <c r="AE39" s="242"/>
      <c r="AF39" s="242"/>
      <c r="AG39" s="242"/>
      <c r="AH39" s="242"/>
      <c r="AI39" s="245"/>
      <c r="AJ39" s="242"/>
      <c r="AK39" s="242"/>
      <c r="AL39" s="242"/>
      <c r="AM39" s="242"/>
      <c r="AN39" s="242"/>
      <c r="AO39" s="244"/>
      <c r="AP39" s="242"/>
      <c r="AQ39" s="242"/>
      <c r="AR39" s="242"/>
      <c r="AS39" s="242"/>
      <c r="AT39" s="242"/>
      <c r="AU39" s="245"/>
      <c r="AV39" s="242"/>
      <c r="AW39" s="242"/>
      <c r="AX39" s="242"/>
      <c r="AY39" s="242"/>
      <c r="AZ39" s="242"/>
      <c r="BA39" s="244"/>
      <c r="BB39" s="242"/>
      <c r="BC39" s="242"/>
      <c r="BD39" s="242"/>
      <c r="BE39" s="242"/>
      <c r="BF39" s="242"/>
      <c r="BG39" s="245"/>
      <c r="BH39" s="242"/>
      <c r="BI39" s="242"/>
      <c r="BJ39" s="242"/>
      <c r="BK39" s="242"/>
      <c r="BL39" s="242"/>
      <c r="BM39" s="246"/>
      <c r="BN39" s="241"/>
      <c r="BO39" s="242"/>
      <c r="BP39" s="242"/>
      <c r="BQ39" s="242"/>
      <c r="BR39" s="242"/>
      <c r="BS39" s="243"/>
      <c r="BT39" s="242"/>
      <c r="BU39" s="242"/>
      <c r="BV39" s="242"/>
      <c r="BW39" s="242"/>
      <c r="BX39" s="242"/>
      <c r="BY39" s="244"/>
      <c r="BZ39" s="242"/>
      <c r="CA39" s="242"/>
      <c r="CB39" s="242"/>
      <c r="CC39" s="242"/>
      <c r="CD39" s="242"/>
      <c r="CE39" s="245"/>
      <c r="CF39" s="242"/>
      <c r="CG39" s="242"/>
      <c r="CH39" s="242"/>
      <c r="CI39" s="242"/>
      <c r="CJ39" s="242"/>
      <c r="CK39" s="244"/>
      <c r="CL39" s="242"/>
      <c r="CM39" s="242"/>
      <c r="CN39" s="242"/>
      <c r="CO39" s="242"/>
      <c r="CP39" s="242"/>
      <c r="CQ39" s="245"/>
      <c r="CR39" s="242"/>
      <c r="CS39" s="242"/>
      <c r="CT39" s="242"/>
      <c r="CU39" s="242"/>
      <c r="CV39" s="242"/>
      <c r="CW39" s="244"/>
      <c r="CX39" s="242"/>
      <c r="CY39" s="242"/>
      <c r="CZ39" s="242"/>
      <c r="DA39" s="242"/>
      <c r="DB39" s="242"/>
      <c r="DC39" s="245"/>
      <c r="DD39" s="242"/>
      <c r="DE39" s="242"/>
      <c r="DF39" s="242"/>
      <c r="DG39" s="242"/>
      <c r="DH39" s="242"/>
      <c r="DI39" s="244"/>
      <c r="DJ39" s="242"/>
      <c r="DK39" s="242"/>
      <c r="DL39" s="242"/>
      <c r="DM39" s="242"/>
      <c r="DN39" s="242"/>
      <c r="DO39" s="245"/>
      <c r="DP39" s="242"/>
      <c r="DQ39" s="242"/>
      <c r="DR39" s="242"/>
      <c r="DS39" s="242"/>
      <c r="DT39" s="242"/>
      <c r="DU39" s="246"/>
      <c r="DV39" s="241"/>
      <c r="DW39" s="242"/>
      <c r="DX39" s="242"/>
      <c r="DY39" s="242"/>
      <c r="DZ39" s="242"/>
      <c r="EA39" s="243"/>
      <c r="EB39" s="242"/>
      <c r="EC39" s="242"/>
      <c r="ED39" s="242"/>
      <c r="EE39" s="242"/>
      <c r="EF39" s="242"/>
      <c r="EG39" s="244"/>
      <c r="EH39" s="242"/>
      <c r="EI39" s="242"/>
      <c r="EJ39" s="242"/>
      <c r="EK39" s="242"/>
      <c r="EL39" s="242"/>
      <c r="EM39" s="245"/>
      <c r="EN39" s="242"/>
      <c r="EO39" s="242"/>
      <c r="EP39" s="242"/>
      <c r="EQ39" s="242"/>
      <c r="ER39" s="242"/>
      <c r="ES39" s="244"/>
      <c r="ET39" s="242"/>
      <c r="EU39" s="242"/>
      <c r="EV39" s="242"/>
      <c r="EW39" s="242"/>
      <c r="EX39" s="242"/>
      <c r="EY39" s="245"/>
      <c r="EZ39" s="242"/>
      <c r="FA39" s="242"/>
      <c r="FB39" s="242"/>
      <c r="FC39" s="242"/>
      <c r="FD39" s="242"/>
      <c r="FE39" s="244"/>
      <c r="FF39" s="242"/>
      <c r="FG39" s="242"/>
      <c r="FH39" s="242"/>
      <c r="FI39" s="242"/>
      <c r="FJ39" s="242"/>
      <c r="FK39" s="245"/>
      <c r="FL39" s="242"/>
      <c r="FM39" s="242"/>
      <c r="FN39" s="242"/>
      <c r="FO39" s="242"/>
      <c r="FP39" s="242"/>
      <c r="FQ39" s="244"/>
      <c r="FR39" s="242"/>
      <c r="FS39" s="242"/>
      <c r="FT39" s="242"/>
      <c r="FU39" s="242"/>
      <c r="FV39" s="242"/>
      <c r="FW39" s="245"/>
      <c r="FX39" s="242"/>
      <c r="FY39" s="242"/>
      <c r="FZ39" s="242"/>
      <c r="GA39" s="242"/>
      <c r="GB39" s="242"/>
      <c r="GC39" s="246"/>
      <c r="GD39" s="241"/>
      <c r="GE39" s="242"/>
      <c r="GF39" s="242"/>
      <c r="GG39" s="242"/>
      <c r="GH39" s="242"/>
      <c r="GI39" s="243"/>
      <c r="GJ39" s="242"/>
      <c r="GK39" s="242"/>
      <c r="GL39" s="242"/>
      <c r="GM39" s="242"/>
      <c r="GN39" s="242"/>
      <c r="GO39" s="244"/>
      <c r="GP39" s="242"/>
      <c r="GQ39" s="242"/>
      <c r="GR39" s="242"/>
      <c r="GS39" s="242"/>
      <c r="GT39" s="242"/>
      <c r="GU39" s="245"/>
      <c r="GV39" s="242"/>
      <c r="GW39" s="242"/>
      <c r="GX39" s="242"/>
      <c r="GY39" s="242"/>
      <c r="GZ39" s="242"/>
      <c r="HA39" s="244"/>
      <c r="HB39" s="242"/>
      <c r="HC39" s="242"/>
      <c r="HD39" s="242"/>
      <c r="HE39" s="242"/>
      <c r="HF39" s="242"/>
      <c r="HG39" s="245"/>
      <c r="HH39" s="242"/>
      <c r="HI39" s="242"/>
      <c r="HJ39" s="242"/>
      <c r="HK39" s="242"/>
      <c r="HL39" s="242"/>
      <c r="HM39" s="244"/>
      <c r="HN39" s="242"/>
      <c r="HO39" s="242"/>
      <c r="HP39" s="242"/>
      <c r="HQ39" s="242"/>
      <c r="HR39" s="242"/>
      <c r="HS39" s="245"/>
      <c r="HT39" s="242"/>
      <c r="HU39" s="242"/>
      <c r="HV39" s="242"/>
      <c r="HW39" s="242"/>
      <c r="HX39" s="242"/>
      <c r="HY39" s="244"/>
      <c r="HZ39" s="242"/>
      <c r="IA39" s="242"/>
      <c r="IB39" s="242"/>
      <c r="IC39" s="242"/>
      <c r="ID39" s="242"/>
      <c r="IE39" s="245"/>
      <c r="IF39" s="242"/>
      <c r="IG39" s="242"/>
      <c r="IH39" s="242"/>
      <c r="II39" s="242"/>
      <c r="IJ39" s="242"/>
      <c r="IK39" s="246"/>
      <c r="IL39" s="241"/>
      <c r="IM39" s="242"/>
      <c r="IN39" s="242"/>
      <c r="IO39" s="242"/>
      <c r="IP39" s="242"/>
      <c r="IQ39" s="243"/>
      <c r="IR39" s="242"/>
      <c r="IS39" s="242"/>
      <c r="IT39" s="242"/>
      <c r="IU39" s="242"/>
      <c r="IV39" s="242"/>
      <c r="IW39" s="244"/>
      <c r="IX39" s="242"/>
      <c r="IY39" s="242"/>
      <c r="IZ39" s="242"/>
      <c r="JA39" s="242"/>
      <c r="JB39" s="242"/>
      <c r="JC39" s="245"/>
      <c r="JD39" s="242"/>
      <c r="JE39" s="242"/>
      <c r="JF39" s="242"/>
      <c r="JG39" s="242"/>
      <c r="JH39" s="242"/>
      <c r="JI39" s="244"/>
      <c r="JJ39" s="242"/>
      <c r="JK39" s="242"/>
      <c r="JL39" s="242"/>
      <c r="JM39" s="242"/>
      <c r="JN39" s="242"/>
      <c r="JO39" s="245"/>
      <c r="JP39" s="242"/>
      <c r="JQ39" s="242"/>
      <c r="JR39" s="242"/>
      <c r="JS39" s="242"/>
      <c r="JT39" s="242"/>
      <c r="JU39" s="244"/>
      <c r="JV39" s="242"/>
      <c r="JW39" s="242"/>
      <c r="JX39" s="242"/>
      <c r="JY39" s="242"/>
      <c r="JZ39" s="242"/>
      <c r="KA39" s="245"/>
      <c r="KB39" s="242"/>
      <c r="KC39" s="242"/>
      <c r="KD39" s="242"/>
      <c r="KE39" s="242"/>
      <c r="KF39" s="242"/>
      <c r="KG39" s="244"/>
      <c r="KH39" s="242"/>
      <c r="KI39" s="242"/>
      <c r="KJ39" s="242"/>
      <c r="KK39" s="242"/>
      <c r="KL39" s="242"/>
      <c r="KM39" s="245"/>
      <c r="KN39" s="242"/>
      <c r="KO39" s="242"/>
      <c r="KP39" s="242"/>
      <c r="KQ39" s="242"/>
      <c r="KR39" s="242"/>
      <c r="KS39" s="246"/>
      <c r="KT39" s="241"/>
      <c r="KU39" s="242"/>
      <c r="KV39" s="242"/>
      <c r="KW39" s="242"/>
      <c r="KX39" s="242"/>
      <c r="KY39" s="243"/>
      <c r="KZ39" s="242"/>
      <c r="LA39" s="242"/>
      <c r="LB39" s="242"/>
      <c r="LC39" s="242"/>
      <c r="LD39" s="242"/>
      <c r="LE39" s="244"/>
      <c r="LF39" s="242"/>
      <c r="LG39" s="242"/>
      <c r="LH39" s="242"/>
      <c r="LI39" s="242"/>
      <c r="LJ39" s="242"/>
      <c r="LK39" s="245"/>
      <c r="LL39" s="242"/>
      <c r="LM39" s="242"/>
      <c r="LN39" s="242"/>
      <c r="LO39" s="242"/>
      <c r="LP39" s="242"/>
      <c r="LQ39" s="244"/>
      <c r="LR39" s="242"/>
      <c r="LS39" s="242"/>
      <c r="LT39" s="242"/>
      <c r="LU39" s="242"/>
      <c r="LV39" s="242"/>
      <c r="LW39" s="245"/>
      <c r="LX39" s="242"/>
      <c r="LY39" s="242"/>
      <c r="LZ39" s="242"/>
      <c r="MA39" s="242"/>
      <c r="MB39" s="242"/>
      <c r="MC39" s="244"/>
      <c r="MD39" s="242"/>
      <c r="ME39" s="242"/>
      <c r="MF39" s="242"/>
      <c r="MG39" s="242"/>
      <c r="MH39" s="242"/>
      <c r="MI39" s="245"/>
      <c r="MJ39" s="242"/>
      <c r="MK39" s="242"/>
      <c r="ML39" s="242"/>
      <c r="MM39" s="242"/>
      <c r="MN39" s="242"/>
      <c r="MO39" s="244"/>
      <c r="MP39" s="242"/>
      <c r="MQ39" s="242"/>
      <c r="MR39" s="242"/>
      <c r="MS39" s="242"/>
      <c r="MT39" s="242"/>
      <c r="MU39" s="245"/>
      <c r="MV39" s="242"/>
      <c r="MW39" s="242"/>
      <c r="MX39" s="242"/>
      <c r="MY39" s="242"/>
      <c r="MZ39" s="242"/>
      <c r="NA39" s="246"/>
      <c r="NB39" s="241"/>
      <c r="NC39" s="242"/>
      <c r="ND39" s="242"/>
      <c r="NE39" s="242"/>
      <c r="NF39" s="242"/>
      <c r="NG39" s="243"/>
      <c r="NH39" s="242"/>
      <c r="NI39" s="242"/>
      <c r="NJ39" s="242"/>
      <c r="NK39" s="242"/>
      <c r="NL39" s="242"/>
      <c r="NM39" s="244"/>
      <c r="NN39" s="242"/>
      <c r="NO39" s="242"/>
      <c r="NP39" s="242"/>
      <c r="NQ39" s="242"/>
      <c r="NR39" s="242"/>
      <c r="NS39" s="245"/>
      <c r="NT39" s="242"/>
      <c r="NU39" s="242"/>
      <c r="NV39" s="242"/>
      <c r="NW39" s="242"/>
      <c r="NX39" s="242"/>
      <c r="NY39" s="244"/>
      <c r="NZ39" s="242"/>
      <c r="OA39" s="242"/>
      <c r="OB39" s="242"/>
      <c r="OC39" s="242"/>
      <c r="OD39" s="242"/>
      <c r="OE39" s="245"/>
      <c r="OF39" s="242"/>
      <c r="OG39" s="242"/>
      <c r="OH39" s="242"/>
      <c r="OI39" s="242"/>
      <c r="OJ39" s="242"/>
      <c r="OK39" s="244"/>
      <c r="OL39" s="242"/>
      <c r="OM39" s="242"/>
      <c r="ON39" s="242"/>
      <c r="OO39" s="242"/>
      <c r="OP39" s="242"/>
      <c r="OQ39" s="245"/>
      <c r="OR39" s="242"/>
      <c r="OS39" s="242"/>
      <c r="OT39" s="242"/>
      <c r="OU39" s="242"/>
      <c r="OV39" s="242"/>
      <c r="OW39" s="244"/>
      <c r="OX39" s="242"/>
      <c r="OY39" s="242"/>
      <c r="OZ39" s="242"/>
      <c r="PA39" s="242"/>
      <c r="PB39" s="242"/>
      <c r="PC39" s="245"/>
      <c r="PD39" s="242"/>
      <c r="PE39" s="242"/>
      <c r="PF39" s="242"/>
      <c r="PG39" s="242"/>
      <c r="PH39" s="242"/>
      <c r="PI39" s="246"/>
      <c r="PJ39" s="241"/>
      <c r="PK39" s="242"/>
      <c r="PL39" s="242"/>
      <c r="PM39" s="242"/>
      <c r="PN39" s="242"/>
      <c r="PO39" s="243"/>
      <c r="PP39" s="242"/>
      <c r="PQ39" s="242"/>
      <c r="PR39" s="242"/>
      <c r="PS39" s="242"/>
      <c r="PT39" s="242"/>
      <c r="PU39" s="244"/>
      <c r="PV39" s="242"/>
      <c r="PW39" s="242"/>
      <c r="PX39" s="242"/>
      <c r="PY39" s="242"/>
      <c r="PZ39" s="242"/>
      <c r="QA39" s="245"/>
      <c r="QB39" s="242"/>
      <c r="QC39" s="242"/>
      <c r="QD39" s="242"/>
      <c r="QE39" s="242"/>
      <c r="QF39" s="242"/>
      <c r="QG39" s="244"/>
      <c r="QH39" s="242"/>
      <c r="QI39" s="242"/>
      <c r="QJ39" s="242"/>
      <c r="QK39" s="242"/>
      <c r="QL39" s="242"/>
      <c r="QM39" s="245"/>
      <c r="QN39" s="242"/>
      <c r="QO39" s="242"/>
      <c r="QP39" s="242"/>
      <c r="QQ39" s="242"/>
      <c r="QR39" s="242"/>
      <c r="QS39" s="244"/>
      <c r="QT39" s="242"/>
      <c r="QU39" s="242"/>
      <c r="QV39" s="242"/>
      <c r="QW39" s="242"/>
      <c r="QX39" s="242"/>
      <c r="QY39" s="245"/>
      <c r="QZ39" s="242"/>
      <c r="RA39" s="242"/>
      <c r="RB39" s="242"/>
      <c r="RC39" s="242"/>
      <c r="RD39" s="242"/>
      <c r="RE39" s="244"/>
      <c r="RF39" s="242"/>
      <c r="RG39" s="242"/>
      <c r="RH39" s="242"/>
      <c r="RI39" s="242"/>
      <c r="RJ39" s="242"/>
      <c r="RK39" s="245"/>
      <c r="RL39" s="242"/>
      <c r="RM39" s="242"/>
      <c r="RN39" s="242"/>
      <c r="RO39" s="242"/>
      <c r="RP39" s="242"/>
      <c r="RQ39" s="246"/>
      <c r="RR39" s="241"/>
      <c r="RS39" s="242"/>
      <c r="RT39" s="242"/>
      <c r="RU39" s="242"/>
      <c r="RV39" s="242"/>
      <c r="RW39" s="243"/>
      <c r="RX39" s="242"/>
      <c r="RY39" s="242"/>
      <c r="RZ39" s="242"/>
      <c r="SA39" s="242"/>
      <c r="SB39" s="242"/>
      <c r="SC39" s="244"/>
      <c r="SD39" s="242"/>
      <c r="SE39" s="242"/>
      <c r="SF39" s="242"/>
      <c r="SG39" s="242"/>
      <c r="SH39" s="242"/>
      <c r="SI39" s="245"/>
      <c r="SJ39" s="242"/>
      <c r="SK39" s="242"/>
      <c r="SL39" s="242"/>
      <c r="SM39" s="242"/>
      <c r="SN39" s="242"/>
      <c r="SO39" s="244"/>
      <c r="SP39" s="242"/>
      <c r="SQ39" s="242"/>
      <c r="SR39" s="242"/>
      <c r="SS39" s="242"/>
      <c r="ST39" s="242"/>
      <c r="SU39" s="245"/>
      <c r="SV39" s="242"/>
      <c r="SW39" s="242"/>
      <c r="SX39" s="242"/>
      <c r="SY39" s="242"/>
      <c r="SZ39" s="242"/>
      <c r="TA39" s="244"/>
      <c r="TB39" s="242"/>
      <c r="TC39" s="242"/>
      <c r="TD39" s="242"/>
      <c r="TE39" s="242"/>
      <c r="TF39" s="242"/>
      <c r="TG39" s="245"/>
      <c r="TH39" s="242"/>
      <c r="TI39" s="242"/>
      <c r="TJ39" s="242"/>
      <c r="TK39" s="242"/>
      <c r="TL39" s="242"/>
      <c r="TM39" s="244"/>
      <c r="TN39" s="242"/>
      <c r="TO39" s="242"/>
      <c r="TP39" s="242"/>
      <c r="TQ39" s="242"/>
      <c r="TR39" s="242"/>
      <c r="TS39" s="245"/>
      <c r="TT39" s="242"/>
      <c r="TU39" s="242"/>
      <c r="TV39" s="242"/>
      <c r="TW39" s="242"/>
      <c r="TX39" s="242"/>
      <c r="TY39" s="246"/>
      <c r="TZ39" s="241"/>
      <c r="UA39" s="242"/>
      <c r="UB39" s="242"/>
      <c r="UC39" s="242"/>
      <c r="UD39" s="242"/>
      <c r="UE39" s="243"/>
      <c r="UF39" s="242"/>
      <c r="UG39" s="242"/>
      <c r="UH39" s="242"/>
      <c r="UI39" s="242"/>
      <c r="UJ39" s="242"/>
      <c r="UK39" s="244"/>
      <c r="UL39" s="242"/>
      <c r="UM39" s="242"/>
      <c r="UN39" s="242"/>
      <c r="UO39" s="242"/>
      <c r="UP39" s="242"/>
      <c r="UQ39" s="245"/>
      <c r="UR39" s="242"/>
      <c r="US39" s="242"/>
      <c r="UT39" s="242"/>
      <c r="UU39" s="242"/>
      <c r="UV39" s="242"/>
      <c r="UW39" s="244"/>
      <c r="UX39" s="242"/>
      <c r="UY39" s="242"/>
      <c r="UZ39" s="242"/>
      <c r="VA39" s="242"/>
      <c r="VB39" s="242"/>
      <c r="VC39" s="245"/>
      <c r="VD39" s="242"/>
      <c r="VE39" s="242"/>
      <c r="VF39" s="242"/>
      <c r="VG39" s="242"/>
      <c r="VH39" s="242"/>
      <c r="VI39" s="244"/>
      <c r="VJ39" s="242"/>
      <c r="VK39" s="242"/>
      <c r="VL39" s="242"/>
      <c r="VM39" s="242"/>
      <c r="VN39" s="242"/>
      <c r="VO39" s="245"/>
      <c r="VP39" s="242"/>
      <c r="VQ39" s="242"/>
      <c r="VR39" s="242"/>
      <c r="VS39" s="242"/>
      <c r="VT39" s="242"/>
      <c r="VU39" s="244"/>
      <c r="VV39" s="242"/>
      <c r="VW39" s="242"/>
      <c r="VX39" s="242"/>
      <c r="VY39" s="242"/>
      <c r="VZ39" s="242"/>
      <c r="WA39" s="245"/>
      <c r="WB39" s="242"/>
      <c r="WC39" s="242"/>
      <c r="WD39" s="242"/>
      <c r="WE39" s="242"/>
      <c r="WF39" s="242"/>
      <c r="WG39" s="246"/>
      <c r="WH39" s="241"/>
      <c r="WI39" s="242"/>
      <c r="WJ39" s="242"/>
      <c r="WK39" s="242"/>
      <c r="WL39" s="242"/>
      <c r="WM39" s="243"/>
      <c r="WN39" s="242"/>
      <c r="WO39" s="242"/>
      <c r="WP39" s="242"/>
      <c r="WQ39" s="242"/>
      <c r="WR39" s="242"/>
      <c r="WS39" s="244"/>
      <c r="WT39" s="242"/>
      <c r="WU39" s="242"/>
      <c r="WV39" s="242"/>
      <c r="WW39" s="242"/>
      <c r="WX39" s="242"/>
      <c r="WY39" s="245"/>
      <c r="WZ39" s="242"/>
      <c r="XA39" s="242"/>
      <c r="XB39" s="242"/>
      <c r="XC39" s="242"/>
      <c r="XD39" s="242"/>
      <c r="XE39" s="244"/>
      <c r="XF39" s="242"/>
      <c r="XG39" s="242"/>
      <c r="XH39" s="242"/>
      <c r="XI39" s="242"/>
      <c r="XJ39" s="242"/>
      <c r="XK39" s="245"/>
      <c r="XL39" s="242"/>
      <c r="XM39" s="242"/>
      <c r="XN39" s="242"/>
      <c r="XO39" s="242"/>
      <c r="XP39" s="242"/>
      <c r="XQ39" s="244"/>
      <c r="XR39" s="242"/>
      <c r="XS39" s="242"/>
      <c r="XT39" s="242"/>
      <c r="XU39" s="242"/>
      <c r="XV39" s="242"/>
      <c r="XW39" s="245"/>
      <c r="XX39" s="242"/>
      <c r="XY39" s="242"/>
      <c r="XZ39" s="242"/>
      <c r="YA39" s="242"/>
      <c r="YB39" s="242"/>
      <c r="YC39" s="244"/>
      <c r="YD39" s="242"/>
      <c r="YE39" s="242"/>
      <c r="YF39" s="242"/>
      <c r="YG39" s="242"/>
      <c r="YH39" s="242"/>
      <c r="YI39" s="245"/>
      <c r="YJ39" s="242"/>
      <c r="YK39" s="242"/>
      <c r="YL39" s="242"/>
      <c r="YM39" s="242"/>
      <c r="YN39" s="242"/>
      <c r="YO39" s="246"/>
      <c r="YP39" s="241"/>
      <c r="YQ39" s="242"/>
      <c r="YR39" s="242"/>
      <c r="YS39" s="242"/>
      <c r="YT39" s="242"/>
      <c r="YU39" s="243"/>
      <c r="YV39" s="242"/>
      <c r="YW39" s="242"/>
      <c r="YX39" s="242"/>
      <c r="YY39" s="242"/>
      <c r="YZ39" s="242"/>
      <c r="ZA39" s="244"/>
      <c r="ZB39" s="242"/>
      <c r="ZC39" s="242"/>
      <c r="ZD39" s="242"/>
      <c r="ZE39" s="242"/>
      <c r="ZF39" s="242"/>
      <c r="ZG39" s="245"/>
      <c r="ZH39" s="242"/>
      <c r="ZI39" s="242"/>
      <c r="ZJ39" s="242"/>
      <c r="ZK39" s="242"/>
      <c r="ZL39" s="242"/>
      <c r="ZM39" s="244"/>
      <c r="ZN39" s="242"/>
      <c r="ZO39" s="242"/>
      <c r="ZP39" s="242"/>
      <c r="ZQ39" s="242"/>
      <c r="ZR39" s="242"/>
      <c r="ZS39" s="245"/>
      <c r="ZT39" s="242"/>
      <c r="ZU39" s="242"/>
      <c r="ZV39" s="242"/>
      <c r="ZW39" s="242"/>
      <c r="ZX39" s="242"/>
      <c r="ZY39" s="244"/>
      <c r="ZZ39" s="242"/>
      <c r="AAA39" s="242"/>
      <c r="AAB39" s="242"/>
      <c r="AAC39" s="242"/>
      <c r="AAD39" s="242"/>
      <c r="AAE39" s="245"/>
      <c r="AAF39" s="242"/>
      <c r="AAG39" s="242"/>
      <c r="AAH39" s="242"/>
      <c r="AAI39" s="242"/>
      <c r="AAJ39" s="242"/>
      <c r="AAK39" s="244"/>
      <c r="AAL39" s="242"/>
      <c r="AAM39" s="242"/>
      <c r="AAN39" s="242"/>
      <c r="AAO39" s="242"/>
      <c r="AAP39" s="242"/>
      <c r="AAQ39" s="245"/>
      <c r="AAR39" s="242"/>
      <c r="AAS39" s="242"/>
      <c r="AAT39" s="242"/>
      <c r="AAU39" s="242"/>
      <c r="AAV39" s="242"/>
      <c r="AAW39" s="246"/>
      <c r="AAX39" s="241"/>
      <c r="AAY39" s="242"/>
      <c r="AAZ39" s="242"/>
      <c r="ABA39" s="242"/>
      <c r="ABB39" s="242"/>
      <c r="ABC39" s="243"/>
      <c r="ABD39" s="242"/>
      <c r="ABE39" s="242"/>
      <c r="ABF39" s="242"/>
      <c r="ABG39" s="242"/>
      <c r="ABH39" s="242"/>
      <c r="ABI39" s="244"/>
      <c r="ABJ39" s="242"/>
      <c r="ABK39" s="242"/>
      <c r="ABL39" s="242"/>
      <c r="ABM39" s="242"/>
      <c r="ABN39" s="242"/>
      <c r="ABO39" s="245"/>
      <c r="ABP39" s="242"/>
      <c r="ABQ39" s="242"/>
      <c r="ABR39" s="242"/>
      <c r="ABS39" s="242"/>
      <c r="ABT39" s="242"/>
      <c r="ABU39" s="244"/>
      <c r="ABV39" s="242"/>
      <c r="ABW39" s="242"/>
      <c r="ABX39" s="242"/>
      <c r="ABY39" s="242"/>
      <c r="ABZ39" s="242"/>
      <c r="ACA39" s="245"/>
      <c r="ACB39" s="242"/>
      <c r="ACC39" s="242"/>
      <c r="ACD39" s="242"/>
      <c r="ACE39" s="242"/>
      <c r="ACF39" s="242"/>
      <c r="ACG39" s="244"/>
      <c r="ACH39" s="242"/>
      <c r="ACI39" s="242"/>
      <c r="ACJ39" s="242"/>
      <c r="ACK39" s="242"/>
      <c r="ACL39" s="242"/>
      <c r="ACM39" s="245"/>
      <c r="ACN39" s="242"/>
      <c r="ACO39" s="242"/>
      <c r="ACP39" s="242"/>
      <c r="ACQ39" s="242"/>
      <c r="ACR39" s="242"/>
      <c r="ACS39" s="244"/>
      <c r="ACT39" s="242"/>
      <c r="ACU39" s="242"/>
      <c r="ACV39" s="242"/>
      <c r="ACW39" s="242"/>
      <c r="ACX39" s="242"/>
      <c r="ACY39" s="245"/>
      <c r="ACZ39" s="242"/>
      <c r="ADA39" s="242"/>
      <c r="ADB39" s="242"/>
      <c r="ADC39" s="242"/>
      <c r="ADD39" s="242"/>
      <c r="ADE39" s="246"/>
      <c r="ADF39" s="241"/>
      <c r="ADG39" s="242"/>
      <c r="ADH39" s="242"/>
      <c r="ADI39" s="242"/>
      <c r="ADJ39" s="153"/>
      <c r="ADK39" s="155"/>
      <c r="ADL39" s="153"/>
      <c r="ADM39" s="153"/>
      <c r="ADN39" s="153"/>
      <c r="ADO39" s="153"/>
      <c r="ADP39" s="153"/>
      <c r="ADQ39" s="154"/>
      <c r="ADR39" s="153"/>
      <c r="ADS39" s="153"/>
      <c r="ADT39" s="153"/>
      <c r="ADU39" s="153"/>
      <c r="ADV39" s="153"/>
      <c r="ADW39" s="156"/>
      <c r="ADX39" s="153"/>
      <c r="ADY39" s="153"/>
      <c r="ADZ39" s="153"/>
      <c r="AEA39" s="153"/>
      <c r="AEB39" s="153"/>
      <c r="AEC39" s="154"/>
      <c r="AED39" s="153"/>
      <c r="AEE39" s="153"/>
      <c r="AEF39" s="153"/>
      <c r="AEG39" s="153"/>
      <c r="AEH39" s="153"/>
      <c r="AEI39" s="156"/>
      <c r="AEJ39" s="153"/>
      <c r="AEK39" s="153"/>
      <c r="AEL39" s="153"/>
      <c r="AEM39" s="153"/>
      <c r="AEN39" s="153"/>
      <c r="AEO39" s="154"/>
      <c r="AEP39" s="242"/>
      <c r="AEQ39" s="242"/>
      <c r="AER39" s="242"/>
      <c r="AES39" s="242"/>
      <c r="AET39" s="242"/>
      <c r="AEU39" s="245"/>
      <c r="AEV39" s="242"/>
      <c r="AEW39" s="242"/>
      <c r="AEX39" s="242"/>
      <c r="AEY39" s="242"/>
      <c r="AEZ39" s="242"/>
      <c r="AFA39" s="244"/>
      <c r="AFB39" s="242"/>
      <c r="AFC39" s="242"/>
      <c r="AFD39" s="242"/>
      <c r="AFE39" s="242"/>
      <c r="AFF39" s="242"/>
      <c r="AFG39" s="245"/>
      <c r="AFH39" s="242"/>
      <c r="AFI39" s="242"/>
      <c r="AFJ39" s="242"/>
      <c r="AFK39" s="242"/>
      <c r="AFL39" s="242"/>
      <c r="AFM39" s="246"/>
      <c r="AFN39" s="148"/>
      <c r="AFO39" s="153"/>
      <c r="AFP39" s="153"/>
      <c r="AFQ39" s="153"/>
      <c r="AFR39" s="153"/>
      <c r="AFS39" s="155"/>
      <c r="AFT39" s="153"/>
      <c r="AFU39" s="153"/>
      <c r="AFV39" s="153"/>
      <c r="AFW39" s="153"/>
      <c r="AFX39" s="153"/>
      <c r="AFY39" s="154"/>
      <c r="AFZ39" s="153"/>
      <c r="AGA39" s="153"/>
      <c r="AGB39" s="153"/>
      <c r="AGC39" s="153"/>
      <c r="AGD39" s="153"/>
      <c r="AGE39" s="156"/>
      <c r="AGF39" s="153"/>
      <c r="AGG39" s="153"/>
      <c r="AGH39" s="153"/>
      <c r="AGI39" s="153"/>
      <c r="AGJ39" s="153"/>
      <c r="AGK39" s="154"/>
      <c r="AGL39" s="153"/>
      <c r="AGM39" s="153"/>
      <c r="AGN39" s="153"/>
      <c r="AGO39" s="153"/>
      <c r="AGP39" s="153"/>
      <c r="AGQ39" s="156"/>
      <c r="AGR39" s="153"/>
      <c r="AGS39" s="153"/>
      <c r="AGT39" s="153"/>
      <c r="AGU39" s="153"/>
      <c r="AGV39" s="242"/>
      <c r="AGW39" s="244"/>
      <c r="AGX39" s="242"/>
      <c r="AGY39" s="242"/>
      <c r="AGZ39" s="242"/>
      <c r="AHA39" s="242"/>
      <c r="AHB39" s="242"/>
      <c r="AHC39" s="245"/>
      <c r="AHD39" s="242"/>
      <c r="AHE39" s="242"/>
      <c r="AHF39" s="242"/>
      <c r="AHG39" s="242"/>
      <c r="AHH39" s="242"/>
      <c r="AHI39" s="244"/>
      <c r="AHJ39" s="242"/>
      <c r="AHK39" s="242"/>
      <c r="AHL39" s="242"/>
      <c r="AHM39" s="242"/>
      <c r="AHN39" s="242"/>
      <c r="AHO39" s="245"/>
      <c r="AHP39" s="242"/>
      <c r="AHQ39" s="242"/>
      <c r="AHR39" s="242"/>
      <c r="AHS39" s="242"/>
      <c r="AHT39" s="242"/>
      <c r="AHU39" s="246"/>
      <c r="AHV39" s="241"/>
      <c r="AHW39" s="242"/>
      <c r="AHX39" s="242"/>
      <c r="AHY39" s="242"/>
      <c r="AHZ39" s="242"/>
      <c r="AIA39" s="243"/>
      <c r="AIB39" s="242"/>
      <c r="AIC39" s="242"/>
      <c r="AID39" s="242"/>
      <c r="AIE39" s="242"/>
      <c r="AIF39" s="242"/>
      <c r="AIG39" s="244"/>
      <c r="AIH39" s="242"/>
      <c r="AII39" s="242"/>
      <c r="AIJ39" s="242"/>
      <c r="AIK39" s="242"/>
      <c r="AIL39" s="242"/>
      <c r="AIM39" s="245"/>
      <c r="AIN39" s="242"/>
      <c r="AIO39" s="242"/>
      <c r="AIP39" s="242"/>
      <c r="AIQ39" s="242"/>
      <c r="AIR39" s="242"/>
      <c r="AIS39" s="244"/>
      <c r="AIT39" s="242"/>
      <c r="AIU39" s="242"/>
      <c r="AIV39" s="242"/>
      <c r="AIW39" s="242"/>
      <c r="AIX39" s="242"/>
      <c r="AIY39" s="245"/>
      <c r="AIZ39" s="242"/>
      <c r="AJA39" s="242"/>
      <c r="AJB39" s="242"/>
      <c r="AJC39" s="242"/>
      <c r="AJD39" s="242"/>
      <c r="AJE39" s="244"/>
      <c r="AJF39" s="242"/>
      <c r="AJG39" s="242"/>
      <c r="AJH39" s="242"/>
      <c r="AJI39" s="242"/>
      <c r="AJJ39" s="242"/>
      <c r="AJK39" s="245"/>
      <c r="AJL39" s="242"/>
      <c r="AJM39" s="242"/>
      <c r="AJN39" s="242"/>
      <c r="AJO39" s="242"/>
      <c r="AJP39" s="242"/>
      <c r="AJQ39" s="244"/>
      <c r="AJR39" s="242"/>
      <c r="AJS39" s="242"/>
      <c r="AJT39" s="242"/>
      <c r="AJU39" s="242"/>
      <c r="AJV39" s="242"/>
      <c r="AJW39" s="245"/>
      <c r="AJX39" s="242"/>
      <c r="AJY39" s="242"/>
      <c r="AJZ39" s="242"/>
      <c r="AKA39" s="242"/>
      <c r="AKB39" s="242"/>
      <c r="AKC39" s="246"/>
      <c r="AKD39" s="241"/>
      <c r="AKE39" s="242"/>
      <c r="AKF39" s="242"/>
      <c r="AKG39" s="242"/>
      <c r="AKH39" s="242"/>
      <c r="AKI39" s="243"/>
      <c r="AKJ39" s="242"/>
      <c r="AKK39" s="242"/>
      <c r="AKL39" s="242"/>
      <c r="AKM39" s="242"/>
      <c r="AKN39" s="242"/>
      <c r="AKO39" s="244"/>
      <c r="AKP39" s="242"/>
      <c r="AKQ39" s="242"/>
      <c r="AKR39" s="242"/>
      <c r="AKS39" s="242"/>
      <c r="AKT39" s="242"/>
      <c r="AKU39" s="245"/>
      <c r="AKV39" s="242"/>
      <c r="AKW39" s="242"/>
      <c r="AKX39" s="242"/>
      <c r="AKY39" s="242"/>
      <c r="AKZ39" s="242"/>
      <c r="ALA39" s="244"/>
      <c r="ALB39" s="242"/>
      <c r="ALC39" s="242"/>
      <c r="ALD39" s="242"/>
      <c r="ALE39" s="242"/>
      <c r="ALF39" s="242"/>
      <c r="ALG39" s="245"/>
      <c r="ALH39" s="242"/>
      <c r="ALI39" s="242"/>
      <c r="ALJ39" s="242"/>
      <c r="ALK39" s="242"/>
      <c r="ALL39" s="242"/>
      <c r="ALM39" s="244"/>
      <c r="ALN39" s="242"/>
      <c r="ALO39" s="242"/>
      <c r="ALP39" s="242"/>
      <c r="ALQ39" s="242"/>
      <c r="ALR39" s="242"/>
      <c r="ALS39" s="245"/>
      <c r="ALT39" s="242"/>
      <c r="ALU39" s="242"/>
      <c r="ALV39" s="242"/>
      <c r="ALW39" s="242"/>
      <c r="ALX39" s="242"/>
      <c r="ALY39" s="244"/>
      <c r="ALZ39" s="242"/>
      <c r="AMA39" s="242"/>
      <c r="AMB39" s="242"/>
      <c r="AMC39" s="242"/>
      <c r="AMD39" s="242"/>
      <c r="AME39" s="245"/>
      <c r="AMF39" s="242"/>
      <c r="AMG39" s="242"/>
      <c r="AMH39" s="242"/>
      <c r="AMI39" s="242"/>
      <c r="AMJ39" s="242"/>
      <c r="AMK39" s="246"/>
      <c r="AML39" s="241"/>
      <c r="AMM39" s="242"/>
      <c r="AMN39" s="242"/>
      <c r="AMO39" s="242"/>
      <c r="AMP39" s="242"/>
      <c r="AMQ39" s="243"/>
      <c r="AMR39" s="242"/>
      <c r="AMS39" s="242"/>
      <c r="AMT39" s="242"/>
      <c r="AMU39" s="242"/>
      <c r="AMV39" s="242"/>
      <c r="AMW39" s="244"/>
      <c r="AMX39" s="242"/>
      <c r="AMY39" s="242"/>
      <c r="AMZ39" s="242"/>
      <c r="ANA39" s="242"/>
      <c r="ANB39" s="242"/>
      <c r="ANC39" s="245"/>
      <c r="AND39" s="242"/>
      <c r="ANE39" s="242"/>
      <c r="ANF39" s="242"/>
      <c r="ANG39" s="242"/>
      <c r="ANH39" s="242"/>
      <c r="ANI39" s="244"/>
      <c r="ANJ39" s="242"/>
      <c r="ANK39" s="242"/>
      <c r="ANL39" s="242"/>
      <c r="ANM39" s="242"/>
      <c r="ANN39" s="242"/>
      <c r="ANO39" s="245"/>
      <c r="ANP39" s="242"/>
      <c r="ANQ39" s="242"/>
      <c r="ANR39" s="242"/>
      <c r="ANS39" s="242"/>
      <c r="ANT39" s="242"/>
      <c r="ANU39" s="244"/>
      <c r="ANV39" s="242"/>
      <c r="ANW39" s="242"/>
      <c r="ANX39" s="242"/>
      <c r="ANY39" s="242"/>
      <c r="ANZ39" s="242"/>
      <c r="AOA39" s="245"/>
      <c r="AOB39" s="242"/>
      <c r="AOC39" s="242"/>
      <c r="AOD39" s="242"/>
      <c r="AOE39" s="242"/>
      <c r="AOF39" s="242"/>
      <c r="AOG39" s="244"/>
      <c r="AOH39" s="242"/>
      <c r="AOI39" s="242"/>
      <c r="AOJ39" s="242"/>
      <c r="AOK39" s="242"/>
      <c r="AOL39" s="242"/>
      <c r="AOM39" s="245"/>
      <c r="AON39" s="242"/>
      <c r="AOO39" s="242"/>
      <c r="AOP39" s="242"/>
      <c r="AOQ39" s="242"/>
      <c r="AOR39" s="242"/>
      <c r="AOS39" s="246"/>
      <c r="AOT39" s="241"/>
      <c r="AOU39" s="242"/>
      <c r="AOV39" s="242"/>
      <c r="AOW39" s="242"/>
      <c r="AOX39" s="242"/>
      <c r="AOY39" s="243"/>
      <c r="AOZ39" s="242"/>
      <c r="APA39" s="242"/>
      <c r="APB39" s="242"/>
      <c r="APC39" s="242"/>
      <c r="APD39" s="242"/>
      <c r="APE39" s="244"/>
      <c r="APF39" s="242"/>
      <c r="APG39" s="242"/>
      <c r="APH39" s="242"/>
      <c r="API39" s="242"/>
      <c r="APJ39" s="242"/>
      <c r="APK39" s="245"/>
      <c r="APL39" s="242"/>
      <c r="APM39" s="242"/>
      <c r="APN39" s="242"/>
      <c r="APO39" s="242"/>
      <c r="APP39" s="242"/>
      <c r="APQ39" s="244"/>
      <c r="APR39" s="242"/>
      <c r="APS39" s="242"/>
      <c r="APT39" s="242"/>
      <c r="APU39" s="242"/>
      <c r="APV39" s="242"/>
      <c r="APW39" s="245"/>
      <c r="APX39" s="242"/>
      <c r="APY39" s="242"/>
      <c r="APZ39" s="242"/>
      <c r="AQA39" s="242"/>
      <c r="AQB39" s="242"/>
      <c r="AQC39" s="244"/>
      <c r="AQD39" s="242"/>
      <c r="AQE39" s="242"/>
      <c r="AQF39" s="242"/>
      <c r="AQG39" s="242"/>
      <c r="AQH39" s="242"/>
      <c r="AQI39" s="245"/>
      <c r="AQJ39" s="242"/>
      <c r="AQK39" s="242"/>
      <c r="AQL39" s="242"/>
      <c r="AQM39" s="242"/>
      <c r="AQN39" s="242"/>
      <c r="AQO39" s="244"/>
      <c r="AQP39" s="242"/>
      <c r="AQQ39" s="242"/>
      <c r="AQR39" s="242"/>
      <c r="AQS39" s="242"/>
      <c r="AQT39" s="242"/>
      <c r="AQU39" s="245"/>
      <c r="AQV39" s="242"/>
      <c r="AQW39" s="242"/>
      <c r="AQX39" s="242"/>
      <c r="AQY39" s="242"/>
      <c r="AQZ39" s="242"/>
      <c r="ARA39" s="246"/>
      <c r="ARB39" s="241"/>
      <c r="ARC39" s="242"/>
      <c r="ARD39" s="242"/>
      <c r="ARE39" s="242"/>
      <c r="ARF39" s="242"/>
      <c r="ARG39" s="243"/>
      <c r="ARH39" s="242"/>
      <c r="ARI39" s="242"/>
      <c r="ARJ39" s="242"/>
      <c r="ARK39" s="242"/>
      <c r="ARL39" s="242"/>
      <c r="ARM39" s="244"/>
      <c r="ARN39" s="242"/>
      <c r="ARO39" s="242"/>
      <c r="ARP39" s="242"/>
      <c r="ARQ39" s="242"/>
      <c r="ARR39" s="242"/>
      <c r="ARS39" s="245"/>
      <c r="ART39" s="242"/>
      <c r="ARU39" s="242"/>
      <c r="ARV39" s="242"/>
      <c r="ARW39" s="242"/>
      <c r="ARX39" s="242"/>
      <c r="ARY39" s="244"/>
      <c r="ARZ39" s="242"/>
      <c r="ASA39" s="242"/>
      <c r="ASB39" s="242"/>
      <c r="ASC39" s="242"/>
      <c r="ASD39" s="242"/>
      <c r="ASE39" s="245"/>
      <c r="ASF39" s="242"/>
      <c r="ASG39" s="242"/>
      <c r="ASH39" s="242"/>
      <c r="ASI39" s="242"/>
      <c r="ASJ39" s="242"/>
      <c r="ASK39" s="244"/>
      <c r="ASL39" s="242"/>
      <c r="ASM39" s="242"/>
      <c r="ASN39" s="242"/>
      <c r="ASO39" s="242"/>
      <c r="ASP39" s="242"/>
      <c r="ASQ39" s="245"/>
      <c r="ASR39" s="242"/>
      <c r="ASS39" s="242"/>
      <c r="AST39" s="242"/>
      <c r="ASU39" s="242"/>
      <c r="ASV39" s="242"/>
      <c r="ASW39" s="244"/>
      <c r="ASX39" s="242"/>
      <c r="ASY39" s="242"/>
      <c r="ASZ39" s="242"/>
      <c r="ATA39" s="242"/>
      <c r="ATB39" s="242"/>
      <c r="ATC39" s="245"/>
      <c r="ATD39" s="242"/>
      <c r="ATE39" s="242"/>
      <c r="ATF39" s="242"/>
      <c r="ATG39" s="242"/>
      <c r="ATH39" s="242"/>
      <c r="ATI39" s="246"/>
      <c r="ATJ39" s="241"/>
      <c r="ATK39" s="242"/>
      <c r="ATL39" s="242"/>
      <c r="ATM39" s="242"/>
      <c r="ATN39" s="242"/>
      <c r="ATO39" s="243"/>
      <c r="ATP39" s="242"/>
      <c r="ATQ39" s="242"/>
      <c r="ATR39" s="242"/>
      <c r="ATS39" s="242"/>
      <c r="ATT39" s="242"/>
      <c r="ATU39" s="244"/>
      <c r="ATV39" s="242"/>
      <c r="ATW39" s="242"/>
      <c r="ATX39" s="242"/>
      <c r="ATY39" s="242"/>
      <c r="ATZ39" s="242"/>
      <c r="AUA39" s="245"/>
      <c r="AUB39" s="242"/>
      <c r="AUC39" s="242"/>
      <c r="AUD39" s="242"/>
      <c r="AUE39" s="242"/>
      <c r="AUF39" s="242"/>
      <c r="AUG39" s="244"/>
      <c r="AUH39" s="242"/>
      <c r="AUI39" s="242"/>
      <c r="AUJ39" s="242"/>
      <c r="AUK39" s="242"/>
      <c r="AUL39" s="242"/>
      <c r="AUM39" s="245"/>
      <c r="AUN39" s="242"/>
      <c r="AUO39" s="242"/>
      <c r="AUP39" s="242"/>
      <c r="AUQ39" s="242"/>
      <c r="AUR39" s="242"/>
      <c r="AUS39" s="244"/>
      <c r="AUT39" s="242"/>
      <c r="AUU39" s="242"/>
      <c r="AUV39" s="242"/>
      <c r="AUW39" s="242"/>
      <c r="AUX39" s="242"/>
      <c r="AUY39" s="245"/>
      <c r="AUZ39" s="242"/>
      <c r="AVA39" s="242"/>
      <c r="AVB39" s="242"/>
      <c r="AVC39" s="242"/>
      <c r="AVD39" s="242"/>
      <c r="AVE39" s="244"/>
      <c r="AVF39" s="242"/>
      <c r="AVG39" s="242"/>
      <c r="AVH39" s="242"/>
      <c r="AVI39" s="242"/>
      <c r="AVJ39" s="242"/>
      <c r="AVK39" s="245"/>
      <c r="AVL39" s="242"/>
      <c r="AVM39" s="242"/>
      <c r="AVN39" s="242"/>
      <c r="AVO39" s="242"/>
      <c r="AVP39" s="242"/>
      <c r="AVQ39" s="246"/>
      <c r="AVR39" s="241"/>
      <c r="AVS39" s="242"/>
      <c r="AVT39" s="242"/>
      <c r="AVU39" s="242"/>
      <c r="AVV39" s="242"/>
      <c r="AVW39" s="243"/>
      <c r="AVX39" s="242"/>
      <c r="AVY39" s="242"/>
      <c r="AVZ39" s="242"/>
      <c r="AWA39" s="242"/>
      <c r="AWB39" s="242"/>
      <c r="AWC39" s="244"/>
      <c r="AWD39" s="242"/>
      <c r="AWE39" s="242"/>
      <c r="AWF39" s="242"/>
      <c r="AWG39" s="242"/>
      <c r="AWH39" s="242"/>
      <c r="AWI39" s="245"/>
      <c r="AWJ39" s="242"/>
      <c r="AWK39" s="242"/>
      <c r="AWL39" s="242"/>
      <c r="AWM39" s="242"/>
      <c r="AWN39" s="242"/>
      <c r="AWO39" s="244"/>
      <c r="AWP39" s="242"/>
      <c r="AWQ39" s="242"/>
      <c r="AWR39" s="242"/>
      <c r="AWS39" s="242"/>
      <c r="AWT39" s="242"/>
      <c r="AWU39" s="245"/>
      <c r="AWV39" s="242"/>
      <c r="AWW39" s="242"/>
      <c r="AWX39" s="242"/>
      <c r="AWY39" s="242"/>
      <c r="AWZ39" s="242"/>
      <c r="AXA39" s="244"/>
      <c r="AXB39" s="242"/>
      <c r="AXC39" s="242"/>
      <c r="AXD39" s="242"/>
      <c r="AXE39" s="242"/>
      <c r="AXF39" s="242"/>
      <c r="AXG39" s="245"/>
      <c r="AXH39" s="242"/>
      <c r="AXI39" s="242"/>
      <c r="AXJ39" s="242"/>
      <c r="AXK39" s="242"/>
      <c r="AXL39" s="242"/>
      <c r="AXM39" s="244"/>
      <c r="AXN39" s="242"/>
      <c r="AXO39" s="242"/>
      <c r="AXP39" s="242"/>
      <c r="AXQ39" s="242"/>
      <c r="AXR39" s="242"/>
      <c r="AXS39" s="245"/>
      <c r="AXT39" s="242"/>
      <c r="AXU39" s="242"/>
      <c r="AXV39" s="242"/>
      <c r="AXW39" s="242"/>
      <c r="AXX39" s="242"/>
      <c r="AXY39" s="246"/>
      <c r="AXZ39" s="241"/>
      <c r="AYA39" s="242"/>
      <c r="AYB39" s="242"/>
      <c r="AYC39" s="242"/>
      <c r="AYD39" s="242"/>
      <c r="AYE39" s="243"/>
      <c r="AYF39" s="242"/>
      <c r="AYG39" s="242"/>
      <c r="AYH39" s="242"/>
      <c r="AYI39" s="242"/>
      <c r="AYJ39" s="242"/>
      <c r="AYK39" s="244"/>
      <c r="AYL39" s="242"/>
      <c r="AYM39" s="242"/>
      <c r="AYN39" s="242"/>
      <c r="AYO39" s="242"/>
      <c r="AYP39" s="242"/>
      <c r="AYQ39" s="245"/>
      <c r="AYR39" s="242"/>
      <c r="AYS39" s="242"/>
      <c r="AYT39" s="242"/>
      <c r="AYU39" s="242"/>
      <c r="AYV39" s="242"/>
      <c r="AYW39" s="244"/>
      <c r="AYX39" s="242"/>
      <c r="AYY39" s="242"/>
      <c r="AYZ39" s="242"/>
      <c r="AZA39" s="242"/>
      <c r="AZB39" s="242"/>
      <c r="AZC39" s="245"/>
      <c r="AZD39" s="242"/>
      <c r="AZE39" s="242"/>
      <c r="AZF39" s="242"/>
      <c r="AZG39" s="242"/>
      <c r="AZH39" s="242"/>
      <c r="AZI39" s="244"/>
      <c r="AZJ39" s="242"/>
      <c r="AZK39" s="242"/>
      <c r="AZL39" s="242"/>
      <c r="AZM39" s="242"/>
      <c r="AZN39" s="242"/>
      <c r="AZO39" s="245"/>
      <c r="AZP39" s="242"/>
      <c r="AZQ39" s="242"/>
      <c r="AZR39" s="242"/>
      <c r="AZS39" s="242"/>
      <c r="AZT39" s="242"/>
      <c r="AZU39" s="244"/>
      <c r="AZV39" s="242"/>
      <c r="AZW39" s="242"/>
      <c r="AZX39" s="242"/>
      <c r="AZY39" s="242"/>
      <c r="AZZ39" s="242"/>
      <c r="BAA39" s="245"/>
      <c r="BAB39" s="242"/>
      <c r="BAC39" s="242"/>
      <c r="BAD39" s="242"/>
      <c r="BAE39" s="242"/>
      <c r="BAF39" s="242"/>
      <c r="BAG39" s="246"/>
      <c r="BAH39" s="241"/>
      <c r="BAI39" s="242"/>
      <c r="BAJ39" s="242"/>
      <c r="BAK39" s="242"/>
      <c r="BAL39" s="242"/>
      <c r="BAM39" s="243"/>
      <c r="BAN39" s="242"/>
      <c r="BAO39" s="242"/>
      <c r="BAP39" s="242"/>
      <c r="BAQ39" s="242"/>
      <c r="BAR39" s="242"/>
      <c r="BAS39" s="244"/>
      <c r="BAT39" s="242"/>
      <c r="BAU39" s="242"/>
      <c r="BAV39" s="242"/>
      <c r="BAW39" s="242"/>
      <c r="BAX39" s="242"/>
      <c r="BAY39" s="245"/>
      <c r="BAZ39" s="242"/>
      <c r="BBA39" s="242"/>
      <c r="BBB39" s="242"/>
      <c r="BBC39" s="242"/>
      <c r="BBD39" s="242"/>
      <c r="BBE39" s="244"/>
      <c r="BBF39" s="242"/>
      <c r="BBG39" s="242"/>
      <c r="BBH39" s="242"/>
      <c r="BBI39" s="242"/>
      <c r="BBJ39" s="242"/>
      <c r="BBK39" s="245"/>
      <c r="BBL39" s="242"/>
      <c r="BBM39" s="242"/>
      <c r="BBN39" s="242"/>
      <c r="BBO39" s="242"/>
      <c r="BBP39" s="242"/>
      <c r="BBQ39" s="244"/>
      <c r="BBR39" s="242"/>
      <c r="BBS39" s="242"/>
      <c r="BBT39" s="242"/>
      <c r="BBU39" s="242"/>
      <c r="BBV39" s="242"/>
      <c r="BBW39" s="245"/>
      <c r="BBX39" s="242"/>
      <c r="BBY39" s="242"/>
      <c r="BBZ39" s="242"/>
      <c r="BCA39" s="242"/>
      <c r="BCB39" s="242"/>
      <c r="BCC39" s="244"/>
      <c r="BCD39" s="242"/>
      <c r="BCE39" s="242"/>
      <c r="BCF39" s="242"/>
      <c r="BCG39" s="242"/>
      <c r="BCH39" s="242"/>
      <c r="BCI39" s="245"/>
      <c r="BCJ39" s="242"/>
      <c r="BCK39" s="242"/>
      <c r="BCL39" s="242"/>
      <c r="BCM39" s="242"/>
      <c r="BCN39" s="242"/>
      <c r="BCO39" s="246"/>
      <c r="BCP39" s="241"/>
      <c r="BCQ39" s="242"/>
      <c r="BCR39" s="242"/>
      <c r="BCS39" s="242"/>
      <c r="BCT39" s="242"/>
      <c r="BCU39" s="243"/>
      <c r="BCV39" s="242"/>
      <c r="BCW39" s="242"/>
      <c r="BCX39" s="242"/>
      <c r="BCY39" s="242"/>
      <c r="BCZ39" s="242"/>
      <c r="BDA39" s="244"/>
      <c r="BDB39" s="242"/>
      <c r="BDC39" s="242"/>
      <c r="BDD39" s="242"/>
      <c r="BDE39" s="242"/>
      <c r="BDF39" s="242"/>
      <c r="BDG39" s="245"/>
      <c r="BDH39" s="242"/>
      <c r="BDI39" s="242"/>
      <c r="BDJ39" s="242"/>
      <c r="BDK39" s="242"/>
      <c r="BDL39" s="242"/>
      <c r="BDM39" s="244"/>
      <c r="BDN39" s="242"/>
      <c r="BDO39" s="242"/>
      <c r="BDP39" s="242"/>
      <c r="BDQ39" s="242"/>
      <c r="BDR39" s="242"/>
      <c r="BDS39" s="245"/>
      <c r="BDT39" s="242"/>
      <c r="BDU39" s="242"/>
      <c r="BDV39" s="242"/>
      <c r="BDW39" s="242"/>
      <c r="BDX39" s="242"/>
      <c r="BDY39" s="244"/>
      <c r="BDZ39" s="242"/>
      <c r="BEA39" s="242"/>
      <c r="BEB39" s="242"/>
      <c r="BEC39" s="242"/>
      <c r="BED39" s="242"/>
      <c r="BEE39" s="245"/>
      <c r="BEF39" s="242"/>
      <c r="BEG39" s="242"/>
      <c r="BEH39" s="242"/>
      <c r="BEI39" s="242"/>
      <c r="BEJ39" s="242"/>
      <c r="BEK39" s="244"/>
      <c r="BEL39" s="242"/>
      <c r="BEM39" s="242"/>
      <c r="BEN39" s="242"/>
      <c r="BEO39" s="242"/>
      <c r="BEP39" s="242"/>
      <c r="BEQ39" s="245"/>
      <c r="BER39" s="242"/>
      <c r="BES39" s="242"/>
      <c r="BET39" s="242"/>
      <c r="BEU39" s="242"/>
      <c r="BEV39" s="242"/>
      <c r="BEW39" s="246"/>
      <c r="BEX39" s="241"/>
      <c r="BEY39" s="242"/>
      <c r="BEZ39" s="242"/>
      <c r="BFA39" s="242"/>
      <c r="BFB39" s="242"/>
      <c r="BFC39" s="243"/>
      <c r="BFD39" s="242"/>
      <c r="BFE39" s="242"/>
      <c r="BFF39" s="242"/>
      <c r="BFG39" s="242"/>
      <c r="BFH39" s="242"/>
      <c r="BFI39" s="244"/>
      <c r="BFJ39" s="242"/>
      <c r="BFK39" s="242"/>
      <c r="BFL39" s="242"/>
      <c r="BFM39" s="242"/>
      <c r="BFN39" s="242"/>
      <c r="BFO39" s="245"/>
      <c r="BFP39" s="242"/>
      <c r="BFQ39" s="242"/>
      <c r="BFR39" s="242"/>
      <c r="BFS39" s="242"/>
      <c r="BFT39" s="242"/>
      <c r="BFU39" s="244"/>
      <c r="BFV39" s="242"/>
      <c r="BFW39" s="242"/>
      <c r="BFX39" s="242"/>
      <c r="BFY39" s="242"/>
      <c r="BFZ39" s="242"/>
      <c r="BGA39" s="245"/>
      <c r="BGB39" s="242"/>
      <c r="BGC39" s="242"/>
      <c r="BGD39" s="242"/>
      <c r="BGE39" s="242"/>
      <c r="BGF39" s="242"/>
      <c r="BGG39" s="244"/>
      <c r="BGH39" s="242"/>
      <c r="BGI39" s="242"/>
      <c r="BGJ39" s="242"/>
      <c r="BGK39" s="242"/>
      <c r="BGL39" s="242"/>
      <c r="BGM39" s="245"/>
      <c r="BGN39" s="242"/>
      <c r="BGO39" s="242"/>
      <c r="BGP39" s="242"/>
      <c r="BGQ39" s="242"/>
      <c r="BGR39" s="242"/>
      <c r="BGS39" s="244"/>
      <c r="BGT39" s="242"/>
      <c r="BGU39" s="242"/>
      <c r="BGV39" s="242"/>
      <c r="BGW39" s="242"/>
      <c r="BGX39" s="242"/>
      <c r="BGY39" s="245"/>
      <c r="BGZ39" s="242"/>
      <c r="BHA39" s="242"/>
      <c r="BHB39" s="242"/>
      <c r="BHC39" s="242"/>
      <c r="BHD39" s="242"/>
      <c r="BHE39" s="246"/>
      <c r="BHF39" s="241"/>
      <c r="BHG39" s="242"/>
      <c r="BHH39" s="242"/>
      <c r="BHI39" s="242"/>
      <c r="BHJ39" s="242"/>
      <c r="BHK39" s="243"/>
      <c r="BHL39" s="242"/>
      <c r="BHM39" s="242"/>
      <c r="BHN39" s="242"/>
      <c r="BHO39" s="242"/>
      <c r="BHP39" s="242"/>
      <c r="BHQ39" s="244"/>
      <c r="BHR39" s="242"/>
      <c r="BHS39" s="242"/>
      <c r="BHT39" s="242"/>
      <c r="BHU39" s="242"/>
      <c r="BHV39" s="242"/>
      <c r="BHW39" s="245"/>
      <c r="BHX39" s="242"/>
      <c r="BHY39" s="242"/>
      <c r="BHZ39" s="242"/>
      <c r="BIA39" s="242"/>
      <c r="BIB39" s="242"/>
      <c r="BIC39" s="244"/>
      <c r="BID39" s="242"/>
      <c r="BIE39" s="242"/>
      <c r="BIF39" s="242"/>
      <c r="BIG39" s="242"/>
      <c r="BIH39" s="242"/>
      <c r="BII39" s="245"/>
      <c r="BIJ39" s="242"/>
      <c r="BIK39" s="242"/>
      <c r="BIL39" s="242"/>
      <c r="BIM39" s="242"/>
      <c r="BIN39" s="242"/>
      <c r="BIO39" s="244"/>
      <c r="BIP39" s="242"/>
      <c r="BIQ39" s="242"/>
      <c r="BIR39" s="242"/>
      <c r="BIS39" s="242"/>
      <c r="BIT39" s="242"/>
      <c r="BIU39" s="245"/>
      <c r="BIV39" s="242"/>
      <c r="BIW39" s="242"/>
      <c r="BIX39" s="242"/>
      <c r="BIY39" s="242"/>
      <c r="BIZ39" s="242"/>
      <c r="BJA39" s="244"/>
      <c r="BJB39" s="242"/>
      <c r="BJC39" s="242"/>
      <c r="BJD39" s="242"/>
      <c r="BJE39" s="242"/>
      <c r="BJF39" s="242"/>
      <c r="BJG39" s="245"/>
      <c r="BJH39" s="242"/>
      <c r="BJI39" s="242"/>
      <c r="BJJ39" s="242"/>
      <c r="BJK39" s="242"/>
      <c r="BJL39" s="242"/>
      <c r="BJM39" s="246"/>
      <c r="BJN39" s="233"/>
      <c r="BJO39" s="234"/>
      <c r="BJP39" s="234"/>
      <c r="BJQ39" s="234"/>
      <c r="BJR39" s="234"/>
      <c r="BJS39" s="234"/>
      <c r="BJT39" s="234"/>
      <c r="BJU39" s="234"/>
      <c r="BJV39" s="234"/>
      <c r="BJW39" s="234"/>
      <c r="BJX39" s="234"/>
      <c r="BJY39" s="234"/>
      <c r="BJZ39" s="234"/>
      <c r="BKA39" s="234"/>
      <c r="BKB39" s="234"/>
      <c r="BKC39" s="234"/>
      <c r="BKD39" s="234"/>
      <c r="BKE39" s="234"/>
      <c r="BKF39" s="234"/>
      <c r="BKG39" s="234"/>
      <c r="BKH39" s="234"/>
      <c r="BKI39" s="234"/>
      <c r="BKJ39" s="234"/>
      <c r="BKK39" s="234"/>
      <c r="BKL39" s="234"/>
      <c r="BKM39" s="234"/>
      <c r="BKN39" s="234"/>
    </row>
    <row r="40" spans="1:1652" ht="20.100000000000001" customHeight="1" x14ac:dyDescent="0.25">
      <c r="A40" s="84" t="s">
        <v>20</v>
      </c>
      <c r="B40" s="53" t="str">
        <f>IF(LEN(C65)=0,"",C65)</f>
        <v/>
      </c>
      <c r="C40" s="178"/>
      <c r="D40" s="130" t="str">
        <f t="shared" si="0"/>
        <v>4h40min</v>
      </c>
      <c r="E40" s="22">
        <v>56</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161"/>
      <c r="AGG40" s="161"/>
      <c r="AGH40" s="161"/>
      <c r="AGI40" s="161"/>
      <c r="AGJ40" s="161"/>
      <c r="AGK40" s="163"/>
      <c r="AGL40" s="161"/>
      <c r="AGM40" s="161"/>
      <c r="AGN40" s="161"/>
      <c r="AGO40" s="161"/>
      <c r="AGP40" s="161"/>
      <c r="AGQ40" s="164"/>
      <c r="AGR40" s="161"/>
      <c r="AGS40" s="161"/>
      <c r="AGT40" s="161"/>
      <c r="AGU40" s="161"/>
      <c r="AGV40" s="161"/>
      <c r="AGW40" s="163"/>
      <c r="AGX40" s="161"/>
      <c r="AGY40" s="161"/>
      <c r="AGZ40" s="161"/>
      <c r="AHA40" s="161"/>
      <c r="AHB40" s="161"/>
      <c r="AHC40" s="164"/>
      <c r="AHD40" s="161"/>
      <c r="AHE40" s="161"/>
      <c r="AHF40" s="161"/>
      <c r="AHG40" s="161"/>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161"/>
      <c r="ALO40" s="161"/>
      <c r="ALP40" s="161"/>
      <c r="ALQ40" s="161"/>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161"/>
      <c r="AMO40" s="161"/>
      <c r="AMP40" s="161"/>
      <c r="AMQ40" s="162"/>
      <c r="AMR40" s="161"/>
      <c r="AMS40" s="161"/>
      <c r="AMT40" s="161"/>
      <c r="AMU40" s="161"/>
      <c r="AMV40" s="161"/>
      <c r="AMW40" s="163"/>
      <c r="AMX40" s="161"/>
      <c r="AMY40" s="161"/>
      <c r="AMZ40" s="161"/>
      <c r="ANA40" s="161"/>
      <c r="ANB40" s="161"/>
      <c r="ANC40" s="164"/>
      <c r="AND40" s="161"/>
      <c r="ANE40" s="161"/>
      <c r="ANF40" s="161"/>
      <c r="ANG40" s="161"/>
      <c r="ANH40" s="161"/>
      <c r="ANI40" s="163"/>
      <c r="ANJ40" s="161"/>
      <c r="ANK40" s="161"/>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174"/>
      <c r="BJO40" s="4"/>
      <c r="BJP40" s="4"/>
      <c r="BJQ40" s="4"/>
      <c r="BJR40" s="4"/>
      <c r="BJS40" s="4"/>
      <c r="BJT40" s="4"/>
      <c r="BJU40" s="4"/>
      <c r="BJV40" s="4"/>
      <c r="BJW40" s="4"/>
      <c r="BJX40" s="4"/>
      <c r="BJY40" s="4"/>
      <c r="BJZ40" s="4"/>
      <c r="BKA40" s="4"/>
      <c r="BKB40" s="4"/>
      <c r="BKC40" s="4"/>
      <c r="BKD40" s="4"/>
      <c r="BKE40" s="4"/>
      <c r="BKF40" s="4"/>
      <c r="BKG40" s="4"/>
      <c r="BKH40" s="4"/>
      <c r="BKI40" s="4"/>
      <c r="BKJ40" s="4"/>
      <c r="BKK40" s="4"/>
      <c r="BKL40" s="4"/>
      <c r="BKM40" s="4"/>
      <c r="BKN40" s="4"/>
    </row>
    <row r="41" spans="1:1652" ht="20.100000000000001" customHeight="1" x14ac:dyDescent="0.25">
      <c r="A41" s="84" t="s">
        <v>19</v>
      </c>
      <c r="B41" s="53" t="str">
        <f>IF(LEN(C67)=0,"",C67)</f>
        <v/>
      </c>
      <c r="C41" s="177" t="s">
        <v>53</v>
      </c>
      <c r="D41" s="129" t="str">
        <f t="shared" si="0"/>
        <v>8h10min</v>
      </c>
      <c r="E41" s="26">
        <v>98</v>
      </c>
      <c r="F41" s="235"/>
      <c r="G41" s="236"/>
      <c r="H41" s="236"/>
      <c r="I41" s="236"/>
      <c r="J41" s="236"/>
      <c r="K41" s="237"/>
      <c r="L41" s="236"/>
      <c r="M41" s="236"/>
      <c r="N41" s="236"/>
      <c r="O41" s="236"/>
      <c r="P41" s="236"/>
      <c r="Q41" s="238"/>
      <c r="R41" s="236"/>
      <c r="S41" s="236"/>
      <c r="T41" s="236"/>
      <c r="U41" s="236"/>
      <c r="V41" s="236"/>
      <c r="W41" s="239"/>
      <c r="X41" s="236"/>
      <c r="Y41" s="236"/>
      <c r="Z41" s="236"/>
      <c r="AA41" s="236"/>
      <c r="AB41" s="236"/>
      <c r="AC41" s="238"/>
      <c r="AD41" s="236"/>
      <c r="AE41" s="236"/>
      <c r="AF41" s="236"/>
      <c r="AG41" s="236"/>
      <c r="AH41" s="236"/>
      <c r="AI41" s="239"/>
      <c r="AJ41" s="236"/>
      <c r="AK41" s="236"/>
      <c r="AL41" s="236"/>
      <c r="AM41" s="236"/>
      <c r="AN41" s="236"/>
      <c r="AO41" s="238"/>
      <c r="AP41" s="236"/>
      <c r="AQ41" s="236"/>
      <c r="AR41" s="236"/>
      <c r="AS41" s="236"/>
      <c r="AT41" s="236"/>
      <c r="AU41" s="239"/>
      <c r="AV41" s="236"/>
      <c r="AW41" s="236"/>
      <c r="AX41" s="236"/>
      <c r="AY41" s="236"/>
      <c r="AZ41" s="236"/>
      <c r="BA41" s="238"/>
      <c r="BB41" s="236"/>
      <c r="BC41" s="236"/>
      <c r="BD41" s="236"/>
      <c r="BE41" s="236"/>
      <c r="BF41" s="236"/>
      <c r="BG41" s="239"/>
      <c r="BH41" s="236"/>
      <c r="BI41" s="236"/>
      <c r="BJ41" s="236"/>
      <c r="BK41" s="236"/>
      <c r="BL41" s="236"/>
      <c r="BM41" s="240"/>
      <c r="BN41" s="235"/>
      <c r="BO41" s="236"/>
      <c r="BP41" s="236"/>
      <c r="BQ41" s="236"/>
      <c r="BR41" s="236"/>
      <c r="BS41" s="237"/>
      <c r="BT41" s="236"/>
      <c r="BU41" s="236"/>
      <c r="BV41" s="236"/>
      <c r="BW41" s="236"/>
      <c r="BX41" s="236"/>
      <c r="BY41" s="238"/>
      <c r="BZ41" s="236"/>
      <c r="CA41" s="236"/>
      <c r="CB41" s="236"/>
      <c r="CC41" s="236"/>
      <c r="CD41" s="236"/>
      <c r="CE41" s="239"/>
      <c r="CF41" s="236"/>
      <c r="CG41" s="236"/>
      <c r="CH41" s="236"/>
      <c r="CI41" s="236"/>
      <c r="CJ41" s="236"/>
      <c r="CK41" s="238"/>
      <c r="CL41" s="236"/>
      <c r="CM41" s="236"/>
      <c r="CN41" s="236"/>
      <c r="CO41" s="236"/>
      <c r="CP41" s="236"/>
      <c r="CQ41" s="239"/>
      <c r="CR41" s="236"/>
      <c r="CS41" s="236"/>
      <c r="CT41" s="236"/>
      <c r="CU41" s="236"/>
      <c r="CV41" s="236"/>
      <c r="CW41" s="238"/>
      <c r="CX41" s="236"/>
      <c r="CY41" s="236"/>
      <c r="CZ41" s="236"/>
      <c r="DA41" s="236"/>
      <c r="DB41" s="236"/>
      <c r="DC41" s="239"/>
      <c r="DD41" s="236"/>
      <c r="DE41" s="236"/>
      <c r="DF41" s="236"/>
      <c r="DG41" s="236"/>
      <c r="DH41" s="236"/>
      <c r="DI41" s="238"/>
      <c r="DJ41" s="236"/>
      <c r="DK41" s="236"/>
      <c r="DL41" s="236"/>
      <c r="DM41" s="236"/>
      <c r="DN41" s="236"/>
      <c r="DO41" s="239"/>
      <c r="DP41" s="236"/>
      <c r="DQ41" s="236"/>
      <c r="DR41" s="236"/>
      <c r="DS41" s="236"/>
      <c r="DT41" s="236"/>
      <c r="DU41" s="240"/>
      <c r="DV41" s="235"/>
      <c r="DW41" s="236"/>
      <c r="DX41" s="236"/>
      <c r="DY41" s="236"/>
      <c r="DZ41" s="236"/>
      <c r="EA41" s="237"/>
      <c r="EB41" s="236"/>
      <c r="EC41" s="236"/>
      <c r="ED41" s="236"/>
      <c r="EE41" s="236"/>
      <c r="EF41" s="236"/>
      <c r="EG41" s="238"/>
      <c r="EH41" s="236"/>
      <c r="EI41" s="236"/>
      <c r="EJ41" s="236"/>
      <c r="EK41" s="236"/>
      <c r="EL41" s="236"/>
      <c r="EM41" s="239"/>
      <c r="EN41" s="236"/>
      <c r="EO41" s="236"/>
      <c r="EP41" s="236"/>
      <c r="EQ41" s="236"/>
      <c r="ER41" s="236"/>
      <c r="ES41" s="238"/>
      <c r="ET41" s="236"/>
      <c r="EU41" s="236"/>
      <c r="EV41" s="236"/>
      <c r="EW41" s="236"/>
      <c r="EX41" s="236"/>
      <c r="EY41" s="239"/>
      <c r="EZ41" s="236"/>
      <c r="FA41" s="236"/>
      <c r="FB41" s="236"/>
      <c r="FC41" s="236"/>
      <c r="FD41" s="236"/>
      <c r="FE41" s="238"/>
      <c r="FF41" s="236"/>
      <c r="FG41" s="236"/>
      <c r="FH41" s="236"/>
      <c r="FI41" s="236"/>
      <c r="FJ41" s="236"/>
      <c r="FK41" s="239"/>
      <c r="FL41" s="236"/>
      <c r="FM41" s="236"/>
      <c r="FN41" s="236"/>
      <c r="FO41" s="236"/>
      <c r="FP41" s="236"/>
      <c r="FQ41" s="238"/>
      <c r="FR41" s="236"/>
      <c r="FS41" s="236"/>
      <c r="FT41" s="236"/>
      <c r="FU41" s="236"/>
      <c r="FV41" s="236"/>
      <c r="FW41" s="239"/>
      <c r="FX41" s="236"/>
      <c r="FY41" s="236"/>
      <c r="FZ41" s="236"/>
      <c r="GA41" s="236"/>
      <c r="GB41" s="236"/>
      <c r="GC41" s="240"/>
      <c r="GD41" s="235"/>
      <c r="GE41" s="236"/>
      <c r="GF41" s="236"/>
      <c r="GG41" s="236"/>
      <c r="GH41" s="236"/>
      <c r="GI41" s="237"/>
      <c r="GJ41" s="236"/>
      <c r="GK41" s="236"/>
      <c r="GL41" s="236"/>
      <c r="GM41" s="236"/>
      <c r="GN41" s="236"/>
      <c r="GO41" s="238"/>
      <c r="GP41" s="236"/>
      <c r="GQ41" s="236"/>
      <c r="GR41" s="236"/>
      <c r="GS41" s="236"/>
      <c r="GT41" s="236"/>
      <c r="GU41" s="239"/>
      <c r="GV41" s="236"/>
      <c r="GW41" s="236"/>
      <c r="GX41" s="236"/>
      <c r="GY41" s="236"/>
      <c r="GZ41" s="236"/>
      <c r="HA41" s="238"/>
      <c r="HB41" s="236"/>
      <c r="HC41" s="236"/>
      <c r="HD41" s="236"/>
      <c r="HE41" s="236"/>
      <c r="HF41" s="236"/>
      <c r="HG41" s="239"/>
      <c r="HH41" s="236"/>
      <c r="HI41" s="236"/>
      <c r="HJ41" s="236"/>
      <c r="HK41" s="236"/>
      <c r="HL41" s="236"/>
      <c r="HM41" s="238"/>
      <c r="HN41" s="236"/>
      <c r="HO41" s="236"/>
      <c r="HP41" s="236"/>
      <c r="HQ41" s="236"/>
      <c r="HR41" s="236"/>
      <c r="HS41" s="239"/>
      <c r="HT41" s="236"/>
      <c r="HU41" s="236"/>
      <c r="HV41" s="236"/>
      <c r="HW41" s="236"/>
      <c r="HX41" s="236"/>
      <c r="HY41" s="238"/>
      <c r="HZ41" s="236"/>
      <c r="IA41" s="236"/>
      <c r="IB41" s="236"/>
      <c r="IC41" s="236"/>
      <c r="ID41" s="236"/>
      <c r="IE41" s="239"/>
      <c r="IF41" s="236"/>
      <c r="IG41" s="236"/>
      <c r="IH41" s="236"/>
      <c r="II41" s="236"/>
      <c r="IJ41" s="236"/>
      <c r="IK41" s="240"/>
      <c r="IL41" s="235"/>
      <c r="IM41" s="236"/>
      <c r="IN41" s="236"/>
      <c r="IO41" s="236"/>
      <c r="IP41" s="236"/>
      <c r="IQ41" s="237"/>
      <c r="IR41" s="236"/>
      <c r="IS41" s="236"/>
      <c r="IT41" s="236"/>
      <c r="IU41" s="236"/>
      <c r="IV41" s="236"/>
      <c r="IW41" s="238"/>
      <c r="IX41" s="236"/>
      <c r="IY41" s="236"/>
      <c r="IZ41" s="236"/>
      <c r="JA41" s="236"/>
      <c r="JB41" s="236"/>
      <c r="JC41" s="239"/>
      <c r="JD41" s="236"/>
      <c r="JE41" s="236"/>
      <c r="JF41" s="236"/>
      <c r="JG41" s="236"/>
      <c r="JH41" s="236"/>
      <c r="JI41" s="238"/>
      <c r="JJ41" s="236"/>
      <c r="JK41" s="236"/>
      <c r="JL41" s="236"/>
      <c r="JM41" s="236"/>
      <c r="JN41" s="236"/>
      <c r="JO41" s="239"/>
      <c r="JP41" s="236"/>
      <c r="JQ41" s="236"/>
      <c r="JR41" s="236"/>
      <c r="JS41" s="236"/>
      <c r="JT41" s="236"/>
      <c r="JU41" s="238"/>
      <c r="JV41" s="236"/>
      <c r="JW41" s="236"/>
      <c r="JX41" s="236"/>
      <c r="JY41" s="236"/>
      <c r="JZ41" s="236"/>
      <c r="KA41" s="239"/>
      <c r="KB41" s="236"/>
      <c r="KC41" s="236"/>
      <c r="KD41" s="236"/>
      <c r="KE41" s="236"/>
      <c r="KF41" s="236"/>
      <c r="KG41" s="238"/>
      <c r="KH41" s="236"/>
      <c r="KI41" s="236"/>
      <c r="KJ41" s="236"/>
      <c r="KK41" s="236"/>
      <c r="KL41" s="236"/>
      <c r="KM41" s="239"/>
      <c r="KN41" s="236"/>
      <c r="KO41" s="236"/>
      <c r="KP41" s="236"/>
      <c r="KQ41" s="236"/>
      <c r="KR41" s="236"/>
      <c r="KS41" s="240"/>
      <c r="KT41" s="235"/>
      <c r="KU41" s="236"/>
      <c r="KV41" s="236"/>
      <c r="KW41" s="236"/>
      <c r="KX41" s="236"/>
      <c r="KY41" s="237"/>
      <c r="KZ41" s="236"/>
      <c r="LA41" s="236"/>
      <c r="LB41" s="236"/>
      <c r="LC41" s="236"/>
      <c r="LD41" s="236"/>
      <c r="LE41" s="238"/>
      <c r="LF41" s="236"/>
      <c r="LG41" s="236"/>
      <c r="LH41" s="236"/>
      <c r="LI41" s="236"/>
      <c r="LJ41" s="236"/>
      <c r="LK41" s="239"/>
      <c r="LL41" s="236"/>
      <c r="LM41" s="236"/>
      <c r="LN41" s="236"/>
      <c r="LO41" s="236"/>
      <c r="LP41" s="236"/>
      <c r="LQ41" s="238"/>
      <c r="LR41" s="236"/>
      <c r="LS41" s="236"/>
      <c r="LT41" s="236"/>
      <c r="LU41" s="236"/>
      <c r="LV41" s="236"/>
      <c r="LW41" s="239"/>
      <c r="LX41" s="236"/>
      <c r="LY41" s="236"/>
      <c r="LZ41" s="236"/>
      <c r="MA41" s="236"/>
      <c r="MB41" s="236"/>
      <c r="MC41" s="238"/>
      <c r="MD41" s="236"/>
      <c r="ME41" s="236"/>
      <c r="MF41" s="236"/>
      <c r="MG41" s="236"/>
      <c r="MH41" s="236"/>
      <c r="MI41" s="239"/>
      <c r="MJ41" s="236"/>
      <c r="MK41" s="236"/>
      <c r="ML41" s="236"/>
      <c r="MM41" s="236"/>
      <c r="MN41" s="236"/>
      <c r="MO41" s="238"/>
      <c r="MP41" s="236"/>
      <c r="MQ41" s="236"/>
      <c r="MR41" s="236"/>
      <c r="MS41" s="236"/>
      <c r="MT41" s="236"/>
      <c r="MU41" s="239"/>
      <c r="MV41" s="236"/>
      <c r="MW41" s="236"/>
      <c r="MX41" s="236"/>
      <c r="MY41" s="236"/>
      <c r="MZ41" s="236"/>
      <c r="NA41" s="240"/>
      <c r="NB41" s="235"/>
      <c r="NC41" s="236"/>
      <c r="ND41" s="236"/>
      <c r="NE41" s="236"/>
      <c r="NF41" s="236"/>
      <c r="NG41" s="237"/>
      <c r="NH41" s="236"/>
      <c r="NI41" s="236"/>
      <c r="NJ41" s="236"/>
      <c r="NK41" s="236"/>
      <c r="NL41" s="236"/>
      <c r="NM41" s="238"/>
      <c r="NN41" s="236"/>
      <c r="NO41" s="236"/>
      <c r="NP41" s="236"/>
      <c r="NQ41" s="236"/>
      <c r="NR41" s="236"/>
      <c r="NS41" s="239"/>
      <c r="NT41" s="236"/>
      <c r="NU41" s="236"/>
      <c r="NV41" s="236"/>
      <c r="NW41" s="236"/>
      <c r="NX41" s="236"/>
      <c r="NY41" s="238"/>
      <c r="NZ41" s="236"/>
      <c r="OA41" s="236"/>
      <c r="OB41" s="236"/>
      <c r="OC41" s="236"/>
      <c r="OD41" s="236"/>
      <c r="OE41" s="239"/>
      <c r="OF41" s="236"/>
      <c r="OG41" s="236"/>
      <c r="OH41" s="236"/>
      <c r="OI41" s="236"/>
      <c r="OJ41" s="236"/>
      <c r="OK41" s="238"/>
      <c r="OL41" s="236"/>
      <c r="OM41" s="236"/>
      <c r="ON41" s="236"/>
      <c r="OO41" s="236"/>
      <c r="OP41" s="236"/>
      <c r="OQ41" s="239"/>
      <c r="OR41" s="236"/>
      <c r="OS41" s="236"/>
      <c r="OT41" s="236"/>
      <c r="OU41" s="236"/>
      <c r="OV41" s="236"/>
      <c r="OW41" s="238"/>
      <c r="OX41" s="236"/>
      <c r="OY41" s="236"/>
      <c r="OZ41" s="236"/>
      <c r="PA41" s="236"/>
      <c r="PB41" s="236"/>
      <c r="PC41" s="239"/>
      <c r="PD41" s="236"/>
      <c r="PE41" s="236"/>
      <c r="PF41" s="236"/>
      <c r="PG41" s="236"/>
      <c r="PH41" s="236"/>
      <c r="PI41" s="240"/>
      <c r="PJ41" s="235"/>
      <c r="PK41" s="236"/>
      <c r="PL41" s="236"/>
      <c r="PM41" s="236"/>
      <c r="PN41" s="236"/>
      <c r="PO41" s="237"/>
      <c r="PP41" s="236"/>
      <c r="PQ41" s="236"/>
      <c r="PR41" s="236"/>
      <c r="PS41" s="236"/>
      <c r="PT41" s="236"/>
      <c r="PU41" s="238"/>
      <c r="PV41" s="236"/>
      <c r="PW41" s="236"/>
      <c r="PX41" s="236"/>
      <c r="PY41" s="236"/>
      <c r="PZ41" s="236"/>
      <c r="QA41" s="239"/>
      <c r="QB41" s="236"/>
      <c r="QC41" s="236"/>
      <c r="QD41" s="236"/>
      <c r="QE41" s="236"/>
      <c r="QF41" s="236"/>
      <c r="QG41" s="238"/>
      <c r="QH41" s="236"/>
      <c r="QI41" s="236"/>
      <c r="QJ41" s="236"/>
      <c r="QK41" s="236"/>
      <c r="QL41" s="236"/>
      <c r="QM41" s="239"/>
      <c r="QN41" s="236"/>
      <c r="QO41" s="236"/>
      <c r="QP41" s="236"/>
      <c r="QQ41" s="236"/>
      <c r="QR41" s="236"/>
      <c r="QS41" s="238"/>
      <c r="QT41" s="236"/>
      <c r="QU41" s="236"/>
      <c r="QV41" s="236"/>
      <c r="QW41" s="236"/>
      <c r="QX41" s="236"/>
      <c r="QY41" s="239"/>
      <c r="QZ41" s="236"/>
      <c r="RA41" s="236"/>
      <c r="RB41" s="236"/>
      <c r="RC41" s="236"/>
      <c r="RD41" s="236"/>
      <c r="RE41" s="238"/>
      <c r="RF41" s="236"/>
      <c r="RG41" s="236"/>
      <c r="RH41" s="236"/>
      <c r="RI41" s="236"/>
      <c r="RJ41" s="236"/>
      <c r="RK41" s="239"/>
      <c r="RL41" s="236"/>
      <c r="RM41" s="236"/>
      <c r="RN41" s="236"/>
      <c r="RO41" s="236"/>
      <c r="RP41" s="236"/>
      <c r="RQ41" s="240"/>
      <c r="RR41" s="235"/>
      <c r="RS41" s="236"/>
      <c r="RT41" s="236"/>
      <c r="RU41" s="236"/>
      <c r="RV41" s="236"/>
      <c r="RW41" s="237"/>
      <c r="RX41" s="236"/>
      <c r="RY41" s="236"/>
      <c r="RZ41" s="236"/>
      <c r="SA41" s="236"/>
      <c r="SB41" s="236"/>
      <c r="SC41" s="238"/>
      <c r="SD41" s="236"/>
      <c r="SE41" s="236"/>
      <c r="SF41" s="236"/>
      <c r="SG41" s="236"/>
      <c r="SH41" s="236"/>
      <c r="SI41" s="239"/>
      <c r="SJ41" s="236"/>
      <c r="SK41" s="236"/>
      <c r="SL41" s="236"/>
      <c r="SM41" s="236"/>
      <c r="SN41" s="236"/>
      <c r="SO41" s="238"/>
      <c r="SP41" s="236"/>
      <c r="SQ41" s="236"/>
      <c r="SR41" s="236"/>
      <c r="SS41" s="236"/>
      <c r="ST41" s="236"/>
      <c r="SU41" s="239"/>
      <c r="SV41" s="236"/>
      <c r="SW41" s="236"/>
      <c r="SX41" s="236"/>
      <c r="SY41" s="236"/>
      <c r="SZ41" s="236"/>
      <c r="TA41" s="238"/>
      <c r="TB41" s="236"/>
      <c r="TC41" s="236"/>
      <c r="TD41" s="236"/>
      <c r="TE41" s="236"/>
      <c r="TF41" s="236"/>
      <c r="TG41" s="239"/>
      <c r="TH41" s="236"/>
      <c r="TI41" s="236"/>
      <c r="TJ41" s="236"/>
      <c r="TK41" s="236"/>
      <c r="TL41" s="236"/>
      <c r="TM41" s="238"/>
      <c r="TN41" s="236"/>
      <c r="TO41" s="236"/>
      <c r="TP41" s="236"/>
      <c r="TQ41" s="236"/>
      <c r="TR41" s="236"/>
      <c r="TS41" s="239"/>
      <c r="TT41" s="236"/>
      <c r="TU41" s="236"/>
      <c r="TV41" s="236"/>
      <c r="TW41" s="236"/>
      <c r="TX41" s="236"/>
      <c r="TY41" s="240"/>
      <c r="TZ41" s="235"/>
      <c r="UA41" s="236"/>
      <c r="UB41" s="236"/>
      <c r="UC41" s="236"/>
      <c r="UD41" s="236"/>
      <c r="UE41" s="237"/>
      <c r="UF41" s="236"/>
      <c r="UG41" s="236"/>
      <c r="UH41" s="236"/>
      <c r="UI41" s="236"/>
      <c r="UJ41" s="236"/>
      <c r="UK41" s="238"/>
      <c r="UL41" s="236"/>
      <c r="UM41" s="236"/>
      <c r="UN41" s="236"/>
      <c r="UO41" s="236"/>
      <c r="UP41" s="236"/>
      <c r="UQ41" s="239"/>
      <c r="UR41" s="236"/>
      <c r="US41" s="236"/>
      <c r="UT41" s="236"/>
      <c r="UU41" s="236"/>
      <c r="UV41" s="236"/>
      <c r="UW41" s="238"/>
      <c r="UX41" s="236"/>
      <c r="UY41" s="236"/>
      <c r="UZ41" s="236"/>
      <c r="VA41" s="236"/>
      <c r="VB41" s="236"/>
      <c r="VC41" s="239"/>
      <c r="VD41" s="236"/>
      <c r="VE41" s="236"/>
      <c r="VF41" s="236"/>
      <c r="VG41" s="236"/>
      <c r="VH41" s="236"/>
      <c r="VI41" s="238"/>
      <c r="VJ41" s="236"/>
      <c r="VK41" s="236"/>
      <c r="VL41" s="236"/>
      <c r="VM41" s="236"/>
      <c r="VN41" s="236"/>
      <c r="VO41" s="239"/>
      <c r="VP41" s="236"/>
      <c r="VQ41" s="236"/>
      <c r="VR41" s="236"/>
      <c r="VS41" s="236"/>
      <c r="VT41" s="236"/>
      <c r="VU41" s="238"/>
      <c r="VV41" s="236"/>
      <c r="VW41" s="236"/>
      <c r="VX41" s="236"/>
      <c r="VY41" s="236"/>
      <c r="VZ41" s="236"/>
      <c r="WA41" s="239"/>
      <c r="WB41" s="236"/>
      <c r="WC41" s="236"/>
      <c r="WD41" s="236"/>
      <c r="WE41" s="236"/>
      <c r="WF41" s="236"/>
      <c r="WG41" s="240"/>
      <c r="WH41" s="235"/>
      <c r="WI41" s="236"/>
      <c r="WJ41" s="236"/>
      <c r="WK41" s="236"/>
      <c r="WL41" s="236"/>
      <c r="WM41" s="237"/>
      <c r="WN41" s="236"/>
      <c r="WO41" s="236"/>
      <c r="WP41" s="236"/>
      <c r="WQ41" s="236"/>
      <c r="WR41" s="236"/>
      <c r="WS41" s="238"/>
      <c r="WT41" s="236"/>
      <c r="WU41" s="236"/>
      <c r="WV41" s="236"/>
      <c r="WW41" s="236"/>
      <c r="WX41" s="236"/>
      <c r="WY41" s="239"/>
      <c r="WZ41" s="236"/>
      <c r="XA41" s="236"/>
      <c r="XB41" s="236"/>
      <c r="XC41" s="236"/>
      <c r="XD41" s="236"/>
      <c r="XE41" s="238"/>
      <c r="XF41" s="236"/>
      <c r="XG41" s="236"/>
      <c r="XH41" s="236"/>
      <c r="XI41" s="236"/>
      <c r="XJ41" s="236"/>
      <c r="XK41" s="239"/>
      <c r="XL41" s="236"/>
      <c r="XM41" s="236"/>
      <c r="XN41" s="236"/>
      <c r="XO41" s="236"/>
      <c r="XP41" s="236"/>
      <c r="XQ41" s="238"/>
      <c r="XR41" s="236"/>
      <c r="XS41" s="236"/>
      <c r="XT41" s="236"/>
      <c r="XU41" s="236"/>
      <c r="XV41" s="236"/>
      <c r="XW41" s="239"/>
      <c r="XX41" s="236"/>
      <c r="XY41" s="236"/>
      <c r="XZ41" s="236"/>
      <c r="YA41" s="236"/>
      <c r="YB41" s="236"/>
      <c r="YC41" s="238"/>
      <c r="YD41" s="236"/>
      <c r="YE41" s="236"/>
      <c r="YF41" s="236"/>
      <c r="YG41" s="236"/>
      <c r="YH41" s="236"/>
      <c r="YI41" s="239"/>
      <c r="YJ41" s="236"/>
      <c r="YK41" s="236"/>
      <c r="YL41" s="236"/>
      <c r="YM41" s="236"/>
      <c r="YN41" s="236"/>
      <c r="YO41" s="240"/>
      <c r="YP41" s="235"/>
      <c r="YQ41" s="236"/>
      <c r="YR41" s="236"/>
      <c r="YS41" s="236"/>
      <c r="YT41" s="236"/>
      <c r="YU41" s="237"/>
      <c r="YV41" s="236"/>
      <c r="YW41" s="236"/>
      <c r="YX41" s="236"/>
      <c r="YY41" s="236"/>
      <c r="YZ41" s="236"/>
      <c r="ZA41" s="238"/>
      <c r="ZB41" s="236"/>
      <c r="ZC41" s="236"/>
      <c r="ZD41" s="236"/>
      <c r="ZE41" s="236"/>
      <c r="ZF41" s="236"/>
      <c r="ZG41" s="239"/>
      <c r="ZH41" s="236"/>
      <c r="ZI41" s="236"/>
      <c r="ZJ41" s="236"/>
      <c r="ZK41" s="236"/>
      <c r="ZL41" s="236"/>
      <c r="ZM41" s="238"/>
      <c r="ZN41" s="236"/>
      <c r="ZO41" s="236"/>
      <c r="ZP41" s="236"/>
      <c r="ZQ41" s="236"/>
      <c r="ZR41" s="236"/>
      <c r="ZS41" s="239"/>
      <c r="ZT41" s="236"/>
      <c r="ZU41" s="236"/>
      <c r="ZV41" s="236"/>
      <c r="ZW41" s="236"/>
      <c r="ZX41" s="236"/>
      <c r="ZY41" s="238"/>
      <c r="ZZ41" s="236"/>
      <c r="AAA41" s="236"/>
      <c r="AAB41" s="236"/>
      <c r="AAC41" s="236"/>
      <c r="AAD41" s="236"/>
      <c r="AAE41" s="239"/>
      <c r="AAF41" s="236"/>
      <c r="AAG41" s="236"/>
      <c r="AAH41" s="236"/>
      <c r="AAI41" s="236"/>
      <c r="AAJ41" s="236"/>
      <c r="AAK41" s="238"/>
      <c r="AAL41" s="236"/>
      <c r="AAM41" s="236"/>
      <c r="AAN41" s="236"/>
      <c r="AAO41" s="236"/>
      <c r="AAP41" s="236"/>
      <c r="AAQ41" s="239"/>
      <c r="AAR41" s="236"/>
      <c r="AAS41" s="236"/>
      <c r="AAT41" s="236"/>
      <c r="AAU41" s="236"/>
      <c r="AAV41" s="236"/>
      <c r="AAW41" s="240"/>
      <c r="AAX41" s="235"/>
      <c r="AAY41" s="236"/>
      <c r="AAZ41" s="236"/>
      <c r="ABA41" s="236"/>
      <c r="ABB41" s="236"/>
      <c r="ABC41" s="237"/>
      <c r="ABD41" s="236"/>
      <c r="ABE41" s="236"/>
      <c r="ABF41" s="236"/>
      <c r="ABG41" s="236"/>
      <c r="ABH41" s="236"/>
      <c r="ABI41" s="238"/>
      <c r="ABJ41" s="236"/>
      <c r="ABK41" s="236"/>
      <c r="ABL41" s="236"/>
      <c r="ABM41" s="236"/>
      <c r="ABN41" s="236"/>
      <c r="ABO41" s="239"/>
      <c r="ABP41" s="236"/>
      <c r="ABQ41" s="236"/>
      <c r="ABR41" s="236"/>
      <c r="ABS41" s="236"/>
      <c r="ABT41" s="236"/>
      <c r="ABU41" s="238"/>
      <c r="ABV41" s="236"/>
      <c r="ABW41" s="236"/>
      <c r="ABX41" s="236"/>
      <c r="ABY41" s="236"/>
      <c r="ABZ41" s="236"/>
      <c r="ACA41" s="239"/>
      <c r="ACB41" s="236"/>
      <c r="ACC41" s="236"/>
      <c r="ACD41" s="236"/>
      <c r="ACE41" s="236"/>
      <c r="ACF41" s="236"/>
      <c r="ACG41" s="238"/>
      <c r="ACH41" s="236"/>
      <c r="ACI41" s="236"/>
      <c r="ACJ41" s="236"/>
      <c r="ACK41" s="236"/>
      <c r="ACL41" s="236"/>
      <c r="ACM41" s="239"/>
      <c r="ACN41" s="236"/>
      <c r="ACO41" s="236"/>
      <c r="ACP41" s="236"/>
      <c r="ACQ41" s="236"/>
      <c r="ACR41" s="236"/>
      <c r="ACS41" s="238"/>
      <c r="ACT41" s="236"/>
      <c r="ACU41" s="236"/>
      <c r="ACV41" s="236"/>
      <c r="ACW41" s="236"/>
      <c r="ACX41" s="236"/>
      <c r="ACY41" s="239"/>
      <c r="ACZ41" s="236"/>
      <c r="ADA41" s="236"/>
      <c r="ADB41" s="236"/>
      <c r="ADC41" s="236"/>
      <c r="ADD41" s="236"/>
      <c r="ADE41" s="240"/>
      <c r="ADF41" s="235"/>
      <c r="ADG41" s="236"/>
      <c r="ADH41" s="236"/>
      <c r="ADI41" s="236"/>
      <c r="ADJ41" s="236"/>
      <c r="ADK41" s="237"/>
      <c r="ADL41" s="236"/>
      <c r="ADM41" s="236"/>
      <c r="ADN41" s="236"/>
      <c r="ADO41" s="236"/>
      <c r="ADP41" s="236"/>
      <c r="ADQ41" s="238"/>
      <c r="ADR41" s="236"/>
      <c r="ADS41" s="236"/>
      <c r="ADT41" s="236"/>
      <c r="ADU41" s="236"/>
      <c r="ADV41" s="236"/>
      <c r="ADW41" s="239"/>
      <c r="ADX41" s="236"/>
      <c r="ADY41" s="236"/>
      <c r="ADZ41" s="236"/>
      <c r="AEA41" s="236"/>
      <c r="AEB41" s="236"/>
      <c r="AEC41" s="238"/>
      <c r="AED41" s="236"/>
      <c r="AEE41" s="236"/>
      <c r="AEF41" s="236"/>
      <c r="AEG41" s="236"/>
      <c r="AEH41" s="236"/>
      <c r="AEI41" s="239"/>
      <c r="AEJ41" s="236"/>
      <c r="AEK41" s="236"/>
      <c r="AEL41" s="236"/>
      <c r="AEM41" s="236"/>
      <c r="AEN41" s="236"/>
      <c r="AEO41" s="238"/>
      <c r="AEP41" s="236"/>
      <c r="AEQ41" s="236"/>
      <c r="AER41" s="236"/>
      <c r="AES41" s="236"/>
      <c r="AET41" s="236"/>
      <c r="AEU41" s="239"/>
      <c r="AEV41" s="236"/>
      <c r="AEW41" s="236"/>
      <c r="AEX41" s="236"/>
      <c r="AEY41" s="236"/>
      <c r="AEZ41" s="236"/>
      <c r="AFA41" s="238"/>
      <c r="AFB41" s="236"/>
      <c r="AFC41" s="236"/>
      <c r="AFD41" s="236"/>
      <c r="AFE41" s="236"/>
      <c r="AFF41" s="236"/>
      <c r="AFG41" s="239"/>
      <c r="AFH41" s="236"/>
      <c r="AFI41" s="236"/>
      <c r="AFJ41" s="236"/>
      <c r="AFK41" s="236"/>
      <c r="AFL41" s="236"/>
      <c r="AFM41" s="240"/>
      <c r="AFN41" s="235"/>
      <c r="AFO41" s="236"/>
      <c r="AFP41" s="236"/>
      <c r="AFQ41" s="236"/>
      <c r="AFR41" s="236"/>
      <c r="AFS41" s="237"/>
      <c r="AFT41" s="236"/>
      <c r="AFU41" s="236"/>
      <c r="AFV41" s="236"/>
      <c r="AFW41" s="236"/>
      <c r="AFX41" s="236"/>
      <c r="AFY41" s="238"/>
      <c r="AFZ41" s="236"/>
      <c r="AGA41" s="236"/>
      <c r="AGB41" s="236"/>
      <c r="AGC41" s="236"/>
      <c r="AGD41" s="236"/>
      <c r="AGE41" s="239"/>
      <c r="AGF41" s="236"/>
      <c r="AGG41" s="236"/>
      <c r="AGH41" s="236"/>
      <c r="AGI41" s="236"/>
      <c r="AGJ41" s="236"/>
      <c r="AGK41" s="238"/>
      <c r="AGL41" s="236"/>
      <c r="AGM41" s="236"/>
      <c r="AGN41" s="236"/>
      <c r="AGO41" s="236"/>
      <c r="AGP41" s="236"/>
      <c r="AGQ41" s="239"/>
      <c r="AGR41" s="236"/>
      <c r="AGS41" s="236"/>
      <c r="AGT41" s="236"/>
      <c r="AGU41" s="236"/>
      <c r="AGV41" s="236"/>
      <c r="AGW41" s="238"/>
      <c r="AGX41" s="236"/>
      <c r="AGY41" s="236"/>
      <c r="AGZ41" s="236"/>
      <c r="AHA41" s="236"/>
      <c r="AHB41" s="236"/>
      <c r="AHC41" s="239"/>
      <c r="AHD41" s="236"/>
      <c r="AHE41" s="236"/>
      <c r="AHF41" s="236"/>
      <c r="AHG41" s="236"/>
      <c r="AHH41" s="236"/>
      <c r="AHI41" s="238"/>
      <c r="AHJ41" s="236"/>
      <c r="AHK41" s="236"/>
      <c r="AHL41" s="236"/>
      <c r="AHM41" s="236"/>
      <c r="AHN41" s="236"/>
      <c r="AHO41" s="239"/>
      <c r="AHP41" s="236"/>
      <c r="AHQ41" s="236"/>
      <c r="AHR41" s="236"/>
      <c r="AHS41" s="236"/>
      <c r="AHT41" s="236"/>
      <c r="AHU41" s="240"/>
      <c r="AHV41" s="235"/>
      <c r="AHW41" s="236"/>
      <c r="AHX41" s="236"/>
      <c r="AHY41" s="236"/>
      <c r="AHZ41" s="236"/>
      <c r="AIA41" s="237"/>
      <c r="AIB41" s="236"/>
      <c r="AIC41" s="236"/>
      <c r="AID41" s="236"/>
      <c r="AIE41" s="236"/>
      <c r="AIF41" s="149"/>
      <c r="AIG41" s="151"/>
      <c r="AIH41" s="149"/>
      <c r="AII41" s="149"/>
      <c r="AIJ41" s="149"/>
      <c r="AIK41" s="149"/>
      <c r="AIL41" s="149"/>
      <c r="AIM41" s="152"/>
      <c r="AIN41" s="149"/>
      <c r="AIO41" s="149"/>
      <c r="AIP41" s="149"/>
      <c r="AIQ41" s="149"/>
      <c r="AIR41" s="149"/>
      <c r="AIS41" s="151"/>
      <c r="AIT41" s="149"/>
      <c r="AIU41" s="149"/>
      <c r="AIV41" s="149"/>
      <c r="AIW41" s="149"/>
      <c r="AIX41" s="149"/>
      <c r="AIY41" s="152"/>
      <c r="AIZ41" s="149"/>
      <c r="AJA41" s="149"/>
      <c r="AJB41" s="149"/>
      <c r="AJC41" s="149"/>
      <c r="AJD41" s="149"/>
      <c r="AJE41" s="151"/>
      <c r="AJF41" s="236"/>
      <c r="AJG41" s="236"/>
      <c r="AJH41" s="236"/>
      <c r="AJI41" s="236"/>
      <c r="AJJ41" s="236"/>
      <c r="AJK41" s="239"/>
      <c r="AJL41" s="236"/>
      <c r="AJM41" s="236"/>
      <c r="AJN41" s="236"/>
      <c r="AJO41" s="236"/>
      <c r="AJP41" s="236"/>
      <c r="AJQ41" s="238"/>
      <c r="AJR41" s="236"/>
      <c r="AJS41" s="236"/>
      <c r="AJT41" s="236"/>
      <c r="AJU41" s="236"/>
      <c r="AJV41" s="236"/>
      <c r="AJW41" s="239"/>
      <c r="AJX41" s="236"/>
      <c r="AJY41" s="236"/>
      <c r="AJZ41" s="236"/>
      <c r="AKA41" s="236"/>
      <c r="AKB41" s="236"/>
      <c r="AKC41" s="240"/>
      <c r="AKD41" s="157"/>
      <c r="AKE41" s="149"/>
      <c r="AKF41" s="149"/>
      <c r="AKG41" s="149"/>
      <c r="AKH41" s="149"/>
      <c r="AKI41" s="150"/>
      <c r="AKJ41" s="149"/>
      <c r="AKK41" s="149"/>
      <c r="AKL41" s="149"/>
      <c r="AKM41" s="149"/>
      <c r="AKN41" s="149"/>
      <c r="AKO41" s="151"/>
      <c r="AKP41" s="149"/>
      <c r="AKQ41" s="149"/>
      <c r="AKR41" s="149"/>
      <c r="AKS41" s="149"/>
      <c r="AKT41" s="149"/>
      <c r="AKU41" s="152"/>
      <c r="AKV41" s="149"/>
      <c r="AKW41" s="149"/>
      <c r="AKX41" s="149"/>
      <c r="AKY41" s="149"/>
      <c r="AKZ41" s="149"/>
      <c r="ALA41" s="151"/>
      <c r="ALB41" s="149"/>
      <c r="ALC41" s="149"/>
      <c r="ALD41" s="149"/>
      <c r="ALE41" s="149"/>
      <c r="ALF41" s="149"/>
      <c r="ALG41" s="152"/>
      <c r="ALH41" s="149"/>
      <c r="ALI41" s="149"/>
      <c r="ALJ41" s="149"/>
      <c r="ALK41" s="149"/>
      <c r="ALL41" s="149"/>
      <c r="ALM41" s="151"/>
      <c r="ALN41" s="149"/>
      <c r="ALO41" s="149"/>
      <c r="ALP41" s="149"/>
      <c r="ALQ41" s="149"/>
      <c r="ALR41" s="149"/>
      <c r="ALS41" s="152"/>
      <c r="ALT41" s="149"/>
      <c r="ALU41" s="149"/>
      <c r="ALV41" s="149"/>
      <c r="ALW41" s="149"/>
      <c r="ALX41" s="236"/>
      <c r="ALY41" s="238"/>
      <c r="ALZ41" s="236"/>
      <c r="AMA41" s="236"/>
      <c r="AMB41" s="236"/>
      <c r="AMC41" s="236"/>
      <c r="AMD41" s="236"/>
      <c r="AME41" s="239"/>
      <c r="AMF41" s="236"/>
      <c r="AMG41" s="236"/>
      <c r="AMH41" s="236"/>
      <c r="AMI41" s="236"/>
      <c r="AMJ41" s="236"/>
      <c r="AMK41" s="240"/>
      <c r="AML41" s="157"/>
      <c r="AMM41" s="149"/>
      <c r="AMN41" s="149"/>
      <c r="AMO41" s="149"/>
      <c r="AMP41" s="149"/>
      <c r="AMQ41" s="150"/>
      <c r="AMR41" s="149"/>
      <c r="AMS41" s="149"/>
      <c r="AMT41" s="149"/>
      <c r="AMU41" s="149"/>
      <c r="AMV41" s="149"/>
      <c r="AMW41" s="151"/>
      <c r="AMX41" s="149"/>
      <c r="AMY41" s="149"/>
      <c r="AMZ41" s="149"/>
      <c r="ANA41" s="149"/>
      <c r="ANB41" s="149"/>
      <c r="ANC41" s="152"/>
      <c r="AND41" s="149"/>
      <c r="ANE41" s="149"/>
      <c r="ANF41" s="149"/>
      <c r="ANG41" s="149"/>
      <c r="ANH41" s="149"/>
      <c r="ANI41" s="151"/>
      <c r="ANJ41" s="149"/>
      <c r="ANK41" s="149"/>
      <c r="ANL41" s="236"/>
      <c r="ANM41" s="236"/>
      <c r="ANN41" s="236"/>
      <c r="ANO41" s="239"/>
      <c r="ANP41" s="236"/>
      <c r="ANQ41" s="236"/>
      <c r="ANR41" s="236"/>
      <c r="ANS41" s="236"/>
      <c r="ANT41" s="236"/>
      <c r="ANU41" s="238"/>
      <c r="ANV41" s="236"/>
      <c r="ANW41" s="236"/>
      <c r="ANX41" s="236"/>
      <c r="ANY41" s="236"/>
      <c r="ANZ41" s="236"/>
      <c r="AOA41" s="239"/>
      <c r="AOB41" s="236"/>
      <c r="AOC41" s="236"/>
      <c r="AOD41" s="236"/>
      <c r="AOE41" s="236"/>
      <c r="AOF41" s="236"/>
      <c r="AOG41" s="238"/>
      <c r="AOH41" s="236"/>
      <c r="AOI41" s="236"/>
      <c r="AOJ41" s="236"/>
      <c r="AOK41" s="236"/>
      <c r="AOL41" s="236"/>
      <c r="AOM41" s="239"/>
      <c r="AON41" s="236"/>
      <c r="AOO41" s="236"/>
      <c r="AOP41" s="236"/>
      <c r="AOQ41" s="236"/>
      <c r="AOR41" s="236"/>
      <c r="AOS41" s="240"/>
      <c r="AOT41" s="235"/>
      <c r="AOU41" s="236"/>
      <c r="AOV41" s="236"/>
      <c r="AOW41" s="236"/>
      <c r="AOX41" s="236"/>
      <c r="AOY41" s="237"/>
      <c r="AOZ41" s="236"/>
      <c r="APA41" s="236"/>
      <c r="APB41" s="236"/>
      <c r="APC41" s="236"/>
      <c r="APD41" s="236"/>
      <c r="APE41" s="238"/>
      <c r="APF41" s="236"/>
      <c r="APG41" s="236"/>
      <c r="APH41" s="236"/>
      <c r="API41" s="236"/>
      <c r="APJ41" s="236"/>
      <c r="APK41" s="239"/>
      <c r="APL41" s="236"/>
      <c r="APM41" s="236"/>
      <c r="APN41" s="236"/>
      <c r="APO41" s="236"/>
      <c r="APP41" s="236"/>
      <c r="APQ41" s="238"/>
      <c r="APR41" s="236"/>
      <c r="APS41" s="236"/>
      <c r="APT41" s="236"/>
      <c r="APU41" s="236"/>
      <c r="APV41" s="236"/>
      <c r="APW41" s="239"/>
      <c r="APX41" s="236"/>
      <c r="APY41" s="236"/>
      <c r="APZ41" s="236"/>
      <c r="AQA41" s="236"/>
      <c r="AQB41" s="236"/>
      <c r="AQC41" s="238"/>
      <c r="AQD41" s="236"/>
      <c r="AQE41" s="236"/>
      <c r="AQF41" s="236"/>
      <c r="AQG41" s="236"/>
      <c r="AQH41" s="236"/>
      <c r="AQI41" s="239"/>
      <c r="AQJ41" s="236"/>
      <c r="AQK41" s="236"/>
      <c r="AQL41" s="236"/>
      <c r="AQM41" s="236"/>
      <c r="AQN41" s="236"/>
      <c r="AQO41" s="238"/>
      <c r="AQP41" s="236"/>
      <c r="AQQ41" s="236"/>
      <c r="AQR41" s="236"/>
      <c r="AQS41" s="236"/>
      <c r="AQT41" s="236"/>
      <c r="AQU41" s="239"/>
      <c r="AQV41" s="236"/>
      <c r="AQW41" s="236"/>
      <c r="AQX41" s="236"/>
      <c r="AQY41" s="236"/>
      <c r="AQZ41" s="236"/>
      <c r="ARA41" s="240"/>
      <c r="ARB41" s="235"/>
      <c r="ARC41" s="236"/>
      <c r="ARD41" s="236"/>
      <c r="ARE41" s="236"/>
      <c r="ARF41" s="236"/>
      <c r="ARG41" s="237"/>
      <c r="ARH41" s="236"/>
      <c r="ARI41" s="236"/>
      <c r="ARJ41" s="236"/>
      <c r="ARK41" s="236"/>
      <c r="ARL41" s="236"/>
      <c r="ARM41" s="238"/>
      <c r="ARN41" s="236"/>
      <c r="ARO41" s="236"/>
      <c r="ARP41" s="236"/>
      <c r="ARQ41" s="236"/>
      <c r="ARR41" s="236"/>
      <c r="ARS41" s="239"/>
      <c r="ART41" s="236"/>
      <c r="ARU41" s="236"/>
      <c r="ARV41" s="236"/>
      <c r="ARW41" s="236"/>
      <c r="ARX41" s="236"/>
      <c r="ARY41" s="238"/>
      <c r="ARZ41" s="236"/>
      <c r="ASA41" s="236"/>
      <c r="ASB41" s="236"/>
      <c r="ASC41" s="236"/>
      <c r="ASD41" s="236"/>
      <c r="ASE41" s="239"/>
      <c r="ASF41" s="236"/>
      <c r="ASG41" s="236"/>
      <c r="ASH41" s="236"/>
      <c r="ASI41" s="236"/>
      <c r="ASJ41" s="236"/>
      <c r="ASK41" s="238"/>
      <c r="ASL41" s="236"/>
      <c r="ASM41" s="236"/>
      <c r="ASN41" s="236"/>
      <c r="ASO41" s="236"/>
      <c r="ASP41" s="236"/>
      <c r="ASQ41" s="239"/>
      <c r="ASR41" s="236"/>
      <c r="ASS41" s="236"/>
      <c r="AST41" s="236"/>
      <c r="ASU41" s="236"/>
      <c r="ASV41" s="236"/>
      <c r="ASW41" s="238"/>
      <c r="ASX41" s="236"/>
      <c r="ASY41" s="236"/>
      <c r="ASZ41" s="236"/>
      <c r="ATA41" s="236"/>
      <c r="ATB41" s="236"/>
      <c r="ATC41" s="239"/>
      <c r="ATD41" s="236"/>
      <c r="ATE41" s="236"/>
      <c r="ATF41" s="236"/>
      <c r="ATG41" s="236"/>
      <c r="ATH41" s="236"/>
      <c r="ATI41" s="240"/>
      <c r="ATJ41" s="235"/>
      <c r="ATK41" s="236"/>
      <c r="ATL41" s="236"/>
      <c r="ATM41" s="236"/>
      <c r="ATN41" s="236"/>
      <c r="ATO41" s="237"/>
      <c r="ATP41" s="236"/>
      <c r="ATQ41" s="236"/>
      <c r="ATR41" s="236"/>
      <c r="ATS41" s="236"/>
      <c r="ATT41" s="236"/>
      <c r="ATU41" s="238"/>
      <c r="ATV41" s="236"/>
      <c r="ATW41" s="236"/>
      <c r="ATX41" s="236"/>
      <c r="ATY41" s="236"/>
      <c r="ATZ41" s="236"/>
      <c r="AUA41" s="239"/>
      <c r="AUB41" s="236"/>
      <c r="AUC41" s="236"/>
      <c r="AUD41" s="236"/>
      <c r="AUE41" s="236"/>
      <c r="AUF41" s="236"/>
      <c r="AUG41" s="238"/>
      <c r="AUH41" s="236"/>
      <c r="AUI41" s="236"/>
      <c r="AUJ41" s="236"/>
      <c r="AUK41" s="236"/>
      <c r="AUL41" s="236"/>
      <c r="AUM41" s="239"/>
      <c r="AUN41" s="236"/>
      <c r="AUO41" s="236"/>
      <c r="AUP41" s="236"/>
      <c r="AUQ41" s="236"/>
      <c r="AUR41" s="236"/>
      <c r="AUS41" s="238"/>
      <c r="AUT41" s="236"/>
      <c r="AUU41" s="236"/>
      <c r="AUV41" s="236"/>
      <c r="AUW41" s="236"/>
      <c r="AUX41" s="236"/>
      <c r="AUY41" s="239"/>
      <c r="AUZ41" s="236"/>
      <c r="AVA41" s="236"/>
      <c r="AVB41" s="236"/>
      <c r="AVC41" s="236"/>
      <c r="AVD41" s="236"/>
      <c r="AVE41" s="238"/>
      <c r="AVF41" s="236"/>
      <c r="AVG41" s="236"/>
      <c r="AVH41" s="236"/>
      <c r="AVI41" s="236"/>
      <c r="AVJ41" s="236"/>
      <c r="AVK41" s="239"/>
      <c r="AVL41" s="236"/>
      <c r="AVM41" s="236"/>
      <c r="AVN41" s="236"/>
      <c r="AVO41" s="236"/>
      <c r="AVP41" s="236"/>
      <c r="AVQ41" s="240"/>
      <c r="AVR41" s="235"/>
      <c r="AVS41" s="236"/>
      <c r="AVT41" s="236"/>
      <c r="AVU41" s="236"/>
      <c r="AVV41" s="236"/>
      <c r="AVW41" s="237"/>
      <c r="AVX41" s="236"/>
      <c r="AVY41" s="236"/>
      <c r="AVZ41" s="236"/>
      <c r="AWA41" s="236"/>
      <c r="AWB41" s="236"/>
      <c r="AWC41" s="238"/>
      <c r="AWD41" s="236"/>
      <c r="AWE41" s="236"/>
      <c r="AWF41" s="236"/>
      <c r="AWG41" s="236"/>
      <c r="AWH41" s="236"/>
      <c r="AWI41" s="239"/>
      <c r="AWJ41" s="236"/>
      <c r="AWK41" s="236"/>
      <c r="AWL41" s="236"/>
      <c r="AWM41" s="236"/>
      <c r="AWN41" s="236"/>
      <c r="AWO41" s="238"/>
      <c r="AWP41" s="236"/>
      <c r="AWQ41" s="236"/>
      <c r="AWR41" s="236"/>
      <c r="AWS41" s="236"/>
      <c r="AWT41" s="236"/>
      <c r="AWU41" s="239"/>
      <c r="AWV41" s="236"/>
      <c r="AWW41" s="236"/>
      <c r="AWX41" s="236"/>
      <c r="AWY41" s="236"/>
      <c r="AWZ41" s="236"/>
      <c r="AXA41" s="238"/>
      <c r="AXB41" s="236"/>
      <c r="AXC41" s="236"/>
      <c r="AXD41" s="236"/>
      <c r="AXE41" s="236"/>
      <c r="AXF41" s="236"/>
      <c r="AXG41" s="239"/>
      <c r="AXH41" s="236"/>
      <c r="AXI41" s="236"/>
      <c r="AXJ41" s="236"/>
      <c r="AXK41" s="236"/>
      <c r="AXL41" s="236"/>
      <c r="AXM41" s="238"/>
      <c r="AXN41" s="236"/>
      <c r="AXO41" s="236"/>
      <c r="AXP41" s="236"/>
      <c r="AXQ41" s="236"/>
      <c r="AXR41" s="236"/>
      <c r="AXS41" s="239"/>
      <c r="AXT41" s="236"/>
      <c r="AXU41" s="236"/>
      <c r="AXV41" s="236"/>
      <c r="AXW41" s="236"/>
      <c r="AXX41" s="236"/>
      <c r="AXY41" s="240"/>
      <c r="AXZ41" s="235"/>
      <c r="AYA41" s="236"/>
      <c r="AYB41" s="236"/>
      <c r="AYC41" s="236"/>
      <c r="AYD41" s="236"/>
      <c r="AYE41" s="237"/>
      <c r="AYF41" s="236"/>
      <c r="AYG41" s="236"/>
      <c r="AYH41" s="236"/>
      <c r="AYI41" s="236"/>
      <c r="AYJ41" s="236"/>
      <c r="AYK41" s="238"/>
      <c r="AYL41" s="236"/>
      <c r="AYM41" s="236"/>
      <c r="AYN41" s="236"/>
      <c r="AYO41" s="236"/>
      <c r="AYP41" s="236"/>
      <c r="AYQ41" s="239"/>
      <c r="AYR41" s="236"/>
      <c r="AYS41" s="236"/>
      <c r="AYT41" s="236"/>
      <c r="AYU41" s="236"/>
      <c r="AYV41" s="236"/>
      <c r="AYW41" s="238"/>
      <c r="AYX41" s="236"/>
      <c r="AYY41" s="236"/>
      <c r="AYZ41" s="236"/>
      <c r="AZA41" s="236"/>
      <c r="AZB41" s="236"/>
      <c r="AZC41" s="239"/>
      <c r="AZD41" s="236"/>
      <c r="AZE41" s="236"/>
      <c r="AZF41" s="236"/>
      <c r="AZG41" s="236"/>
      <c r="AZH41" s="236"/>
      <c r="AZI41" s="238"/>
      <c r="AZJ41" s="236"/>
      <c r="AZK41" s="236"/>
      <c r="AZL41" s="236"/>
      <c r="AZM41" s="236"/>
      <c r="AZN41" s="236"/>
      <c r="AZO41" s="239"/>
      <c r="AZP41" s="236"/>
      <c r="AZQ41" s="236"/>
      <c r="AZR41" s="236"/>
      <c r="AZS41" s="236"/>
      <c r="AZT41" s="236"/>
      <c r="AZU41" s="238"/>
      <c r="AZV41" s="236"/>
      <c r="AZW41" s="236"/>
      <c r="AZX41" s="236"/>
      <c r="AZY41" s="236"/>
      <c r="AZZ41" s="236"/>
      <c r="BAA41" s="239"/>
      <c r="BAB41" s="236"/>
      <c r="BAC41" s="236"/>
      <c r="BAD41" s="236"/>
      <c r="BAE41" s="236"/>
      <c r="BAF41" s="236"/>
      <c r="BAG41" s="240"/>
      <c r="BAH41" s="235"/>
      <c r="BAI41" s="236"/>
      <c r="BAJ41" s="236"/>
      <c r="BAK41" s="236"/>
      <c r="BAL41" s="236"/>
      <c r="BAM41" s="237"/>
      <c r="BAN41" s="236"/>
      <c r="BAO41" s="236"/>
      <c r="BAP41" s="236"/>
      <c r="BAQ41" s="236"/>
      <c r="BAR41" s="236"/>
      <c r="BAS41" s="238"/>
      <c r="BAT41" s="236"/>
      <c r="BAU41" s="236"/>
      <c r="BAV41" s="236"/>
      <c r="BAW41" s="236"/>
      <c r="BAX41" s="236"/>
      <c r="BAY41" s="239"/>
      <c r="BAZ41" s="236"/>
      <c r="BBA41" s="236"/>
      <c r="BBB41" s="236"/>
      <c r="BBC41" s="236"/>
      <c r="BBD41" s="236"/>
      <c r="BBE41" s="238"/>
      <c r="BBF41" s="236"/>
      <c r="BBG41" s="236"/>
      <c r="BBH41" s="236"/>
      <c r="BBI41" s="236"/>
      <c r="BBJ41" s="236"/>
      <c r="BBK41" s="239"/>
      <c r="BBL41" s="236"/>
      <c r="BBM41" s="236"/>
      <c r="BBN41" s="236"/>
      <c r="BBO41" s="236"/>
      <c r="BBP41" s="236"/>
      <c r="BBQ41" s="238"/>
      <c r="BBR41" s="236"/>
      <c r="BBS41" s="236"/>
      <c r="BBT41" s="236"/>
      <c r="BBU41" s="236"/>
      <c r="BBV41" s="236"/>
      <c r="BBW41" s="239"/>
      <c r="BBX41" s="236"/>
      <c r="BBY41" s="236"/>
      <c r="BBZ41" s="236"/>
      <c r="BCA41" s="236"/>
      <c r="BCB41" s="236"/>
      <c r="BCC41" s="238"/>
      <c r="BCD41" s="236"/>
      <c r="BCE41" s="236"/>
      <c r="BCF41" s="236"/>
      <c r="BCG41" s="236"/>
      <c r="BCH41" s="236"/>
      <c r="BCI41" s="239"/>
      <c r="BCJ41" s="236"/>
      <c r="BCK41" s="236"/>
      <c r="BCL41" s="236"/>
      <c r="BCM41" s="236"/>
      <c r="BCN41" s="236"/>
      <c r="BCO41" s="240"/>
      <c r="BCP41" s="235"/>
      <c r="BCQ41" s="236"/>
      <c r="BCR41" s="236"/>
      <c r="BCS41" s="236"/>
      <c r="BCT41" s="236"/>
      <c r="BCU41" s="237"/>
      <c r="BCV41" s="236"/>
      <c r="BCW41" s="236"/>
      <c r="BCX41" s="236"/>
      <c r="BCY41" s="236"/>
      <c r="BCZ41" s="236"/>
      <c r="BDA41" s="238"/>
      <c r="BDB41" s="236"/>
      <c r="BDC41" s="236"/>
      <c r="BDD41" s="236"/>
      <c r="BDE41" s="236"/>
      <c r="BDF41" s="236"/>
      <c r="BDG41" s="239"/>
      <c r="BDH41" s="236"/>
      <c r="BDI41" s="236"/>
      <c r="BDJ41" s="236"/>
      <c r="BDK41" s="236"/>
      <c r="BDL41" s="236"/>
      <c r="BDM41" s="238"/>
      <c r="BDN41" s="236"/>
      <c r="BDO41" s="236"/>
      <c r="BDP41" s="236"/>
      <c r="BDQ41" s="236"/>
      <c r="BDR41" s="236"/>
      <c r="BDS41" s="239"/>
      <c r="BDT41" s="236"/>
      <c r="BDU41" s="236"/>
      <c r="BDV41" s="236"/>
      <c r="BDW41" s="236"/>
      <c r="BDX41" s="236"/>
      <c r="BDY41" s="238"/>
      <c r="BDZ41" s="236"/>
      <c r="BEA41" s="236"/>
      <c r="BEB41" s="236"/>
      <c r="BEC41" s="236"/>
      <c r="BED41" s="236"/>
      <c r="BEE41" s="239"/>
      <c r="BEF41" s="236"/>
      <c r="BEG41" s="236"/>
      <c r="BEH41" s="236"/>
      <c r="BEI41" s="236"/>
      <c r="BEJ41" s="236"/>
      <c r="BEK41" s="238"/>
      <c r="BEL41" s="236"/>
      <c r="BEM41" s="236"/>
      <c r="BEN41" s="236"/>
      <c r="BEO41" s="236"/>
      <c r="BEP41" s="236"/>
      <c r="BEQ41" s="239"/>
      <c r="BER41" s="236"/>
      <c r="BES41" s="236"/>
      <c r="BET41" s="236"/>
      <c r="BEU41" s="236"/>
      <c r="BEV41" s="236"/>
      <c r="BEW41" s="240"/>
      <c r="BEX41" s="235"/>
      <c r="BEY41" s="236"/>
      <c r="BEZ41" s="236"/>
      <c r="BFA41" s="236"/>
      <c r="BFB41" s="236"/>
      <c r="BFC41" s="237"/>
      <c r="BFD41" s="236"/>
      <c r="BFE41" s="236"/>
      <c r="BFF41" s="236"/>
      <c r="BFG41" s="236"/>
      <c r="BFH41" s="236"/>
      <c r="BFI41" s="238"/>
      <c r="BFJ41" s="236"/>
      <c r="BFK41" s="236"/>
      <c r="BFL41" s="236"/>
      <c r="BFM41" s="236"/>
      <c r="BFN41" s="236"/>
      <c r="BFO41" s="239"/>
      <c r="BFP41" s="236"/>
      <c r="BFQ41" s="236"/>
      <c r="BFR41" s="236"/>
      <c r="BFS41" s="236"/>
      <c r="BFT41" s="236"/>
      <c r="BFU41" s="238"/>
      <c r="BFV41" s="236"/>
      <c r="BFW41" s="236"/>
      <c r="BFX41" s="236"/>
      <c r="BFY41" s="236"/>
      <c r="BFZ41" s="236"/>
      <c r="BGA41" s="239"/>
      <c r="BGB41" s="236"/>
      <c r="BGC41" s="236"/>
      <c r="BGD41" s="236"/>
      <c r="BGE41" s="236"/>
      <c r="BGF41" s="236"/>
      <c r="BGG41" s="238"/>
      <c r="BGH41" s="236"/>
      <c r="BGI41" s="236"/>
      <c r="BGJ41" s="236"/>
      <c r="BGK41" s="236"/>
      <c r="BGL41" s="236"/>
      <c r="BGM41" s="239"/>
      <c r="BGN41" s="236"/>
      <c r="BGO41" s="236"/>
      <c r="BGP41" s="236"/>
      <c r="BGQ41" s="236"/>
      <c r="BGR41" s="236"/>
      <c r="BGS41" s="238"/>
      <c r="BGT41" s="236"/>
      <c r="BGU41" s="236"/>
      <c r="BGV41" s="236"/>
      <c r="BGW41" s="236"/>
      <c r="BGX41" s="236"/>
      <c r="BGY41" s="239"/>
      <c r="BGZ41" s="236"/>
      <c r="BHA41" s="236"/>
      <c r="BHB41" s="236"/>
      <c r="BHC41" s="236"/>
      <c r="BHD41" s="236"/>
      <c r="BHE41" s="240"/>
      <c r="BHF41" s="235"/>
      <c r="BHG41" s="236"/>
      <c r="BHH41" s="236"/>
      <c r="BHI41" s="236"/>
      <c r="BHJ41" s="236"/>
      <c r="BHK41" s="237"/>
      <c r="BHL41" s="236"/>
      <c r="BHM41" s="236"/>
      <c r="BHN41" s="236"/>
      <c r="BHO41" s="236"/>
      <c r="BHP41" s="236"/>
      <c r="BHQ41" s="238"/>
      <c r="BHR41" s="236"/>
      <c r="BHS41" s="236"/>
      <c r="BHT41" s="236"/>
      <c r="BHU41" s="236"/>
      <c r="BHV41" s="236"/>
      <c r="BHW41" s="239"/>
      <c r="BHX41" s="236"/>
      <c r="BHY41" s="236"/>
      <c r="BHZ41" s="236"/>
      <c r="BIA41" s="236"/>
      <c r="BIB41" s="236"/>
      <c r="BIC41" s="238"/>
      <c r="BID41" s="236"/>
      <c r="BIE41" s="236"/>
      <c r="BIF41" s="236"/>
      <c r="BIG41" s="236"/>
      <c r="BIH41" s="236"/>
      <c r="BII41" s="239"/>
      <c r="BIJ41" s="236"/>
      <c r="BIK41" s="236"/>
      <c r="BIL41" s="236"/>
      <c r="BIM41" s="236"/>
      <c r="BIN41" s="236"/>
      <c r="BIO41" s="238"/>
      <c r="BIP41" s="236"/>
      <c r="BIQ41" s="236"/>
      <c r="BIR41" s="236"/>
      <c r="BIS41" s="236"/>
      <c r="BIT41" s="236"/>
      <c r="BIU41" s="239"/>
      <c r="BIV41" s="236"/>
      <c r="BIW41" s="236"/>
      <c r="BIX41" s="236"/>
      <c r="BIY41" s="236"/>
      <c r="BIZ41" s="236"/>
      <c r="BJA41" s="238"/>
      <c r="BJB41" s="236"/>
      <c r="BJC41" s="236"/>
      <c r="BJD41" s="236"/>
      <c r="BJE41" s="236"/>
      <c r="BJF41" s="236"/>
      <c r="BJG41" s="239"/>
      <c r="BJH41" s="236"/>
      <c r="BJI41" s="236"/>
      <c r="BJJ41" s="236"/>
      <c r="BJK41" s="236"/>
      <c r="BJL41" s="236"/>
      <c r="BJM41" s="240"/>
      <c r="BJN41" s="233"/>
      <c r="BJO41" s="234"/>
      <c r="BJP41" s="234"/>
      <c r="BJQ41" s="234"/>
      <c r="BJR41" s="234"/>
      <c r="BJS41" s="234"/>
      <c r="BJT41" s="234"/>
      <c r="BJU41" s="234"/>
      <c r="BJV41" s="234"/>
      <c r="BJW41" s="234"/>
      <c r="BJX41" s="234"/>
      <c r="BJY41" s="234"/>
      <c r="BJZ41" s="234"/>
      <c r="BKA41" s="234"/>
      <c r="BKB41" s="234"/>
      <c r="BKC41" s="234"/>
      <c r="BKD41" s="234"/>
      <c r="BKE41" s="234"/>
      <c r="BKF41" s="234"/>
      <c r="BKG41" s="234"/>
      <c r="BKH41" s="234"/>
      <c r="BKI41" s="234"/>
      <c r="BKJ41" s="234"/>
      <c r="BKK41" s="234"/>
      <c r="BKL41" s="234"/>
      <c r="BKM41" s="234"/>
      <c r="BKN41" s="234"/>
    </row>
    <row r="42" spans="1:1652" ht="20.100000000000001" customHeight="1" x14ac:dyDescent="0.3">
      <c r="A42" s="84" t="s">
        <v>20</v>
      </c>
      <c r="B42" s="53" t="str">
        <f>IF(LEN(C69)=0,"",C69)</f>
        <v/>
      </c>
      <c r="C42" s="178"/>
      <c r="D42" s="131" t="str">
        <f t="shared" si="0"/>
        <v>2h30min</v>
      </c>
      <c r="E42" s="30">
        <v>30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166"/>
      <c r="APE42" s="168"/>
      <c r="APF42" s="166"/>
      <c r="APG42" s="166"/>
      <c r="APH42" s="166"/>
      <c r="API42" s="166"/>
      <c r="APJ42" s="166"/>
      <c r="APK42" s="169"/>
      <c r="APL42" s="166"/>
      <c r="APM42" s="166"/>
      <c r="APN42" s="166"/>
      <c r="APO42" s="166"/>
      <c r="APP42" s="166"/>
      <c r="APQ42" s="168"/>
      <c r="APR42" s="166"/>
      <c r="APS42" s="166"/>
      <c r="APT42" s="166"/>
      <c r="APU42" s="166"/>
      <c r="APV42" s="166"/>
      <c r="APW42" s="169"/>
      <c r="APX42" s="166"/>
      <c r="APY42" s="166"/>
      <c r="APZ42" s="166"/>
      <c r="AQA42" s="166"/>
      <c r="AQB42" s="166"/>
      <c r="AQC42" s="168"/>
      <c r="AQD42" s="166"/>
      <c r="AQE42" s="166"/>
      <c r="AQF42" s="166"/>
      <c r="AQG42" s="166"/>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174"/>
      <c r="BJO42" s="4"/>
      <c r="BJP42" s="4"/>
      <c r="BJQ42" s="4"/>
      <c r="BJR42" s="4"/>
      <c r="BJS42" s="4"/>
      <c r="BJT42" s="4"/>
      <c r="BJU42" s="4"/>
      <c r="BJV42" s="4"/>
      <c r="BJW42" s="4"/>
      <c r="BJX42" s="4"/>
      <c r="BJY42" s="4"/>
      <c r="BJZ42" s="4"/>
      <c r="BKA42" s="4"/>
      <c r="BKB42" s="4"/>
      <c r="BKC42" s="4"/>
      <c r="BKD42" s="4"/>
      <c r="BKE42" s="4"/>
      <c r="BKF42" s="4"/>
      <c r="BKG42" s="4"/>
      <c r="BKH42" s="4"/>
      <c r="BKI42" s="4"/>
      <c r="BKJ42" s="4"/>
      <c r="BKK42" s="4"/>
      <c r="BKL42" s="4"/>
      <c r="BKM42" s="4"/>
      <c r="BKN42" s="4"/>
    </row>
    <row r="43" spans="1:1652" ht="20.100000000000001" customHeight="1" x14ac:dyDescent="0.25">
      <c r="A43" s="84" t="s">
        <v>19</v>
      </c>
      <c r="B43" s="53" t="str">
        <f>IF(LEN(C71)=0,"",C71)</f>
        <v/>
      </c>
      <c r="C43" s="177" t="s">
        <v>82</v>
      </c>
      <c r="D43" s="129" t="str">
        <f t="shared" si="0"/>
        <v>10h10min</v>
      </c>
      <c r="E43" s="26">
        <v>122</v>
      </c>
      <c r="F43" s="235"/>
      <c r="G43" s="236"/>
      <c r="H43" s="236"/>
      <c r="I43" s="236"/>
      <c r="J43" s="236"/>
      <c r="K43" s="237"/>
      <c r="L43" s="236"/>
      <c r="M43" s="236"/>
      <c r="N43" s="236"/>
      <c r="O43" s="236"/>
      <c r="P43" s="236"/>
      <c r="Q43" s="238"/>
      <c r="R43" s="236"/>
      <c r="S43" s="236"/>
      <c r="T43" s="236"/>
      <c r="U43" s="236"/>
      <c r="V43" s="236"/>
      <c r="W43" s="239"/>
      <c r="X43" s="236"/>
      <c r="Y43" s="236"/>
      <c r="Z43" s="236"/>
      <c r="AA43" s="236"/>
      <c r="AB43" s="236"/>
      <c r="AC43" s="238"/>
      <c r="AD43" s="236"/>
      <c r="AE43" s="236"/>
      <c r="AF43" s="236"/>
      <c r="AG43" s="236"/>
      <c r="AH43" s="236"/>
      <c r="AI43" s="239"/>
      <c r="AJ43" s="236"/>
      <c r="AK43" s="236"/>
      <c r="AL43" s="236"/>
      <c r="AM43" s="236"/>
      <c r="AN43" s="236"/>
      <c r="AO43" s="238"/>
      <c r="AP43" s="236"/>
      <c r="AQ43" s="236"/>
      <c r="AR43" s="236"/>
      <c r="AS43" s="236"/>
      <c r="AT43" s="236"/>
      <c r="AU43" s="239"/>
      <c r="AV43" s="236"/>
      <c r="AW43" s="236"/>
      <c r="AX43" s="236"/>
      <c r="AY43" s="236"/>
      <c r="AZ43" s="236"/>
      <c r="BA43" s="238"/>
      <c r="BB43" s="236"/>
      <c r="BC43" s="236"/>
      <c r="BD43" s="236"/>
      <c r="BE43" s="236"/>
      <c r="BF43" s="236"/>
      <c r="BG43" s="239"/>
      <c r="BH43" s="236"/>
      <c r="BI43" s="236"/>
      <c r="BJ43" s="236"/>
      <c r="BK43" s="236"/>
      <c r="BL43" s="236"/>
      <c r="BM43" s="240"/>
      <c r="BN43" s="235"/>
      <c r="BO43" s="236"/>
      <c r="BP43" s="236"/>
      <c r="BQ43" s="236"/>
      <c r="BR43" s="236"/>
      <c r="BS43" s="237"/>
      <c r="BT43" s="236"/>
      <c r="BU43" s="236"/>
      <c r="BV43" s="236"/>
      <c r="BW43" s="236"/>
      <c r="BX43" s="236"/>
      <c r="BY43" s="238"/>
      <c r="BZ43" s="236"/>
      <c r="CA43" s="236"/>
      <c r="CB43" s="236"/>
      <c r="CC43" s="236"/>
      <c r="CD43" s="236"/>
      <c r="CE43" s="239"/>
      <c r="CF43" s="236"/>
      <c r="CG43" s="236"/>
      <c r="CH43" s="236"/>
      <c r="CI43" s="236"/>
      <c r="CJ43" s="236"/>
      <c r="CK43" s="238"/>
      <c r="CL43" s="236"/>
      <c r="CM43" s="236"/>
      <c r="CN43" s="236"/>
      <c r="CO43" s="236"/>
      <c r="CP43" s="236"/>
      <c r="CQ43" s="239"/>
      <c r="CR43" s="236"/>
      <c r="CS43" s="236"/>
      <c r="CT43" s="236"/>
      <c r="CU43" s="236"/>
      <c r="CV43" s="236"/>
      <c r="CW43" s="238"/>
      <c r="CX43" s="236"/>
      <c r="CY43" s="236"/>
      <c r="CZ43" s="236"/>
      <c r="DA43" s="236"/>
      <c r="DB43" s="236"/>
      <c r="DC43" s="239"/>
      <c r="DD43" s="236"/>
      <c r="DE43" s="236"/>
      <c r="DF43" s="236"/>
      <c r="DG43" s="236"/>
      <c r="DH43" s="236"/>
      <c r="DI43" s="238"/>
      <c r="DJ43" s="236"/>
      <c r="DK43" s="236"/>
      <c r="DL43" s="236"/>
      <c r="DM43" s="236"/>
      <c r="DN43" s="236"/>
      <c r="DO43" s="239"/>
      <c r="DP43" s="236"/>
      <c r="DQ43" s="236"/>
      <c r="DR43" s="236"/>
      <c r="DS43" s="236"/>
      <c r="DT43" s="236"/>
      <c r="DU43" s="240"/>
      <c r="DV43" s="235"/>
      <c r="DW43" s="236"/>
      <c r="DX43" s="236"/>
      <c r="DY43" s="236"/>
      <c r="DZ43" s="236"/>
      <c r="EA43" s="237"/>
      <c r="EB43" s="236"/>
      <c r="EC43" s="236"/>
      <c r="ED43" s="236"/>
      <c r="EE43" s="236"/>
      <c r="EF43" s="236"/>
      <c r="EG43" s="238"/>
      <c r="EH43" s="236"/>
      <c r="EI43" s="236"/>
      <c r="EJ43" s="236"/>
      <c r="EK43" s="236"/>
      <c r="EL43" s="236"/>
      <c r="EM43" s="239"/>
      <c r="EN43" s="236"/>
      <c r="EO43" s="236"/>
      <c r="EP43" s="236"/>
      <c r="EQ43" s="236"/>
      <c r="ER43" s="236"/>
      <c r="ES43" s="238"/>
      <c r="ET43" s="236"/>
      <c r="EU43" s="236"/>
      <c r="EV43" s="236"/>
      <c r="EW43" s="236"/>
      <c r="EX43" s="236"/>
      <c r="EY43" s="239"/>
      <c r="EZ43" s="236"/>
      <c r="FA43" s="236"/>
      <c r="FB43" s="236"/>
      <c r="FC43" s="236"/>
      <c r="FD43" s="236"/>
      <c r="FE43" s="238"/>
      <c r="FF43" s="236"/>
      <c r="FG43" s="236"/>
      <c r="FH43" s="236"/>
      <c r="FI43" s="236"/>
      <c r="FJ43" s="236"/>
      <c r="FK43" s="239"/>
      <c r="FL43" s="236"/>
      <c r="FM43" s="236"/>
      <c r="FN43" s="236"/>
      <c r="FO43" s="236"/>
      <c r="FP43" s="236"/>
      <c r="FQ43" s="238"/>
      <c r="FR43" s="236"/>
      <c r="FS43" s="236"/>
      <c r="FT43" s="236"/>
      <c r="FU43" s="236"/>
      <c r="FV43" s="236"/>
      <c r="FW43" s="239"/>
      <c r="FX43" s="236"/>
      <c r="FY43" s="236"/>
      <c r="FZ43" s="236"/>
      <c r="GA43" s="236"/>
      <c r="GB43" s="236"/>
      <c r="GC43" s="240"/>
      <c r="GD43" s="235"/>
      <c r="GE43" s="236"/>
      <c r="GF43" s="236"/>
      <c r="GG43" s="236"/>
      <c r="GH43" s="236"/>
      <c r="GI43" s="237"/>
      <c r="GJ43" s="236"/>
      <c r="GK43" s="236"/>
      <c r="GL43" s="236"/>
      <c r="GM43" s="236"/>
      <c r="GN43" s="236"/>
      <c r="GO43" s="238"/>
      <c r="GP43" s="236"/>
      <c r="GQ43" s="236"/>
      <c r="GR43" s="236"/>
      <c r="GS43" s="236"/>
      <c r="GT43" s="236"/>
      <c r="GU43" s="239"/>
      <c r="GV43" s="236"/>
      <c r="GW43" s="236"/>
      <c r="GX43" s="236"/>
      <c r="GY43" s="236"/>
      <c r="GZ43" s="236"/>
      <c r="HA43" s="238"/>
      <c r="HB43" s="236"/>
      <c r="HC43" s="236"/>
      <c r="HD43" s="236"/>
      <c r="HE43" s="236"/>
      <c r="HF43" s="236"/>
      <c r="HG43" s="239"/>
      <c r="HH43" s="236"/>
      <c r="HI43" s="236"/>
      <c r="HJ43" s="236"/>
      <c r="HK43" s="236"/>
      <c r="HL43" s="236"/>
      <c r="HM43" s="238"/>
      <c r="HN43" s="236"/>
      <c r="HO43" s="236"/>
      <c r="HP43" s="236"/>
      <c r="HQ43" s="236"/>
      <c r="HR43" s="236"/>
      <c r="HS43" s="239"/>
      <c r="HT43" s="236"/>
      <c r="HU43" s="236"/>
      <c r="HV43" s="236"/>
      <c r="HW43" s="236"/>
      <c r="HX43" s="236"/>
      <c r="HY43" s="238"/>
      <c r="HZ43" s="236"/>
      <c r="IA43" s="236"/>
      <c r="IB43" s="236"/>
      <c r="IC43" s="236"/>
      <c r="ID43" s="236"/>
      <c r="IE43" s="239"/>
      <c r="IF43" s="236"/>
      <c r="IG43" s="236"/>
      <c r="IH43" s="236"/>
      <c r="II43" s="236"/>
      <c r="IJ43" s="236"/>
      <c r="IK43" s="240"/>
      <c r="IL43" s="235"/>
      <c r="IM43" s="236"/>
      <c r="IN43" s="236"/>
      <c r="IO43" s="236"/>
      <c r="IP43" s="236"/>
      <c r="IQ43" s="237"/>
      <c r="IR43" s="236"/>
      <c r="IS43" s="236"/>
      <c r="IT43" s="236"/>
      <c r="IU43" s="236"/>
      <c r="IV43" s="236"/>
      <c r="IW43" s="238"/>
      <c r="IX43" s="236"/>
      <c r="IY43" s="236"/>
      <c r="IZ43" s="236"/>
      <c r="JA43" s="236"/>
      <c r="JB43" s="236"/>
      <c r="JC43" s="239"/>
      <c r="JD43" s="236"/>
      <c r="JE43" s="236"/>
      <c r="JF43" s="236"/>
      <c r="JG43" s="236"/>
      <c r="JH43" s="236"/>
      <c r="JI43" s="238"/>
      <c r="JJ43" s="236"/>
      <c r="JK43" s="236"/>
      <c r="JL43" s="236"/>
      <c r="JM43" s="236"/>
      <c r="JN43" s="236"/>
      <c r="JO43" s="239"/>
      <c r="JP43" s="236"/>
      <c r="JQ43" s="236"/>
      <c r="JR43" s="236"/>
      <c r="JS43" s="236"/>
      <c r="JT43" s="236"/>
      <c r="JU43" s="238"/>
      <c r="JV43" s="236"/>
      <c r="JW43" s="236"/>
      <c r="JX43" s="236"/>
      <c r="JY43" s="236"/>
      <c r="JZ43" s="236"/>
      <c r="KA43" s="239"/>
      <c r="KB43" s="236"/>
      <c r="KC43" s="236"/>
      <c r="KD43" s="236"/>
      <c r="KE43" s="236"/>
      <c r="KF43" s="236"/>
      <c r="KG43" s="238"/>
      <c r="KH43" s="236"/>
      <c r="KI43" s="236"/>
      <c r="KJ43" s="236"/>
      <c r="KK43" s="236"/>
      <c r="KL43" s="236"/>
      <c r="KM43" s="239"/>
      <c r="KN43" s="236"/>
      <c r="KO43" s="236"/>
      <c r="KP43" s="236"/>
      <c r="KQ43" s="236"/>
      <c r="KR43" s="236"/>
      <c r="KS43" s="240"/>
      <c r="KT43" s="235"/>
      <c r="KU43" s="236"/>
      <c r="KV43" s="236"/>
      <c r="KW43" s="236"/>
      <c r="KX43" s="236"/>
      <c r="KY43" s="237"/>
      <c r="KZ43" s="236"/>
      <c r="LA43" s="236"/>
      <c r="LB43" s="236"/>
      <c r="LC43" s="236"/>
      <c r="LD43" s="236"/>
      <c r="LE43" s="238"/>
      <c r="LF43" s="236"/>
      <c r="LG43" s="236"/>
      <c r="LH43" s="236"/>
      <c r="LI43" s="236"/>
      <c r="LJ43" s="236"/>
      <c r="LK43" s="239"/>
      <c r="LL43" s="236"/>
      <c r="LM43" s="236"/>
      <c r="LN43" s="236"/>
      <c r="LO43" s="236"/>
      <c r="LP43" s="236"/>
      <c r="LQ43" s="238"/>
      <c r="LR43" s="236"/>
      <c r="LS43" s="236"/>
      <c r="LT43" s="236"/>
      <c r="LU43" s="236"/>
      <c r="LV43" s="236"/>
      <c r="LW43" s="239"/>
      <c r="LX43" s="236"/>
      <c r="LY43" s="236"/>
      <c r="LZ43" s="236"/>
      <c r="MA43" s="236"/>
      <c r="MB43" s="236"/>
      <c r="MC43" s="238"/>
      <c r="MD43" s="236"/>
      <c r="ME43" s="236"/>
      <c r="MF43" s="236"/>
      <c r="MG43" s="236"/>
      <c r="MH43" s="236"/>
      <c r="MI43" s="239"/>
      <c r="MJ43" s="149"/>
      <c r="MK43" s="149"/>
      <c r="ML43" s="149"/>
      <c r="MM43" s="149"/>
      <c r="MN43" s="236"/>
      <c r="MO43" s="238"/>
      <c r="MP43" s="236"/>
      <c r="MQ43" s="236"/>
      <c r="MR43" s="236"/>
      <c r="MS43" s="236"/>
      <c r="MT43" s="236"/>
      <c r="MU43" s="239"/>
      <c r="MV43" s="236"/>
      <c r="MW43" s="236"/>
      <c r="MX43" s="236"/>
      <c r="MY43" s="236"/>
      <c r="MZ43" s="236"/>
      <c r="NA43" s="240"/>
      <c r="NB43" s="235"/>
      <c r="NC43" s="236"/>
      <c r="ND43" s="236"/>
      <c r="NE43" s="236"/>
      <c r="NF43" s="236"/>
      <c r="NG43" s="237"/>
      <c r="NH43" s="236"/>
      <c r="NI43" s="236"/>
      <c r="NJ43" s="236"/>
      <c r="NK43" s="236"/>
      <c r="NL43" s="236"/>
      <c r="NM43" s="238"/>
      <c r="NN43" s="236"/>
      <c r="NO43" s="236"/>
      <c r="NP43" s="236"/>
      <c r="NQ43" s="236"/>
      <c r="NR43" s="236"/>
      <c r="NS43" s="239"/>
      <c r="NT43" s="236"/>
      <c r="NU43" s="236"/>
      <c r="NV43" s="236"/>
      <c r="NW43" s="236"/>
      <c r="NX43" s="236"/>
      <c r="NY43" s="238"/>
      <c r="NZ43" s="236"/>
      <c r="OA43" s="236"/>
      <c r="OB43" s="236"/>
      <c r="OC43" s="236"/>
      <c r="OD43" s="236"/>
      <c r="OE43" s="239"/>
      <c r="OF43" s="236"/>
      <c r="OG43" s="236"/>
      <c r="OH43" s="236"/>
      <c r="OI43" s="236"/>
      <c r="OJ43" s="236"/>
      <c r="OK43" s="238"/>
      <c r="OL43" s="236"/>
      <c r="OM43" s="236"/>
      <c r="ON43" s="236"/>
      <c r="OO43" s="236"/>
      <c r="OP43" s="236"/>
      <c r="OQ43" s="239"/>
      <c r="OR43" s="236"/>
      <c r="OS43" s="236"/>
      <c r="OT43" s="236"/>
      <c r="OU43" s="236"/>
      <c r="OV43" s="236"/>
      <c r="OW43" s="238"/>
      <c r="OX43" s="236"/>
      <c r="OY43" s="236"/>
      <c r="OZ43" s="236"/>
      <c r="PA43" s="236"/>
      <c r="PB43" s="236"/>
      <c r="PC43" s="239"/>
      <c r="PD43" s="236"/>
      <c r="PE43" s="236"/>
      <c r="PF43" s="236"/>
      <c r="PG43" s="236"/>
      <c r="PH43" s="236"/>
      <c r="PI43" s="240"/>
      <c r="PJ43" s="157"/>
      <c r="PK43" s="149"/>
      <c r="PL43" s="149"/>
      <c r="PM43" s="149"/>
      <c r="PN43" s="149"/>
      <c r="PO43" s="150"/>
      <c r="PP43" s="149"/>
      <c r="PQ43" s="149"/>
      <c r="PR43" s="149"/>
      <c r="PS43" s="149"/>
      <c r="PT43" s="149"/>
      <c r="PU43" s="151"/>
      <c r="PV43" s="236"/>
      <c r="PW43" s="236"/>
      <c r="PX43" s="236"/>
      <c r="PY43" s="236"/>
      <c r="PZ43" s="236"/>
      <c r="QA43" s="239"/>
      <c r="QB43" s="236"/>
      <c r="QC43" s="236"/>
      <c r="QD43" s="236"/>
      <c r="QE43" s="236"/>
      <c r="QF43" s="236"/>
      <c r="QG43" s="238"/>
      <c r="QH43" s="236"/>
      <c r="QI43" s="236"/>
      <c r="QJ43" s="236"/>
      <c r="QK43" s="236"/>
      <c r="QL43" s="236"/>
      <c r="QM43" s="239"/>
      <c r="QN43" s="236"/>
      <c r="QO43" s="236"/>
      <c r="QP43" s="236"/>
      <c r="QQ43" s="236"/>
      <c r="QR43" s="236"/>
      <c r="QS43" s="238"/>
      <c r="QT43" s="236"/>
      <c r="QU43" s="236"/>
      <c r="QV43" s="236"/>
      <c r="QW43" s="236"/>
      <c r="QX43" s="236"/>
      <c r="QY43" s="239"/>
      <c r="QZ43" s="236"/>
      <c r="RA43" s="236"/>
      <c r="RB43" s="236"/>
      <c r="RC43" s="236"/>
      <c r="RD43" s="236"/>
      <c r="RE43" s="238"/>
      <c r="RF43" s="236"/>
      <c r="RG43" s="236"/>
      <c r="RH43" s="236"/>
      <c r="RI43" s="236"/>
      <c r="RJ43" s="236"/>
      <c r="RK43" s="239"/>
      <c r="RL43" s="236"/>
      <c r="RM43" s="236"/>
      <c r="RN43" s="236"/>
      <c r="RO43" s="236"/>
      <c r="RP43" s="236"/>
      <c r="RQ43" s="240"/>
      <c r="RR43" s="235"/>
      <c r="RS43" s="236"/>
      <c r="RT43" s="236"/>
      <c r="RU43" s="236"/>
      <c r="RV43" s="236"/>
      <c r="RW43" s="237"/>
      <c r="RX43" s="236"/>
      <c r="RY43" s="236"/>
      <c r="RZ43" s="236"/>
      <c r="SA43" s="236"/>
      <c r="SB43" s="236"/>
      <c r="SC43" s="238"/>
      <c r="SD43" s="236"/>
      <c r="SE43" s="236"/>
      <c r="SF43" s="236"/>
      <c r="SG43" s="236"/>
      <c r="SH43" s="236"/>
      <c r="SI43" s="239"/>
      <c r="SJ43" s="236"/>
      <c r="SK43" s="236"/>
      <c r="SL43" s="236"/>
      <c r="SM43" s="236"/>
      <c r="SN43" s="236"/>
      <c r="SO43" s="238"/>
      <c r="SP43" s="149"/>
      <c r="SQ43" s="149"/>
      <c r="SR43" s="149"/>
      <c r="SS43" s="149"/>
      <c r="ST43" s="149"/>
      <c r="SU43" s="152"/>
      <c r="SV43" s="149"/>
      <c r="SW43" s="149"/>
      <c r="SX43" s="149"/>
      <c r="SY43" s="149"/>
      <c r="SZ43" s="149"/>
      <c r="TA43" s="151"/>
      <c r="TB43" s="236"/>
      <c r="TC43" s="236"/>
      <c r="TD43" s="236"/>
      <c r="TE43" s="236"/>
      <c r="TF43" s="236"/>
      <c r="TG43" s="239"/>
      <c r="TH43" s="236"/>
      <c r="TI43" s="236"/>
      <c r="TJ43" s="236"/>
      <c r="TK43" s="236"/>
      <c r="TL43" s="236"/>
      <c r="TM43" s="238"/>
      <c r="TN43" s="236"/>
      <c r="TO43" s="236"/>
      <c r="TP43" s="236"/>
      <c r="TQ43" s="236"/>
      <c r="TR43" s="236"/>
      <c r="TS43" s="239"/>
      <c r="TT43" s="236"/>
      <c r="TU43" s="236"/>
      <c r="TV43" s="236"/>
      <c r="TW43" s="236"/>
      <c r="TX43" s="236"/>
      <c r="TY43" s="240"/>
      <c r="TZ43" s="235"/>
      <c r="UA43" s="236"/>
      <c r="UB43" s="236"/>
      <c r="UC43" s="236"/>
      <c r="UD43" s="236"/>
      <c r="UE43" s="237"/>
      <c r="UF43" s="236"/>
      <c r="UG43" s="236"/>
      <c r="UH43" s="236"/>
      <c r="UI43" s="236"/>
      <c r="UJ43" s="236"/>
      <c r="UK43" s="238"/>
      <c r="UL43" s="236"/>
      <c r="UM43" s="236"/>
      <c r="UN43" s="236"/>
      <c r="UO43" s="236"/>
      <c r="UP43" s="236"/>
      <c r="UQ43" s="239"/>
      <c r="UR43" s="236"/>
      <c r="US43" s="236"/>
      <c r="UT43" s="236"/>
      <c r="UU43" s="236"/>
      <c r="UV43" s="236"/>
      <c r="UW43" s="238"/>
      <c r="UX43" s="236"/>
      <c r="UY43" s="236"/>
      <c r="UZ43" s="236"/>
      <c r="VA43" s="236"/>
      <c r="VB43" s="236"/>
      <c r="VC43" s="239"/>
      <c r="VD43" s="236"/>
      <c r="VE43" s="236"/>
      <c r="VF43" s="236"/>
      <c r="VG43" s="236"/>
      <c r="VH43" s="236"/>
      <c r="VI43" s="238"/>
      <c r="VJ43" s="236"/>
      <c r="VK43" s="236"/>
      <c r="VL43" s="236"/>
      <c r="VM43" s="236"/>
      <c r="VN43" s="236"/>
      <c r="VO43" s="239"/>
      <c r="VP43" s="236"/>
      <c r="VQ43" s="236"/>
      <c r="VR43" s="236"/>
      <c r="VS43" s="236"/>
      <c r="VT43" s="236"/>
      <c r="VU43" s="238"/>
      <c r="VV43" s="236"/>
      <c r="VW43" s="236"/>
      <c r="VX43" s="236"/>
      <c r="VY43" s="236"/>
      <c r="VZ43" s="236"/>
      <c r="WA43" s="239"/>
      <c r="WB43" s="236"/>
      <c r="WC43" s="236"/>
      <c r="WD43" s="236"/>
      <c r="WE43" s="236"/>
      <c r="WF43" s="236"/>
      <c r="WG43" s="240"/>
      <c r="WH43" s="235"/>
      <c r="WI43" s="236"/>
      <c r="WJ43" s="236"/>
      <c r="WK43" s="236"/>
      <c r="WL43" s="236"/>
      <c r="WM43" s="237"/>
      <c r="WN43" s="236"/>
      <c r="WO43" s="236"/>
      <c r="WP43" s="236"/>
      <c r="WQ43" s="236"/>
      <c r="WR43" s="236"/>
      <c r="WS43" s="238"/>
      <c r="WT43" s="236"/>
      <c r="WU43" s="236"/>
      <c r="WV43" s="149"/>
      <c r="WW43" s="149"/>
      <c r="WX43" s="149"/>
      <c r="WY43" s="152"/>
      <c r="WZ43" s="149"/>
      <c r="XA43" s="149"/>
      <c r="XB43" s="149"/>
      <c r="XC43" s="149"/>
      <c r="XD43" s="149"/>
      <c r="XE43" s="151"/>
      <c r="XF43" s="149"/>
      <c r="XG43" s="149"/>
      <c r="XH43" s="236"/>
      <c r="XI43" s="236"/>
      <c r="XJ43" s="236"/>
      <c r="XK43" s="239"/>
      <c r="XL43" s="236"/>
      <c r="XM43" s="236"/>
      <c r="XN43" s="236"/>
      <c r="XO43" s="236"/>
      <c r="XP43" s="236"/>
      <c r="XQ43" s="238"/>
      <c r="XR43" s="236"/>
      <c r="XS43" s="236"/>
      <c r="XT43" s="236"/>
      <c r="XU43" s="236"/>
      <c r="XV43" s="236"/>
      <c r="XW43" s="239"/>
      <c r="XX43" s="236"/>
      <c r="XY43" s="236"/>
      <c r="XZ43" s="236"/>
      <c r="YA43" s="236"/>
      <c r="YB43" s="236"/>
      <c r="YC43" s="238"/>
      <c r="YD43" s="236"/>
      <c r="YE43" s="236"/>
      <c r="YF43" s="236"/>
      <c r="YG43" s="236"/>
      <c r="YH43" s="236"/>
      <c r="YI43" s="239"/>
      <c r="YJ43" s="236"/>
      <c r="YK43" s="236"/>
      <c r="YL43" s="236"/>
      <c r="YM43" s="236"/>
      <c r="YN43" s="236"/>
      <c r="YO43" s="240"/>
      <c r="YP43" s="235"/>
      <c r="YQ43" s="236"/>
      <c r="YR43" s="236"/>
      <c r="YS43" s="236"/>
      <c r="YT43" s="236"/>
      <c r="YU43" s="237"/>
      <c r="YV43" s="236"/>
      <c r="YW43" s="236"/>
      <c r="YX43" s="236"/>
      <c r="YY43" s="236"/>
      <c r="YZ43" s="236"/>
      <c r="ZA43" s="238"/>
      <c r="ZB43" s="236"/>
      <c r="ZC43" s="236"/>
      <c r="ZD43" s="236"/>
      <c r="ZE43" s="236"/>
      <c r="ZF43" s="236"/>
      <c r="ZG43" s="239"/>
      <c r="ZH43" s="236"/>
      <c r="ZI43" s="236"/>
      <c r="ZJ43" s="236"/>
      <c r="ZK43" s="236"/>
      <c r="ZL43" s="236"/>
      <c r="ZM43" s="238"/>
      <c r="ZN43" s="236"/>
      <c r="ZO43" s="236"/>
      <c r="ZP43" s="236"/>
      <c r="ZQ43" s="236"/>
      <c r="ZR43" s="236"/>
      <c r="ZS43" s="239"/>
      <c r="ZT43" s="236"/>
      <c r="ZU43" s="236"/>
      <c r="ZV43" s="236"/>
      <c r="ZW43" s="236"/>
      <c r="ZX43" s="236"/>
      <c r="ZY43" s="238"/>
      <c r="ZZ43" s="236"/>
      <c r="AAA43" s="236"/>
      <c r="AAB43" s="236"/>
      <c r="AAC43" s="236"/>
      <c r="AAD43" s="236"/>
      <c r="AAE43" s="239"/>
      <c r="AAF43" s="236"/>
      <c r="AAG43" s="236"/>
      <c r="AAH43" s="236"/>
      <c r="AAI43" s="236"/>
      <c r="AAJ43" s="236"/>
      <c r="AAK43" s="238"/>
      <c r="AAL43" s="236"/>
      <c r="AAM43" s="236"/>
      <c r="AAN43" s="236"/>
      <c r="AAO43" s="236"/>
      <c r="AAP43" s="236"/>
      <c r="AAQ43" s="239"/>
      <c r="AAR43" s="236"/>
      <c r="AAS43" s="236"/>
      <c r="AAT43" s="236"/>
      <c r="AAU43" s="236"/>
      <c r="AAV43" s="236"/>
      <c r="AAW43" s="240"/>
      <c r="AAX43" s="235"/>
      <c r="AAY43" s="236"/>
      <c r="AAZ43" s="236"/>
      <c r="ABA43" s="236"/>
      <c r="ABB43" s="236"/>
      <c r="ABC43" s="237"/>
      <c r="ABD43" s="236"/>
      <c r="ABE43" s="236"/>
      <c r="ABF43" s="236"/>
      <c r="ABG43" s="236"/>
      <c r="ABH43" s="236"/>
      <c r="ABI43" s="238"/>
      <c r="ABJ43" s="236"/>
      <c r="ABK43" s="236"/>
      <c r="ABL43" s="236"/>
      <c r="ABM43" s="236"/>
      <c r="ABN43" s="236"/>
      <c r="ABO43" s="239"/>
      <c r="ABP43" s="236"/>
      <c r="ABQ43" s="236"/>
      <c r="ABR43" s="236"/>
      <c r="ABS43" s="236"/>
      <c r="ABT43" s="236"/>
      <c r="ABU43" s="238"/>
      <c r="ABV43" s="236"/>
      <c r="ABW43" s="236"/>
      <c r="ABX43" s="236"/>
      <c r="ABY43" s="236"/>
      <c r="ABZ43" s="149"/>
      <c r="ACA43" s="152"/>
      <c r="ACB43" s="149"/>
      <c r="ACC43" s="149"/>
      <c r="ACD43" s="149"/>
      <c r="ACE43" s="149"/>
      <c r="ACF43" s="149"/>
      <c r="ACG43" s="151"/>
      <c r="ACH43" s="149"/>
      <c r="ACI43" s="149"/>
      <c r="ACJ43" s="149"/>
      <c r="ACK43" s="149"/>
      <c r="ACL43" s="236"/>
      <c r="ACM43" s="239"/>
      <c r="ACN43" s="236"/>
      <c r="ACO43" s="236"/>
      <c r="ACP43" s="236"/>
      <c r="ACQ43" s="236"/>
      <c r="ACR43" s="236"/>
      <c r="ACS43" s="238"/>
      <c r="ACT43" s="236"/>
      <c r="ACU43" s="236"/>
      <c r="ACV43" s="236"/>
      <c r="ACW43" s="236"/>
      <c r="ACX43" s="236"/>
      <c r="ACY43" s="239"/>
      <c r="ACZ43" s="236"/>
      <c r="ADA43" s="236"/>
      <c r="ADB43" s="236"/>
      <c r="ADC43" s="236"/>
      <c r="ADD43" s="236"/>
      <c r="ADE43" s="240"/>
      <c r="ADF43" s="235"/>
      <c r="ADG43" s="236"/>
      <c r="ADH43" s="236"/>
      <c r="ADI43" s="236"/>
      <c r="ADJ43" s="236"/>
      <c r="ADK43" s="237"/>
      <c r="ADL43" s="236"/>
      <c r="ADM43" s="236"/>
      <c r="ADN43" s="236"/>
      <c r="ADO43" s="236"/>
      <c r="ADP43" s="236"/>
      <c r="ADQ43" s="238"/>
      <c r="ADR43" s="236"/>
      <c r="ADS43" s="236"/>
      <c r="ADT43" s="236"/>
      <c r="ADU43" s="236"/>
      <c r="ADV43" s="236"/>
      <c r="ADW43" s="239"/>
      <c r="ADX43" s="236"/>
      <c r="ADY43" s="236"/>
      <c r="ADZ43" s="236"/>
      <c r="AEA43" s="236"/>
      <c r="AEB43" s="236"/>
      <c r="AEC43" s="238"/>
      <c r="AED43" s="236"/>
      <c r="AEE43" s="236"/>
      <c r="AEF43" s="236"/>
      <c r="AEG43" s="236"/>
      <c r="AEH43" s="236"/>
      <c r="AEI43" s="239"/>
      <c r="AEJ43" s="236"/>
      <c r="AEK43" s="236"/>
      <c r="AEL43" s="236"/>
      <c r="AEM43" s="236"/>
      <c r="AEN43" s="236"/>
      <c r="AEO43" s="238"/>
      <c r="AEP43" s="236"/>
      <c r="AEQ43" s="236"/>
      <c r="AER43" s="236"/>
      <c r="AES43" s="236"/>
      <c r="AET43" s="236"/>
      <c r="AEU43" s="239"/>
      <c r="AEV43" s="236"/>
      <c r="AEW43" s="236"/>
      <c r="AEX43" s="236"/>
      <c r="AEY43" s="236"/>
      <c r="AEZ43" s="236"/>
      <c r="AFA43" s="238"/>
      <c r="AFB43" s="236"/>
      <c r="AFC43" s="236"/>
      <c r="AFD43" s="236"/>
      <c r="AFE43" s="236"/>
      <c r="AFF43" s="236"/>
      <c r="AFG43" s="239"/>
      <c r="AFH43" s="236"/>
      <c r="AFI43" s="236"/>
      <c r="AFJ43" s="236"/>
      <c r="AFK43" s="236"/>
      <c r="AFL43" s="236"/>
      <c r="AFM43" s="240"/>
      <c r="AFN43" s="235"/>
      <c r="AFO43" s="236"/>
      <c r="AFP43" s="236"/>
      <c r="AFQ43" s="236"/>
      <c r="AFR43" s="236"/>
      <c r="AFS43" s="237"/>
      <c r="AFT43" s="236"/>
      <c r="AFU43" s="236"/>
      <c r="AFV43" s="236"/>
      <c r="AFW43" s="236"/>
      <c r="AFX43" s="236"/>
      <c r="AFY43" s="238"/>
      <c r="AFZ43" s="236"/>
      <c r="AGA43" s="236"/>
      <c r="AGB43" s="236"/>
      <c r="AGC43" s="236"/>
      <c r="AGD43" s="236"/>
      <c r="AGE43" s="239"/>
      <c r="AGF43" s="236"/>
      <c r="AGG43" s="236"/>
      <c r="AGH43" s="236"/>
      <c r="AGI43" s="236"/>
      <c r="AGJ43" s="236"/>
      <c r="AGK43" s="238"/>
      <c r="AGL43" s="236"/>
      <c r="AGM43" s="236"/>
      <c r="AGN43" s="236"/>
      <c r="AGO43" s="236"/>
      <c r="AGP43" s="236"/>
      <c r="AGQ43" s="239"/>
      <c r="AGR43" s="236"/>
      <c r="AGS43" s="236"/>
      <c r="AGT43" s="236"/>
      <c r="AGU43" s="236"/>
      <c r="AGV43" s="149"/>
      <c r="AGW43" s="151"/>
      <c r="AGX43" s="149"/>
      <c r="AGY43" s="149"/>
      <c r="AGZ43" s="149"/>
      <c r="AHA43" s="149"/>
      <c r="AHB43" s="149"/>
      <c r="AHC43" s="152"/>
      <c r="AHD43" s="149"/>
      <c r="AHE43" s="149"/>
      <c r="AHF43" s="149"/>
      <c r="AHG43" s="149"/>
      <c r="AHH43" s="236"/>
      <c r="AHI43" s="238"/>
      <c r="AHJ43" s="236"/>
      <c r="AHK43" s="236"/>
      <c r="AHL43" s="236"/>
      <c r="AHM43" s="236"/>
      <c r="AHN43" s="236"/>
      <c r="AHO43" s="239"/>
      <c r="AHP43" s="236"/>
      <c r="AHQ43" s="236"/>
      <c r="AHR43" s="236"/>
      <c r="AHS43" s="236"/>
      <c r="AHT43" s="236"/>
      <c r="AHU43" s="240"/>
      <c r="AHV43" s="235"/>
      <c r="AHW43" s="236"/>
      <c r="AHX43" s="236"/>
      <c r="AHY43" s="236"/>
      <c r="AHZ43" s="236"/>
      <c r="AIA43" s="237"/>
      <c r="AIB43" s="236"/>
      <c r="AIC43" s="236"/>
      <c r="AID43" s="236"/>
      <c r="AIE43" s="236"/>
      <c r="AIF43" s="236"/>
      <c r="AIG43" s="238"/>
      <c r="AIH43" s="236"/>
      <c r="AII43" s="236"/>
      <c r="AIJ43" s="236"/>
      <c r="AIK43" s="236"/>
      <c r="AIL43" s="236"/>
      <c r="AIM43" s="239"/>
      <c r="AIN43" s="236"/>
      <c r="AIO43" s="236"/>
      <c r="AIP43" s="236"/>
      <c r="AIQ43" s="236"/>
      <c r="AIR43" s="236"/>
      <c r="AIS43" s="238"/>
      <c r="AIT43" s="236"/>
      <c r="AIU43" s="236"/>
      <c r="AIV43" s="236"/>
      <c r="AIW43" s="236"/>
      <c r="AIX43" s="236"/>
      <c r="AIY43" s="239"/>
      <c r="AIZ43" s="236"/>
      <c r="AJA43" s="236"/>
      <c r="AJB43" s="236"/>
      <c r="AJC43" s="236"/>
      <c r="AJD43" s="236"/>
      <c r="AJE43" s="238"/>
      <c r="AJF43" s="236"/>
      <c r="AJG43" s="236"/>
      <c r="AJH43" s="236"/>
      <c r="AJI43" s="236"/>
      <c r="AJJ43" s="236"/>
      <c r="AJK43" s="239"/>
      <c r="AJL43" s="236"/>
      <c r="AJM43" s="236"/>
      <c r="AJN43" s="236"/>
      <c r="AJO43" s="236"/>
      <c r="AJP43" s="236"/>
      <c r="AJQ43" s="238"/>
      <c r="AJR43" s="236"/>
      <c r="AJS43" s="236"/>
      <c r="AJT43" s="236"/>
      <c r="AJU43" s="236"/>
      <c r="AJV43" s="236"/>
      <c r="AJW43" s="239"/>
      <c r="AJX43" s="236"/>
      <c r="AJY43" s="236"/>
      <c r="AJZ43" s="236"/>
      <c r="AKA43" s="236"/>
      <c r="AKB43" s="236"/>
      <c r="AKC43" s="240"/>
      <c r="AKD43" s="235"/>
      <c r="AKE43" s="236"/>
      <c r="AKF43" s="236"/>
      <c r="AKG43" s="236"/>
      <c r="AKH43" s="236"/>
      <c r="AKI43" s="237"/>
      <c r="AKJ43" s="236"/>
      <c r="AKK43" s="236"/>
      <c r="AKL43" s="236"/>
      <c r="AKM43" s="236"/>
      <c r="AKN43" s="236"/>
      <c r="AKO43" s="238"/>
      <c r="AKP43" s="236"/>
      <c r="AKQ43" s="236"/>
      <c r="AKR43" s="236"/>
      <c r="AKS43" s="236"/>
      <c r="AKT43" s="236"/>
      <c r="AKU43" s="239"/>
      <c r="AKV43" s="236"/>
      <c r="AKW43" s="236"/>
      <c r="AKX43" s="236"/>
      <c r="AKY43" s="236"/>
      <c r="AKZ43" s="236"/>
      <c r="ALA43" s="238"/>
      <c r="ALB43" s="236"/>
      <c r="ALC43" s="236"/>
      <c r="ALD43" s="236"/>
      <c r="ALE43" s="236"/>
      <c r="ALF43" s="236"/>
      <c r="ALG43" s="239"/>
      <c r="ALH43" s="236"/>
      <c r="ALI43" s="236"/>
      <c r="ALJ43" s="236"/>
      <c r="ALK43" s="236"/>
      <c r="ALL43" s="236"/>
      <c r="ALM43" s="238"/>
      <c r="ALN43" s="236"/>
      <c r="ALO43" s="236"/>
      <c r="ALP43" s="236"/>
      <c r="ALQ43" s="236"/>
      <c r="ALR43" s="236"/>
      <c r="ALS43" s="239"/>
      <c r="ALT43" s="236"/>
      <c r="ALU43" s="236"/>
      <c r="ALV43" s="236"/>
      <c r="ALW43" s="236"/>
      <c r="ALX43" s="236"/>
      <c r="ALY43" s="238"/>
      <c r="ALZ43" s="236"/>
      <c r="AMA43" s="236"/>
      <c r="AMB43" s="236"/>
      <c r="AMC43" s="236"/>
      <c r="AMD43" s="236"/>
      <c r="AME43" s="239"/>
      <c r="AMF43" s="236"/>
      <c r="AMG43" s="236"/>
      <c r="AMH43" s="236"/>
      <c r="AMI43" s="236"/>
      <c r="AMJ43" s="236"/>
      <c r="AMK43" s="240"/>
      <c r="AML43" s="235"/>
      <c r="AMM43" s="236"/>
      <c r="AMN43" s="236"/>
      <c r="AMO43" s="236"/>
      <c r="AMP43" s="236"/>
      <c r="AMQ43" s="237"/>
      <c r="AMR43" s="236"/>
      <c r="AMS43" s="236"/>
      <c r="AMT43" s="236"/>
      <c r="AMU43" s="236"/>
      <c r="AMV43" s="236"/>
      <c r="AMW43" s="238"/>
      <c r="AMX43" s="236"/>
      <c r="AMY43" s="236"/>
      <c r="AMZ43" s="236"/>
      <c r="ANA43" s="236"/>
      <c r="ANB43" s="236"/>
      <c r="ANC43" s="239"/>
      <c r="AND43" s="236"/>
      <c r="ANE43" s="236"/>
      <c r="ANF43" s="236"/>
      <c r="ANG43" s="236"/>
      <c r="ANH43" s="236"/>
      <c r="ANI43" s="238"/>
      <c r="ANJ43" s="236"/>
      <c r="ANK43" s="236"/>
      <c r="ANL43" s="236"/>
      <c r="ANM43" s="236"/>
      <c r="ANN43" s="236"/>
      <c r="ANO43" s="239"/>
      <c r="ANP43" s="236"/>
      <c r="ANQ43" s="236"/>
      <c r="ANR43" s="236"/>
      <c r="ANS43" s="236"/>
      <c r="ANT43" s="236"/>
      <c r="ANU43" s="238"/>
      <c r="ANV43" s="236"/>
      <c r="ANW43" s="236"/>
      <c r="ANX43" s="236"/>
      <c r="ANY43" s="236"/>
      <c r="ANZ43" s="236"/>
      <c r="AOA43" s="239"/>
      <c r="AOB43" s="236"/>
      <c r="AOC43" s="236"/>
      <c r="AOD43" s="236"/>
      <c r="AOE43" s="236"/>
      <c r="AOF43" s="236"/>
      <c r="AOG43" s="238"/>
      <c r="AOH43" s="236"/>
      <c r="AOI43" s="236"/>
      <c r="AOJ43" s="236"/>
      <c r="AOK43" s="236"/>
      <c r="AOL43" s="236"/>
      <c r="AOM43" s="239"/>
      <c r="AON43" s="236"/>
      <c r="AOO43" s="236"/>
      <c r="AOP43" s="236"/>
      <c r="AOQ43" s="236"/>
      <c r="AOR43" s="236"/>
      <c r="AOS43" s="240"/>
      <c r="AOT43" s="157"/>
      <c r="AOU43" s="149"/>
      <c r="AOV43" s="149"/>
      <c r="AOW43" s="149"/>
      <c r="AOX43" s="149"/>
      <c r="AOY43" s="150"/>
      <c r="AOZ43" s="149"/>
      <c r="APA43" s="149"/>
      <c r="APB43" s="149"/>
      <c r="APC43" s="149"/>
      <c r="APD43" s="149"/>
      <c r="APE43" s="151"/>
      <c r="APF43" s="149"/>
      <c r="APG43" s="149"/>
      <c r="APH43" s="149"/>
      <c r="API43" s="149"/>
      <c r="APJ43" s="149"/>
      <c r="APK43" s="152"/>
      <c r="APL43" s="149"/>
      <c r="APM43" s="149"/>
      <c r="APN43" s="149"/>
      <c r="APO43" s="149"/>
      <c r="APP43" s="149"/>
      <c r="APQ43" s="151"/>
      <c r="APR43" s="149"/>
      <c r="APS43" s="149"/>
      <c r="APT43" s="149"/>
      <c r="APU43" s="149"/>
      <c r="APV43" s="149"/>
      <c r="APW43" s="152"/>
      <c r="APX43" s="149"/>
      <c r="APY43" s="149"/>
      <c r="APZ43" s="149"/>
      <c r="AQA43" s="149"/>
      <c r="AQB43" s="149"/>
      <c r="AQC43" s="151"/>
      <c r="AQD43" s="149"/>
      <c r="AQE43" s="149"/>
      <c r="AQF43" s="149"/>
      <c r="AQG43" s="149"/>
      <c r="AQH43" s="149"/>
      <c r="AQI43" s="152"/>
      <c r="AQJ43" s="149"/>
      <c r="AQK43" s="149"/>
      <c r="AQL43" s="149"/>
      <c r="AQM43" s="149"/>
      <c r="AQN43" s="236"/>
      <c r="AQO43" s="238"/>
      <c r="AQP43" s="236"/>
      <c r="AQQ43" s="236"/>
      <c r="AQR43" s="236"/>
      <c r="AQS43" s="236"/>
      <c r="AQT43" s="236"/>
      <c r="AQU43" s="239"/>
      <c r="AQV43" s="236"/>
      <c r="AQW43" s="236"/>
      <c r="AQX43" s="236"/>
      <c r="AQY43" s="236"/>
      <c r="AQZ43" s="236"/>
      <c r="ARA43" s="240"/>
      <c r="ARB43" s="235"/>
      <c r="ARC43" s="236"/>
      <c r="ARD43" s="236"/>
      <c r="ARE43" s="236"/>
      <c r="ARF43" s="236"/>
      <c r="ARG43" s="237"/>
      <c r="ARH43" s="236"/>
      <c r="ARI43" s="236"/>
      <c r="ARJ43" s="236"/>
      <c r="ARK43" s="236"/>
      <c r="ARL43" s="236"/>
      <c r="ARM43" s="238"/>
      <c r="ARN43" s="236"/>
      <c r="ARO43" s="236"/>
      <c r="ARP43" s="236"/>
      <c r="ARQ43" s="236"/>
      <c r="ARR43" s="236"/>
      <c r="ARS43" s="239"/>
      <c r="ART43" s="236"/>
      <c r="ARU43" s="236"/>
      <c r="ARV43" s="236"/>
      <c r="ARW43" s="236"/>
      <c r="ARX43" s="236"/>
      <c r="ARY43" s="238"/>
      <c r="ARZ43" s="236"/>
      <c r="ASA43" s="236"/>
      <c r="ASB43" s="236"/>
      <c r="ASC43" s="236"/>
      <c r="ASD43" s="236"/>
      <c r="ASE43" s="239"/>
      <c r="ASF43" s="236"/>
      <c r="ASG43" s="236"/>
      <c r="ASH43" s="236"/>
      <c r="ASI43" s="236"/>
      <c r="ASJ43" s="236"/>
      <c r="ASK43" s="238"/>
      <c r="ASL43" s="236"/>
      <c r="ASM43" s="236"/>
      <c r="ASN43" s="236"/>
      <c r="ASO43" s="236"/>
      <c r="ASP43" s="236"/>
      <c r="ASQ43" s="239"/>
      <c r="ASR43" s="236"/>
      <c r="ASS43" s="236"/>
      <c r="AST43" s="236"/>
      <c r="ASU43" s="236"/>
      <c r="ASV43" s="236"/>
      <c r="ASW43" s="238"/>
      <c r="ASX43" s="236"/>
      <c r="ASY43" s="236"/>
      <c r="ASZ43" s="236"/>
      <c r="ATA43" s="236"/>
      <c r="ATB43" s="236"/>
      <c r="ATC43" s="239"/>
      <c r="ATD43" s="236"/>
      <c r="ATE43" s="236"/>
      <c r="ATF43" s="236"/>
      <c r="ATG43" s="236"/>
      <c r="ATH43" s="236"/>
      <c r="ATI43" s="240"/>
      <c r="ATJ43" s="235"/>
      <c r="ATK43" s="236"/>
      <c r="ATL43" s="236"/>
      <c r="ATM43" s="236"/>
      <c r="ATN43" s="236"/>
      <c r="ATO43" s="237"/>
      <c r="ATP43" s="236"/>
      <c r="ATQ43" s="236"/>
      <c r="ATR43" s="236"/>
      <c r="ATS43" s="236"/>
      <c r="ATT43" s="236"/>
      <c r="ATU43" s="238"/>
      <c r="ATV43" s="236"/>
      <c r="ATW43" s="236"/>
      <c r="ATX43" s="236"/>
      <c r="ATY43" s="236"/>
      <c r="ATZ43" s="236"/>
      <c r="AUA43" s="239"/>
      <c r="AUB43" s="236"/>
      <c r="AUC43" s="236"/>
      <c r="AUD43" s="236"/>
      <c r="AUE43" s="236"/>
      <c r="AUF43" s="236"/>
      <c r="AUG43" s="238"/>
      <c r="AUH43" s="236"/>
      <c r="AUI43" s="236"/>
      <c r="AUJ43" s="236"/>
      <c r="AUK43" s="236"/>
      <c r="AUL43" s="236"/>
      <c r="AUM43" s="239"/>
      <c r="AUN43" s="236"/>
      <c r="AUO43" s="236"/>
      <c r="AUP43" s="236"/>
      <c r="AUQ43" s="236"/>
      <c r="AUR43" s="236"/>
      <c r="AUS43" s="238"/>
      <c r="AUT43" s="236"/>
      <c r="AUU43" s="236"/>
      <c r="AUV43" s="236"/>
      <c r="AUW43" s="236"/>
      <c r="AUX43" s="236"/>
      <c r="AUY43" s="239"/>
      <c r="AUZ43" s="236"/>
      <c r="AVA43" s="236"/>
      <c r="AVB43" s="236"/>
      <c r="AVC43" s="236"/>
      <c r="AVD43" s="236"/>
      <c r="AVE43" s="238"/>
      <c r="AVF43" s="236"/>
      <c r="AVG43" s="236"/>
      <c r="AVH43" s="236"/>
      <c r="AVI43" s="236"/>
      <c r="AVJ43" s="236"/>
      <c r="AVK43" s="239"/>
      <c r="AVL43" s="236"/>
      <c r="AVM43" s="236"/>
      <c r="AVN43" s="236"/>
      <c r="AVO43" s="236"/>
      <c r="AVP43" s="236"/>
      <c r="AVQ43" s="240"/>
      <c r="AVR43" s="235"/>
      <c r="AVS43" s="236"/>
      <c r="AVT43" s="236"/>
      <c r="AVU43" s="236"/>
      <c r="AVV43" s="236"/>
      <c r="AVW43" s="237"/>
      <c r="AVX43" s="236"/>
      <c r="AVY43" s="236"/>
      <c r="AVZ43" s="236"/>
      <c r="AWA43" s="236"/>
      <c r="AWB43" s="236"/>
      <c r="AWC43" s="238"/>
      <c r="AWD43" s="236"/>
      <c r="AWE43" s="236"/>
      <c r="AWF43" s="236"/>
      <c r="AWG43" s="236"/>
      <c r="AWH43" s="236"/>
      <c r="AWI43" s="239"/>
      <c r="AWJ43" s="236"/>
      <c r="AWK43" s="236"/>
      <c r="AWL43" s="236"/>
      <c r="AWM43" s="236"/>
      <c r="AWN43" s="236"/>
      <c r="AWO43" s="238"/>
      <c r="AWP43" s="236"/>
      <c r="AWQ43" s="236"/>
      <c r="AWR43" s="236"/>
      <c r="AWS43" s="236"/>
      <c r="AWT43" s="236"/>
      <c r="AWU43" s="239"/>
      <c r="AWV43" s="236"/>
      <c r="AWW43" s="236"/>
      <c r="AWX43" s="236"/>
      <c r="AWY43" s="236"/>
      <c r="AWZ43" s="236"/>
      <c r="AXA43" s="238"/>
      <c r="AXB43" s="236"/>
      <c r="AXC43" s="236"/>
      <c r="AXD43" s="236"/>
      <c r="AXE43" s="236"/>
      <c r="AXF43" s="236"/>
      <c r="AXG43" s="239"/>
      <c r="AXH43" s="236"/>
      <c r="AXI43" s="236"/>
      <c r="AXJ43" s="236"/>
      <c r="AXK43" s="236"/>
      <c r="AXL43" s="236"/>
      <c r="AXM43" s="238"/>
      <c r="AXN43" s="236"/>
      <c r="AXO43" s="236"/>
      <c r="AXP43" s="236"/>
      <c r="AXQ43" s="236"/>
      <c r="AXR43" s="236"/>
      <c r="AXS43" s="239"/>
      <c r="AXT43" s="236"/>
      <c r="AXU43" s="236"/>
      <c r="AXV43" s="236"/>
      <c r="AXW43" s="236"/>
      <c r="AXX43" s="236"/>
      <c r="AXY43" s="240"/>
      <c r="AXZ43" s="235"/>
      <c r="AYA43" s="236"/>
      <c r="AYB43" s="236"/>
      <c r="AYC43" s="236"/>
      <c r="AYD43" s="236"/>
      <c r="AYE43" s="237"/>
      <c r="AYF43" s="236"/>
      <c r="AYG43" s="236"/>
      <c r="AYH43" s="236"/>
      <c r="AYI43" s="236"/>
      <c r="AYJ43" s="236"/>
      <c r="AYK43" s="238"/>
      <c r="AYL43" s="236"/>
      <c r="AYM43" s="236"/>
      <c r="AYN43" s="236"/>
      <c r="AYO43" s="236"/>
      <c r="AYP43" s="236"/>
      <c r="AYQ43" s="239"/>
      <c r="AYR43" s="236"/>
      <c r="AYS43" s="236"/>
      <c r="AYT43" s="236"/>
      <c r="AYU43" s="236"/>
      <c r="AYV43" s="236"/>
      <c r="AYW43" s="238"/>
      <c r="AYX43" s="236"/>
      <c r="AYY43" s="236"/>
      <c r="AYZ43" s="236"/>
      <c r="AZA43" s="236"/>
      <c r="AZB43" s="236"/>
      <c r="AZC43" s="239"/>
      <c r="AZD43" s="236"/>
      <c r="AZE43" s="236"/>
      <c r="AZF43" s="236"/>
      <c r="AZG43" s="236"/>
      <c r="AZH43" s="236"/>
      <c r="AZI43" s="238"/>
      <c r="AZJ43" s="236"/>
      <c r="AZK43" s="236"/>
      <c r="AZL43" s="236"/>
      <c r="AZM43" s="236"/>
      <c r="AZN43" s="236"/>
      <c r="AZO43" s="239"/>
      <c r="AZP43" s="236"/>
      <c r="AZQ43" s="236"/>
      <c r="AZR43" s="236"/>
      <c r="AZS43" s="236"/>
      <c r="AZT43" s="236"/>
      <c r="AZU43" s="238"/>
      <c r="AZV43" s="236"/>
      <c r="AZW43" s="236"/>
      <c r="AZX43" s="236"/>
      <c r="AZY43" s="236"/>
      <c r="AZZ43" s="236"/>
      <c r="BAA43" s="239"/>
      <c r="BAB43" s="236"/>
      <c r="BAC43" s="236"/>
      <c r="BAD43" s="236"/>
      <c r="BAE43" s="236"/>
      <c r="BAF43" s="236"/>
      <c r="BAG43" s="240"/>
      <c r="BAH43" s="235"/>
      <c r="BAI43" s="236"/>
      <c r="BAJ43" s="236"/>
      <c r="BAK43" s="236"/>
      <c r="BAL43" s="236"/>
      <c r="BAM43" s="237"/>
      <c r="BAN43" s="236"/>
      <c r="BAO43" s="236"/>
      <c r="BAP43" s="236"/>
      <c r="BAQ43" s="236"/>
      <c r="BAR43" s="236"/>
      <c r="BAS43" s="238"/>
      <c r="BAT43" s="236"/>
      <c r="BAU43" s="236"/>
      <c r="BAV43" s="236"/>
      <c r="BAW43" s="236"/>
      <c r="BAX43" s="236"/>
      <c r="BAY43" s="239"/>
      <c r="BAZ43" s="236"/>
      <c r="BBA43" s="236"/>
      <c r="BBB43" s="236"/>
      <c r="BBC43" s="236"/>
      <c r="BBD43" s="236"/>
      <c r="BBE43" s="238"/>
      <c r="BBF43" s="236"/>
      <c r="BBG43" s="236"/>
      <c r="BBH43" s="236"/>
      <c r="BBI43" s="236"/>
      <c r="BBJ43" s="236"/>
      <c r="BBK43" s="239"/>
      <c r="BBL43" s="236"/>
      <c r="BBM43" s="236"/>
      <c r="BBN43" s="236"/>
      <c r="BBO43" s="236"/>
      <c r="BBP43" s="236"/>
      <c r="BBQ43" s="238"/>
      <c r="BBR43" s="236"/>
      <c r="BBS43" s="236"/>
      <c r="BBT43" s="236"/>
      <c r="BBU43" s="236"/>
      <c r="BBV43" s="236"/>
      <c r="BBW43" s="239"/>
      <c r="BBX43" s="236"/>
      <c r="BBY43" s="236"/>
      <c r="BBZ43" s="236"/>
      <c r="BCA43" s="236"/>
      <c r="BCB43" s="236"/>
      <c r="BCC43" s="238"/>
      <c r="BCD43" s="236"/>
      <c r="BCE43" s="236"/>
      <c r="BCF43" s="236"/>
      <c r="BCG43" s="236"/>
      <c r="BCH43" s="236"/>
      <c r="BCI43" s="239"/>
      <c r="BCJ43" s="236"/>
      <c r="BCK43" s="236"/>
      <c r="BCL43" s="236"/>
      <c r="BCM43" s="236"/>
      <c r="BCN43" s="236"/>
      <c r="BCO43" s="240"/>
      <c r="BCP43" s="235"/>
      <c r="BCQ43" s="236"/>
      <c r="BCR43" s="236"/>
      <c r="BCS43" s="236"/>
      <c r="BCT43" s="236"/>
      <c r="BCU43" s="237"/>
      <c r="BCV43" s="236"/>
      <c r="BCW43" s="236"/>
      <c r="BCX43" s="236"/>
      <c r="BCY43" s="236"/>
      <c r="BCZ43" s="236"/>
      <c r="BDA43" s="238"/>
      <c r="BDB43" s="236"/>
      <c r="BDC43" s="236"/>
      <c r="BDD43" s="236"/>
      <c r="BDE43" s="236"/>
      <c r="BDF43" s="236"/>
      <c r="BDG43" s="239"/>
      <c r="BDH43" s="236"/>
      <c r="BDI43" s="236"/>
      <c r="BDJ43" s="236"/>
      <c r="BDK43" s="236"/>
      <c r="BDL43" s="236"/>
      <c r="BDM43" s="238"/>
      <c r="BDN43" s="236"/>
      <c r="BDO43" s="236"/>
      <c r="BDP43" s="236"/>
      <c r="BDQ43" s="236"/>
      <c r="BDR43" s="236"/>
      <c r="BDS43" s="239"/>
      <c r="BDT43" s="236"/>
      <c r="BDU43" s="236"/>
      <c r="BDV43" s="236"/>
      <c r="BDW43" s="236"/>
      <c r="BDX43" s="236"/>
      <c r="BDY43" s="238"/>
      <c r="BDZ43" s="236"/>
      <c r="BEA43" s="236"/>
      <c r="BEB43" s="236"/>
      <c r="BEC43" s="236"/>
      <c r="BED43" s="236"/>
      <c r="BEE43" s="239"/>
      <c r="BEF43" s="236"/>
      <c r="BEG43" s="236"/>
      <c r="BEH43" s="236"/>
      <c r="BEI43" s="236"/>
      <c r="BEJ43" s="236"/>
      <c r="BEK43" s="238"/>
      <c r="BEL43" s="236"/>
      <c r="BEM43" s="236"/>
      <c r="BEN43" s="236"/>
      <c r="BEO43" s="236"/>
      <c r="BEP43" s="236"/>
      <c r="BEQ43" s="239"/>
      <c r="BER43" s="236"/>
      <c r="BES43" s="236"/>
      <c r="BET43" s="236"/>
      <c r="BEU43" s="236"/>
      <c r="BEV43" s="236"/>
      <c r="BEW43" s="240"/>
      <c r="BEX43" s="157"/>
      <c r="BEY43" s="149"/>
      <c r="BEZ43" s="149"/>
      <c r="BFA43" s="149"/>
      <c r="BFB43" s="149"/>
      <c r="BFC43" s="150"/>
      <c r="BFD43" s="149"/>
      <c r="BFE43" s="149"/>
      <c r="BFF43" s="149"/>
      <c r="BFG43" s="149"/>
      <c r="BFH43" s="149"/>
      <c r="BFI43" s="151"/>
      <c r="BFJ43" s="236"/>
      <c r="BFK43" s="236"/>
      <c r="BFL43" s="236"/>
      <c r="BFM43" s="236"/>
      <c r="BFN43" s="236"/>
      <c r="BFO43" s="239"/>
      <c r="BFP43" s="236"/>
      <c r="BFQ43" s="236"/>
      <c r="BFR43" s="236"/>
      <c r="BFS43" s="236"/>
      <c r="BFT43" s="236"/>
      <c r="BFU43" s="238"/>
      <c r="BFV43" s="236"/>
      <c r="BFW43" s="236"/>
      <c r="BFX43" s="236"/>
      <c r="BFY43" s="236"/>
      <c r="BFZ43" s="236"/>
      <c r="BGA43" s="239"/>
      <c r="BGB43" s="236"/>
      <c r="BGC43" s="236"/>
      <c r="BGD43" s="236"/>
      <c r="BGE43" s="236"/>
      <c r="BGF43" s="236"/>
      <c r="BGG43" s="238"/>
      <c r="BGH43" s="236"/>
      <c r="BGI43" s="236"/>
      <c r="BGJ43" s="236"/>
      <c r="BGK43" s="236"/>
      <c r="BGL43" s="236"/>
      <c r="BGM43" s="239"/>
      <c r="BGN43" s="236"/>
      <c r="BGO43" s="236"/>
      <c r="BGP43" s="236"/>
      <c r="BGQ43" s="236"/>
      <c r="BGR43" s="236"/>
      <c r="BGS43" s="238"/>
      <c r="BGT43" s="236"/>
      <c r="BGU43" s="236"/>
      <c r="BGV43" s="236"/>
      <c r="BGW43" s="236"/>
      <c r="BGX43" s="236"/>
      <c r="BGY43" s="239"/>
      <c r="BGZ43" s="236"/>
      <c r="BHA43" s="236"/>
      <c r="BHB43" s="236"/>
      <c r="BHC43" s="236"/>
      <c r="BHD43" s="236"/>
      <c r="BHE43" s="240"/>
      <c r="BHF43" s="235"/>
      <c r="BHG43" s="236"/>
      <c r="BHH43" s="236"/>
      <c r="BHI43" s="236"/>
      <c r="BHJ43" s="236"/>
      <c r="BHK43" s="237"/>
      <c r="BHL43" s="236"/>
      <c r="BHM43" s="236"/>
      <c r="BHN43" s="236"/>
      <c r="BHO43" s="236"/>
      <c r="BHP43" s="236"/>
      <c r="BHQ43" s="238"/>
      <c r="BHR43" s="236"/>
      <c r="BHS43" s="236"/>
      <c r="BHT43" s="236"/>
      <c r="BHU43" s="236"/>
      <c r="BHV43" s="236"/>
      <c r="BHW43" s="239"/>
      <c r="BHX43" s="236"/>
      <c r="BHY43" s="236"/>
      <c r="BHZ43" s="236"/>
      <c r="BIA43" s="236"/>
      <c r="BIB43" s="236"/>
      <c r="BIC43" s="238"/>
      <c r="BID43" s="236"/>
      <c r="BIE43" s="236"/>
      <c r="BIF43" s="236"/>
      <c r="BIG43" s="236"/>
      <c r="BIH43" s="236"/>
      <c r="BII43" s="239"/>
      <c r="BIJ43" s="236"/>
      <c r="BIK43" s="236"/>
      <c r="BIL43" s="236"/>
      <c r="BIM43" s="236"/>
      <c r="BIN43" s="236"/>
      <c r="BIO43" s="238"/>
      <c r="BIP43" s="236"/>
      <c r="BIQ43" s="236"/>
      <c r="BIR43" s="236"/>
      <c r="BIS43" s="236"/>
      <c r="BIT43" s="236"/>
      <c r="BIU43" s="239"/>
      <c r="BIV43" s="236"/>
      <c r="BIW43" s="236"/>
      <c r="BIX43" s="236"/>
      <c r="BIY43" s="236"/>
      <c r="BIZ43" s="236"/>
      <c r="BJA43" s="238"/>
      <c r="BJB43" s="236"/>
      <c r="BJC43" s="236"/>
      <c r="BJD43" s="236"/>
      <c r="BJE43" s="236"/>
      <c r="BJF43" s="236"/>
      <c r="BJG43" s="239"/>
      <c r="BJH43" s="236"/>
      <c r="BJI43" s="236"/>
      <c r="BJJ43" s="236"/>
      <c r="BJK43" s="236"/>
      <c r="BJL43" s="236"/>
      <c r="BJM43" s="240"/>
      <c r="BJN43" s="233"/>
      <c r="BJO43" s="234"/>
      <c r="BJP43" s="234"/>
      <c r="BJQ43" s="234"/>
      <c r="BJR43" s="234"/>
      <c r="BJS43" s="234"/>
      <c r="BJT43" s="234"/>
      <c r="BJU43" s="234"/>
      <c r="BJV43" s="234"/>
      <c r="BJW43" s="234"/>
      <c r="BJX43" s="234"/>
      <c r="BJY43" s="234"/>
      <c r="BJZ43" s="234"/>
      <c r="BKA43" s="234"/>
      <c r="BKB43" s="234"/>
      <c r="BKC43" s="234"/>
      <c r="BKD43" s="234"/>
      <c r="BKE43" s="234"/>
      <c r="BKF43" s="234"/>
      <c r="BKG43" s="234"/>
      <c r="BKH43" s="234"/>
      <c r="BKI43" s="234"/>
      <c r="BKJ43" s="234"/>
      <c r="BKK43" s="234"/>
      <c r="BKL43" s="234"/>
      <c r="BKM43" s="234"/>
      <c r="BKN43" s="234"/>
    </row>
    <row r="44" spans="1:1652" ht="20.100000000000001" customHeight="1" x14ac:dyDescent="0.3">
      <c r="A44" s="84" t="s">
        <v>20</v>
      </c>
      <c r="B44" s="53" t="str">
        <f>IF(LEN(C73)=0,"",C73)</f>
        <v/>
      </c>
      <c r="C44" s="178"/>
      <c r="D44" s="131" t="str">
        <f t="shared" si="0"/>
        <v>4h10min</v>
      </c>
      <c r="E44" s="30">
        <v>50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165"/>
      <c r="YQ44" s="166"/>
      <c r="YR44" s="166"/>
      <c r="YS44" s="166"/>
      <c r="YT44" s="166"/>
      <c r="YU44" s="167"/>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165"/>
      <c r="AAY44" s="166"/>
      <c r="AAZ44" s="166"/>
      <c r="ABA44" s="166"/>
      <c r="ABB44" s="166"/>
      <c r="ABC44" s="167"/>
      <c r="ABD44" s="166"/>
      <c r="ABE44" s="166"/>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165"/>
      <c r="AFO44" s="166"/>
      <c r="AFP44" s="166"/>
      <c r="AFQ44" s="166"/>
      <c r="AFR44" s="166"/>
      <c r="AFS44" s="167"/>
      <c r="AFT44" s="166"/>
      <c r="AFU44" s="166"/>
      <c r="AFV44" s="166"/>
      <c r="AFW44" s="166"/>
      <c r="AFX44" s="166"/>
      <c r="AFY44" s="168"/>
      <c r="AFZ44" s="166"/>
      <c r="AGA44" s="166"/>
      <c r="AGB44" s="166"/>
      <c r="AGC44" s="166"/>
      <c r="AGD44" s="166"/>
      <c r="AGE44" s="169"/>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166"/>
      <c r="ALS44" s="169"/>
      <c r="ALT44" s="166"/>
      <c r="ALU44" s="166"/>
      <c r="ALV44" s="166"/>
      <c r="ALW44" s="166"/>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165"/>
      <c r="AOU44" s="166"/>
      <c r="AOV44" s="166"/>
      <c r="AOW44" s="166"/>
      <c r="AOX44" s="166"/>
      <c r="AOY44" s="167"/>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166"/>
      <c r="AQI44" s="169"/>
      <c r="AQJ44" s="166"/>
      <c r="AQK44" s="166"/>
      <c r="AQL44" s="166"/>
      <c r="AQM44" s="166"/>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174"/>
      <c r="BJO44" s="4"/>
      <c r="BJP44" s="4"/>
      <c r="BJQ44" s="4"/>
      <c r="BJR44" s="4"/>
      <c r="BJS44" s="4"/>
      <c r="BJT44" s="4"/>
      <c r="BJU44" s="4"/>
      <c r="BJV44" s="4"/>
      <c r="BJW44" s="4"/>
      <c r="BJX44" s="4"/>
      <c r="BJY44" s="4"/>
      <c r="BJZ44" s="4"/>
      <c r="BKA44" s="4"/>
      <c r="BKB44" s="4"/>
      <c r="BKC44" s="4"/>
      <c r="BKD44" s="4"/>
      <c r="BKE44" s="4"/>
      <c r="BKF44" s="4"/>
      <c r="BKG44" s="4"/>
      <c r="BKH44" s="4"/>
      <c r="BKI44" s="4"/>
      <c r="BKJ44" s="4"/>
      <c r="BKK44" s="4"/>
      <c r="BKL44" s="4"/>
      <c r="BKM44" s="4"/>
      <c r="BKN44" s="4"/>
    </row>
    <row r="45" spans="1:1652" ht="20.100000000000001" customHeight="1" x14ac:dyDescent="0.25">
      <c r="A45" s="84" t="s">
        <v>19</v>
      </c>
      <c r="B45" s="53" t="str">
        <f>IF(LEN(C75)=0,"",C75)</f>
        <v/>
      </c>
      <c r="C45" s="177" t="s">
        <v>66</v>
      </c>
      <c r="D45" s="129" t="str">
        <f t="shared" si="0"/>
        <v>0h50min</v>
      </c>
      <c r="E45" s="34">
        <v>10</v>
      </c>
      <c r="F45" s="241"/>
      <c r="G45" s="242"/>
      <c r="H45" s="242"/>
      <c r="I45" s="242"/>
      <c r="J45" s="242"/>
      <c r="K45" s="243"/>
      <c r="L45" s="242"/>
      <c r="M45" s="242"/>
      <c r="N45" s="242"/>
      <c r="O45" s="242"/>
      <c r="P45" s="242"/>
      <c r="Q45" s="244"/>
      <c r="R45" s="242"/>
      <c r="S45" s="242"/>
      <c r="T45" s="242"/>
      <c r="U45" s="242"/>
      <c r="V45" s="242"/>
      <c r="W45" s="245"/>
      <c r="X45" s="242"/>
      <c r="Y45" s="242"/>
      <c r="Z45" s="242"/>
      <c r="AA45" s="242"/>
      <c r="AB45" s="242"/>
      <c r="AC45" s="244"/>
      <c r="AD45" s="242"/>
      <c r="AE45" s="242"/>
      <c r="AF45" s="242"/>
      <c r="AG45" s="242"/>
      <c r="AH45" s="242"/>
      <c r="AI45" s="245"/>
      <c r="AJ45" s="242"/>
      <c r="AK45" s="242"/>
      <c r="AL45" s="242"/>
      <c r="AM45" s="242"/>
      <c r="AN45" s="242"/>
      <c r="AO45" s="244"/>
      <c r="AP45" s="242"/>
      <c r="AQ45" s="242"/>
      <c r="AR45" s="242"/>
      <c r="AS45" s="242"/>
      <c r="AT45" s="242"/>
      <c r="AU45" s="245"/>
      <c r="AV45" s="242"/>
      <c r="AW45" s="242"/>
      <c r="AX45" s="242"/>
      <c r="AY45" s="242"/>
      <c r="AZ45" s="242"/>
      <c r="BA45" s="244"/>
      <c r="BB45" s="242"/>
      <c r="BC45" s="242"/>
      <c r="BD45" s="242"/>
      <c r="BE45" s="242"/>
      <c r="BF45" s="242"/>
      <c r="BG45" s="245"/>
      <c r="BH45" s="242"/>
      <c r="BI45" s="242"/>
      <c r="BJ45" s="242"/>
      <c r="BK45" s="242"/>
      <c r="BL45" s="242"/>
      <c r="BM45" s="246"/>
      <c r="BN45" s="241"/>
      <c r="BO45" s="242"/>
      <c r="BP45" s="242"/>
      <c r="BQ45" s="242"/>
      <c r="BR45" s="242"/>
      <c r="BS45" s="243"/>
      <c r="BT45" s="242"/>
      <c r="BU45" s="242"/>
      <c r="BV45" s="242"/>
      <c r="BW45" s="242"/>
      <c r="BX45" s="242"/>
      <c r="BY45" s="244"/>
      <c r="BZ45" s="242"/>
      <c r="CA45" s="242"/>
      <c r="CB45" s="242"/>
      <c r="CC45" s="242"/>
      <c r="CD45" s="242"/>
      <c r="CE45" s="245"/>
      <c r="CF45" s="242"/>
      <c r="CG45" s="242"/>
      <c r="CH45" s="242"/>
      <c r="CI45" s="242"/>
      <c r="CJ45" s="242"/>
      <c r="CK45" s="244"/>
      <c r="CL45" s="242"/>
      <c r="CM45" s="242"/>
      <c r="CN45" s="242"/>
      <c r="CO45" s="242"/>
      <c r="CP45" s="242"/>
      <c r="CQ45" s="245"/>
      <c r="CR45" s="242"/>
      <c r="CS45" s="242"/>
      <c r="CT45" s="242"/>
      <c r="CU45" s="242"/>
      <c r="CV45" s="242"/>
      <c r="CW45" s="244"/>
      <c r="CX45" s="242"/>
      <c r="CY45" s="242"/>
      <c r="CZ45" s="242"/>
      <c r="DA45" s="242"/>
      <c r="DB45" s="242"/>
      <c r="DC45" s="245"/>
      <c r="DD45" s="242"/>
      <c r="DE45" s="242"/>
      <c r="DF45" s="242"/>
      <c r="DG45" s="242"/>
      <c r="DH45" s="242"/>
      <c r="DI45" s="244"/>
      <c r="DJ45" s="242"/>
      <c r="DK45" s="242"/>
      <c r="DL45" s="242"/>
      <c r="DM45" s="242"/>
      <c r="DN45" s="242"/>
      <c r="DO45" s="245"/>
      <c r="DP45" s="242"/>
      <c r="DQ45" s="242"/>
      <c r="DR45" s="242"/>
      <c r="DS45" s="242"/>
      <c r="DT45" s="242"/>
      <c r="DU45" s="246"/>
      <c r="DV45" s="148"/>
      <c r="DW45" s="153"/>
      <c r="DX45" s="153"/>
      <c r="DY45" s="153"/>
      <c r="DZ45" s="242"/>
      <c r="EA45" s="243"/>
      <c r="EB45" s="242"/>
      <c r="EC45" s="242"/>
      <c r="ED45" s="242"/>
      <c r="EE45" s="242"/>
      <c r="EF45" s="242"/>
      <c r="EG45" s="244"/>
      <c r="EH45" s="242"/>
      <c r="EI45" s="242"/>
      <c r="EJ45" s="242"/>
      <c r="EK45" s="242"/>
      <c r="EL45" s="242"/>
      <c r="EM45" s="245"/>
      <c r="EN45" s="242"/>
      <c r="EO45" s="242"/>
      <c r="EP45" s="242"/>
      <c r="EQ45" s="242"/>
      <c r="ER45" s="242"/>
      <c r="ES45" s="244"/>
      <c r="ET45" s="242"/>
      <c r="EU45" s="242"/>
      <c r="EV45" s="242"/>
      <c r="EW45" s="242"/>
      <c r="EX45" s="242"/>
      <c r="EY45" s="245"/>
      <c r="EZ45" s="242"/>
      <c r="FA45" s="242"/>
      <c r="FB45" s="242"/>
      <c r="FC45" s="242"/>
      <c r="FD45" s="242"/>
      <c r="FE45" s="244"/>
      <c r="FF45" s="242"/>
      <c r="FG45" s="242"/>
      <c r="FH45" s="242"/>
      <c r="FI45" s="242"/>
      <c r="FJ45" s="242"/>
      <c r="FK45" s="245"/>
      <c r="FL45" s="242"/>
      <c r="FM45" s="242"/>
      <c r="FN45" s="242"/>
      <c r="FO45" s="242"/>
      <c r="FP45" s="242"/>
      <c r="FQ45" s="244"/>
      <c r="FR45" s="242"/>
      <c r="FS45" s="242"/>
      <c r="FT45" s="242"/>
      <c r="FU45" s="242"/>
      <c r="FV45" s="242"/>
      <c r="FW45" s="245"/>
      <c r="FX45" s="242"/>
      <c r="FY45" s="242"/>
      <c r="FZ45" s="242"/>
      <c r="GA45" s="242"/>
      <c r="GB45" s="242"/>
      <c r="GC45" s="246"/>
      <c r="GD45" s="241"/>
      <c r="GE45" s="242"/>
      <c r="GF45" s="242"/>
      <c r="GG45" s="242"/>
      <c r="GH45" s="242"/>
      <c r="GI45" s="243"/>
      <c r="GJ45" s="242"/>
      <c r="GK45" s="242"/>
      <c r="GL45" s="242"/>
      <c r="GM45" s="242"/>
      <c r="GN45" s="242"/>
      <c r="GO45" s="244"/>
      <c r="GP45" s="242"/>
      <c r="GQ45" s="242"/>
      <c r="GR45" s="242"/>
      <c r="GS45" s="242"/>
      <c r="GT45" s="242"/>
      <c r="GU45" s="245"/>
      <c r="GV45" s="242"/>
      <c r="GW45" s="242"/>
      <c r="GX45" s="242"/>
      <c r="GY45" s="242"/>
      <c r="GZ45" s="242"/>
      <c r="HA45" s="244"/>
      <c r="HB45" s="153"/>
      <c r="HC45" s="153"/>
      <c r="HD45" s="242"/>
      <c r="HE45" s="242"/>
      <c r="HF45" s="242"/>
      <c r="HG45" s="245"/>
      <c r="HH45" s="242"/>
      <c r="HI45" s="242"/>
      <c r="HJ45" s="242"/>
      <c r="HK45" s="242"/>
      <c r="HL45" s="242"/>
      <c r="HM45" s="244"/>
      <c r="HN45" s="242"/>
      <c r="HO45" s="242"/>
      <c r="HP45" s="242"/>
      <c r="HQ45" s="242"/>
      <c r="HR45" s="242"/>
      <c r="HS45" s="245"/>
      <c r="HT45" s="242"/>
      <c r="HU45" s="242"/>
      <c r="HV45" s="242"/>
      <c r="HW45" s="242"/>
      <c r="HX45" s="242"/>
      <c r="HY45" s="244"/>
      <c r="HZ45" s="242"/>
      <c r="IA45" s="242"/>
      <c r="IB45" s="242"/>
      <c r="IC45" s="242"/>
      <c r="ID45" s="242"/>
      <c r="IE45" s="245"/>
      <c r="IF45" s="242"/>
      <c r="IG45" s="242"/>
      <c r="IH45" s="242"/>
      <c r="II45" s="242"/>
      <c r="IJ45" s="242"/>
      <c r="IK45" s="246"/>
      <c r="IL45" s="241"/>
      <c r="IM45" s="242"/>
      <c r="IN45" s="242"/>
      <c r="IO45" s="242"/>
      <c r="IP45" s="242"/>
      <c r="IQ45" s="243"/>
      <c r="IR45" s="242"/>
      <c r="IS45" s="242"/>
      <c r="IT45" s="242"/>
      <c r="IU45" s="242"/>
      <c r="IV45" s="242"/>
      <c r="IW45" s="244"/>
      <c r="IX45" s="242"/>
      <c r="IY45" s="242"/>
      <c r="IZ45" s="242"/>
      <c r="JA45" s="242"/>
      <c r="JB45" s="242"/>
      <c r="JC45" s="245"/>
      <c r="JD45" s="242"/>
      <c r="JE45" s="242"/>
      <c r="JF45" s="242"/>
      <c r="JG45" s="242"/>
      <c r="JH45" s="242"/>
      <c r="JI45" s="244"/>
      <c r="JJ45" s="242"/>
      <c r="JK45" s="242"/>
      <c r="JL45" s="242"/>
      <c r="JM45" s="242"/>
      <c r="JN45" s="242"/>
      <c r="JO45" s="245"/>
      <c r="JP45" s="242"/>
      <c r="JQ45" s="242"/>
      <c r="JR45" s="242"/>
      <c r="JS45" s="242"/>
      <c r="JT45" s="242"/>
      <c r="JU45" s="244"/>
      <c r="JV45" s="242"/>
      <c r="JW45" s="242"/>
      <c r="JX45" s="242"/>
      <c r="JY45" s="242"/>
      <c r="JZ45" s="242"/>
      <c r="KA45" s="245"/>
      <c r="KB45" s="242"/>
      <c r="KC45" s="242"/>
      <c r="KD45" s="242"/>
      <c r="KE45" s="242"/>
      <c r="KF45" s="242"/>
      <c r="KG45" s="244"/>
      <c r="KH45" s="242"/>
      <c r="KI45" s="242"/>
      <c r="KJ45" s="242"/>
      <c r="KK45" s="242"/>
      <c r="KL45" s="242"/>
      <c r="KM45" s="245"/>
      <c r="KN45" s="242"/>
      <c r="KO45" s="242"/>
      <c r="KP45" s="242"/>
      <c r="KQ45" s="242"/>
      <c r="KR45" s="242"/>
      <c r="KS45" s="246"/>
      <c r="KT45" s="241"/>
      <c r="KU45" s="242"/>
      <c r="KV45" s="242"/>
      <c r="KW45" s="242"/>
      <c r="KX45" s="242"/>
      <c r="KY45" s="243"/>
      <c r="KZ45" s="242"/>
      <c r="LA45" s="242"/>
      <c r="LB45" s="242"/>
      <c r="LC45" s="242"/>
      <c r="LD45" s="242"/>
      <c r="LE45" s="244"/>
      <c r="LF45" s="242"/>
      <c r="LG45" s="242"/>
      <c r="LH45" s="242"/>
      <c r="LI45" s="242"/>
      <c r="LJ45" s="242"/>
      <c r="LK45" s="245"/>
      <c r="LL45" s="242"/>
      <c r="LM45" s="242"/>
      <c r="LN45" s="242"/>
      <c r="LO45" s="242"/>
      <c r="LP45" s="242"/>
      <c r="LQ45" s="244"/>
      <c r="LR45" s="242"/>
      <c r="LS45" s="242"/>
      <c r="LT45" s="242"/>
      <c r="LU45" s="242"/>
      <c r="LV45" s="242"/>
      <c r="LW45" s="245"/>
      <c r="LX45" s="242"/>
      <c r="LY45" s="242"/>
      <c r="LZ45" s="242"/>
      <c r="MA45" s="242"/>
      <c r="MB45" s="242"/>
      <c r="MC45" s="244"/>
      <c r="MD45" s="242"/>
      <c r="ME45" s="242"/>
      <c r="MF45" s="242"/>
      <c r="MG45" s="242"/>
      <c r="MH45" s="242"/>
      <c r="MI45" s="245"/>
      <c r="MJ45" s="242"/>
      <c r="MK45" s="242"/>
      <c r="ML45" s="242"/>
      <c r="MM45" s="242"/>
      <c r="MN45" s="242"/>
      <c r="MO45" s="244"/>
      <c r="MP45" s="242"/>
      <c r="MQ45" s="242"/>
      <c r="MR45" s="242"/>
      <c r="MS45" s="242"/>
      <c r="MT45" s="242"/>
      <c r="MU45" s="245"/>
      <c r="MV45" s="242"/>
      <c r="MW45" s="242"/>
      <c r="MX45" s="242"/>
      <c r="MY45" s="242"/>
      <c r="MZ45" s="242"/>
      <c r="NA45" s="246"/>
      <c r="NB45" s="241"/>
      <c r="NC45" s="242"/>
      <c r="ND45" s="242"/>
      <c r="NE45" s="242"/>
      <c r="NF45" s="242"/>
      <c r="NG45" s="243"/>
      <c r="NH45" s="242"/>
      <c r="NI45" s="242"/>
      <c r="NJ45" s="242"/>
      <c r="NK45" s="242"/>
      <c r="NL45" s="242"/>
      <c r="NM45" s="244"/>
      <c r="NN45" s="242"/>
      <c r="NO45" s="242"/>
      <c r="NP45" s="242"/>
      <c r="NQ45" s="242"/>
      <c r="NR45" s="242"/>
      <c r="NS45" s="245"/>
      <c r="NT45" s="242"/>
      <c r="NU45" s="242"/>
      <c r="NV45" s="242"/>
      <c r="NW45" s="242"/>
      <c r="NX45" s="242"/>
      <c r="NY45" s="244"/>
      <c r="NZ45" s="242"/>
      <c r="OA45" s="242"/>
      <c r="OB45" s="242"/>
      <c r="OC45" s="242"/>
      <c r="OD45" s="242"/>
      <c r="OE45" s="245"/>
      <c r="OF45" s="242"/>
      <c r="OG45" s="242"/>
      <c r="OH45" s="242"/>
      <c r="OI45" s="242"/>
      <c r="OJ45" s="242"/>
      <c r="OK45" s="244"/>
      <c r="OL45" s="242"/>
      <c r="OM45" s="242"/>
      <c r="ON45" s="242"/>
      <c r="OO45" s="242"/>
      <c r="OP45" s="242"/>
      <c r="OQ45" s="245"/>
      <c r="OR45" s="242"/>
      <c r="OS45" s="242"/>
      <c r="OT45" s="242"/>
      <c r="OU45" s="242"/>
      <c r="OV45" s="242"/>
      <c r="OW45" s="244"/>
      <c r="OX45" s="242"/>
      <c r="OY45" s="242"/>
      <c r="OZ45" s="242"/>
      <c r="PA45" s="242"/>
      <c r="PB45" s="242"/>
      <c r="PC45" s="245"/>
      <c r="PD45" s="242"/>
      <c r="PE45" s="242"/>
      <c r="PF45" s="242"/>
      <c r="PG45" s="242"/>
      <c r="PH45" s="242"/>
      <c r="PI45" s="246"/>
      <c r="PJ45" s="241"/>
      <c r="PK45" s="242"/>
      <c r="PL45" s="242"/>
      <c r="PM45" s="242"/>
      <c r="PN45" s="242"/>
      <c r="PO45" s="243"/>
      <c r="PP45" s="242"/>
      <c r="PQ45" s="242"/>
      <c r="PR45" s="242"/>
      <c r="PS45" s="242"/>
      <c r="PT45" s="242"/>
      <c r="PU45" s="244"/>
      <c r="PV45" s="242"/>
      <c r="PW45" s="242"/>
      <c r="PX45" s="242"/>
      <c r="PY45" s="242"/>
      <c r="PZ45" s="242"/>
      <c r="QA45" s="245"/>
      <c r="QB45" s="242"/>
      <c r="QC45" s="242"/>
      <c r="QD45" s="242"/>
      <c r="QE45" s="242"/>
      <c r="QF45" s="242"/>
      <c r="QG45" s="244"/>
      <c r="QH45" s="242"/>
      <c r="QI45" s="242"/>
      <c r="QJ45" s="242"/>
      <c r="QK45" s="242"/>
      <c r="QL45" s="242"/>
      <c r="QM45" s="245"/>
      <c r="QN45" s="242"/>
      <c r="QO45" s="242"/>
      <c r="QP45" s="242"/>
      <c r="QQ45" s="242"/>
      <c r="QR45" s="242"/>
      <c r="QS45" s="244"/>
      <c r="QT45" s="242"/>
      <c r="QU45" s="242"/>
      <c r="QV45" s="242"/>
      <c r="QW45" s="242"/>
      <c r="QX45" s="242"/>
      <c r="QY45" s="245"/>
      <c r="QZ45" s="242"/>
      <c r="RA45" s="242"/>
      <c r="RB45" s="242"/>
      <c r="RC45" s="242"/>
      <c r="RD45" s="242"/>
      <c r="RE45" s="244"/>
      <c r="RF45" s="242"/>
      <c r="RG45" s="242"/>
      <c r="RH45" s="242"/>
      <c r="RI45" s="242"/>
      <c r="RJ45" s="242"/>
      <c r="RK45" s="245"/>
      <c r="RL45" s="242"/>
      <c r="RM45" s="242"/>
      <c r="RN45" s="242"/>
      <c r="RO45" s="242"/>
      <c r="RP45" s="242"/>
      <c r="RQ45" s="246"/>
      <c r="RR45" s="241"/>
      <c r="RS45" s="242"/>
      <c r="RT45" s="242"/>
      <c r="RU45" s="242"/>
      <c r="RV45" s="242"/>
      <c r="RW45" s="243"/>
      <c r="RX45" s="242"/>
      <c r="RY45" s="242"/>
      <c r="RZ45" s="242"/>
      <c r="SA45" s="242"/>
      <c r="SB45" s="242"/>
      <c r="SC45" s="244"/>
      <c r="SD45" s="242"/>
      <c r="SE45" s="242"/>
      <c r="SF45" s="242"/>
      <c r="SG45" s="242"/>
      <c r="SH45" s="242"/>
      <c r="SI45" s="245"/>
      <c r="SJ45" s="242"/>
      <c r="SK45" s="242"/>
      <c r="SL45" s="242"/>
      <c r="SM45" s="242"/>
      <c r="SN45" s="242"/>
      <c r="SO45" s="244"/>
      <c r="SP45" s="242"/>
      <c r="SQ45" s="242"/>
      <c r="SR45" s="242"/>
      <c r="SS45" s="242"/>
      <c r="ST45" s="242"/>
      <c r="SU45" s="245"/>
      <c r="SV45" s="242"/>
      <c r="SW45" s="242"/>
      <c r="SX45" s="242"/>
      <c r="SY45" s="242"/>
      <c r="SZ45" s="242"/>
      <c r="TA45" s="244"/>
      <c r="TB45" s="242"/>
      <c r="TC45" s="242"/>
      <c r="TD45" s="242"/>
      <c r="TE45" s="242"/>
      <c r="TF45" s="242"/>
      <c r="TG45" s="245"/>
      <c r="TH45" s="242"/>
      <c r="TI45" s="242"/>
      <c r="TJ45" s="242"/>
      <c r="TK45" s="242"/>
      <c r="TL45" s="242"/>
      <c r="TM45" s="244"/>
      <c r="TN45" s="242"/>
      <c r="TO45" s="242"/>
      <c r="TP45" s="242"/>
      <c r="TQ45" s="242"/>
      <c r="TR45" s="242"/>
      <c r="TS45" s="245"/>
      <c r="TT45" s="242"/>
      <c r="TU45" s="242"/>
      <c r="TV45" s="242"/>
      <c r="TW45" s="242"/>
      <c r="TX45" s="242"/>
      <c r="TY45" s="246"/>
      <c r="TZ45" s="241"/>
      <c r="UA45" s="242"/>
      <c r="UB45" s="242"/>
      <c r="UC45" s="242"/>
      <c r="UD45" s="242"/>
      <c r="UE45" s="243"/>
      <c r="UF45" s="242"/>
      <c r="UG45" s="242"/>
      <c r="UH45" s="242"/>
      <c r="UI45" s="242"/>
      <c r="UJ45" s="242"/>
      <c r="UK45" s="244"/>
      <c r="UL45" s="242"/>
      <c r="UM45" s="242"/>
      <c r="UN45" s="242"/>
      <c r="UO45" s="242"/>
      <c r="UP45" s="242"/>
      <c r="UQ45" s="245"/>
      <c r="UR45" s="242"/>
      <c r="US45" s="242"/>
      <c r="UT45" s="242"/>
      <c r="UU45" s="242"/>
      <c r="UV45" s="242"/>
      <c r="UW45" s="244"/>
      <c r="UX45" s="242"/>
      <c r="UY45" s="242"/>
      <c r="UZ45" s="242"/>
      <c r="VA45" s="242"/>
      <c r="VB45" s="242"/>
      <c r="VC45" s="245"/>
      <c r="VD45" s="242"/>
      <c r="VE45" s="242"/>
      <c r="VF45" s="242"/>
      <c r="VG45" s="242"/>
      <c r="VH45" s="242"/>
      <c r="VI45" s="244"/>
      <c r="VJ45" s="242"/>
      <c r="VK45" s="242"/>
      <c r="VL45" s="242"/>
      <c r="VM45" s="242"/>
      <c r="VN45" s="242"/>
      <c r="VO45" s="245"/>
      <c r="VP45" s="242"/>
      <c r="VQ45" s="242"/>
      <c r="VR45" s="242"/>
      <c r="VS45" s="242"/>
      <c r="VT45" s="242"/>
      <c r="VU45" s="244"/>
      <c r="VV45" s="242"/>
      <c r="VW45" s="242"/>
      <c r="VX45" s="242"/>
      <c r="VY45" s="242"/>
      <c r="VZ45" s="242"/>
      <c r="WA45" s="245"/>
      <c r="WB45" s="242"/>
      <c r="WC45" s="242"/>
      <c r="WD45" s="242"/>
      <c r="WE45" s="242"/>
      <c r="WF45" s="242"/>
      <c r="WG45" s="246"/>
      <c r="WH45" s="241"/>
      <c r="WI45" s="242"/>
      <c r="WJ45" s="242"/>
      <c r="WK45" s="242"/>
      <c r="WL45" s="242"/>
      <c r="WM45" s="243"/>
      <c r="WN45" s="242"/>
      <c r="WO45" s="242"/>
      <c r="WP45" s="242"/>
      <c r="WQ45" s="242"/>
      <c r="WR45" s="242"/>
      <c r="WS45" s="244"/>
      <c r="WT45" s="242"/>
      <c r="WU45" s="242"/>
      <c r="WV45" s="242"/>
      <c r="WW45" s="242"/>
      <c r="WX45" s="242"/>
      <c r="WY45" s="245"/>
      <c r="WZ45" s="242"/>
      <c r="XA45" s="242"/>
      <c r="XB45" s="242"/>
      <c r="XC45" s="242"/>
      <c r="XD45" s="242"/>
      <c r="XE45" s="244"/>
      <c r="XF45" s="242"/>
      <c r="XG45" s="242"/>
      <c r="XH45" s="242"/>
      <c r="XI45" s="242"/>
      <c r="XJ45" s="242"/>
      <c r="XK45" s="245"/>
      <c r="XL45" s="242"/>
      <c r="XM45" s="242"/>
      <c r="XN45" s="242"/>
      <c r="XO45" s="242"/>
      <c r="XP45" s="242"/>
      <c r="XQ45" s="244"/>
      <c r="XR45" s="242"/>
      <c r="XS45" s="242"/>
      <c r="XT45" s="242"/>
      <c r="XU45" s="242"/>
      <c r="XV45" s="242"/>
      <c r="XW45" s="245"/>
      <c r="XX45" s="242"/>
      <c r="XY45" s="242"/>
      <c r="XZ45" s="242"/>
      <c r="YA45" s="242"/>
      <c r="YB45" s="242"/>
      <c r="YC45" s="244"/>
      <c r="YD45" s="242"/>
      <c r="YE45" s="242"/>
      <c r="YF45" s="242"/>
      <c r="YG45" s="242"/>
      <c r="YH45" s="242"/>
      <c r="YI45" s="245"/>
      <c r="YJ45" s="242"/>
      <c r="YK45" s="242"/>
      <c r="YL45" s="242"/>
      <c r="YM45" s="242"/>
      <c r="YN45" s="242"/>
      <c r="YO45" s="246"/>
      <c r="YP45" s="241"/>
      <c r="YQ45" s="242"/>
      <c r="YR45" s="242"/>
      <c r="YS45" s="242"/>
      <c r="YT45" s="242"/>
      <c r="YU45" s="243"/>
      <c r="YV45" s="242"/>
      <c r="YW45" s="242"/>
      <c r="YX45" s="242"/>
      <c r="YY45" s="242"/>
      <c r="YZ45" s="242"/>
      <c r="ZA45" s="244"/>
      <c r="ZB45" s="242"/>
      <c r="ZC45" s="242"/>
      <c r="ZD45" s="242"/>
      <c r="ZE45" s="242"/>
      <c r="ZF45" s="242"/>
      <c r="ZG45" s="245"/>
      <c r="ZH45" s="242"/>
      <c r="ZI45" s="242"/>
      <c r="ZJ45" s="242"/>
      <c r="ZK45" s="242"/>
      <c r="ZL45" s="242"/>
      <c r="ZM45" s="244"/>
      <c r="ZN45" s="242"/>
      <c r="ZO45" s="242"/>
      <c r="ZP45" s="242"/>
      <c r="ZQ45" s="242"/>
      <c r="ZR45" s="242"/>
      <c r="ZS45" s="245"/>
      <c r="ZT45" s="242"/>
      <c r="ZU45" s="242"/>
      <c r="ZV45" s="242"/>
      <c r="ZW45" s="242"/>
      <c r="ZX45" s="242"/>
      <c r="ZY45" s="244"/>
      <c r="ZZ45" s="242"/>
      <c r="AAA45" s="242"/>
      <c r="AAB45" s="242"/>
      <c r="AAC45" s="242"/>
      <c r="AAD45" s="242"/>
      <c r="AAE45" s="245"/>
      <c r="AAF45" s="242"/>
      <c r="AAG45" s="242"/>
      <c r="AAH45" s="242"/>
      <c r="AAI45" s="242"/>
      <c r="AAJ45" s="242"/>
      <c r="AAK45" s="244"/>
      <c r="AAL45" s="242"/>
      <c r="AAM45" s="242"/>
      <c r="AAN45" s="242"/>
      <c r="AAO45" s="242"/>
      <c r="AAP45" s="242"/>
      <c r="AAQ45" s="245"/>
      <c r="AAR45" s="242"/>
      <c r="AAS45" s="242"/>
      <c r="AAT45" s="242"/>
      <c r="AAU45" s="242"/>
      <c r="AAV45" s="242"/>
      <c r="AAW45" s="246"/>
      <c r="AAX45" s="241"/>
      <c r="AAY45" s="242"/>
      <c r="AAZ45" s="242"/>
      <c r="ABA45" s="242"/>
      <c r="ABB45" s="242"/>
      <c r="ABC45" s="243"/>
      <c r="ABD45" s="242"/>
      <c r="ABE45" s="242"/>
      <c r="ABF45" s="242"/>
      <c r="ABG45" s="242"/>
      <c r="ABH45" s="242"/>
      <c r="ABI45" s="244"/>
      <c r="ABJ45" s="242"/>
      <c r="ABK45" s="242"/>
      <c r="ABL45" s="242"/>
      <c r="ABM45" s="242"/>
      <c r="ABN45" s="242"/>
      <c r="ABO45" s="245"/>
      <c r="ABP45" s="242"/>
      <c r="ABQ45" s="242"/>
      <c r="ABR45" s="242"/>
      <c r="ABS45" s="242"/>
      <c r="ABT45" s="242"/>
      <c r="ABU45" s="244"/>
      <c r="ABV45" s="242"/>
      <c r="ABW45" s="242"/>
      <c r="ABX45" s="242"/>
      <c r="ABY45" s="242"/>
      <c r="ABZ45" s="242"/>
      <c r="ACA45" s="245"/>
      <c r="ACB45" s="242"/>
      <c r="ACC45" s="242"/>
      <c r="ACD45" s="242"/>
      <c r="ACE45" s="242"/>
      <c r="ACF45" s="242"/>
      <c r="ACG45" s="244"/>
      <c r="ACH45" s="242"/>
      <c r="ACI45" s="242"/>
      <c r="ACJ45" s="242"/>
      <c r="ACK45" s="242"/>
      <c r="ACL45" s="242"/>
      <c r="ACM45" s="245"/>
      <c r="ACN45" s="242"/>
      <c r="ACO45" s="242"/>
      <c r="ACP45" s="242"/>
      <c r="ACQ45" s="242"/>
      <c r="ACR45" s="242"/>
      <c r="ACS45" s="244"/>
      <c r="ACT45" s="242"/>
      <c r="ACU45" s="242"/>
      <c r="ACV45" s="242"/>
      <c r="ACW45" s="242"/>
      <c r="ACX45" s="242"/>
      <c r="ACY45" s="245"/>
      <c r="ACZ45" s="242"/>
      <c r="ADA45" s="242"/>
      <c r="ADB45" s="242"/>
      <c r="ADC45" s="242"/>
      <c r="ADD45" s="242"/>
      <c r="ADE45" s="246"/>
      <c r="ADF45" s="148"/>
      <c r="ADG45" s="153"/>
      <c r="ADH45" s="153"/>
      <c r="ADI45" s="153"/>
      <c r="ADJ45" s="242"/>
      <c r="ADK45" s="243"/>
      <c r="ADL45" s="242"/>
      <c r="ADM45" s="242"/>
      <c r="ADN45" s="242"/>
      <c r="ADO45" s="242"/>
      <c r="ADP45" s="242"/>
      <c r="ADQ45" s="244"/>
      <c r="ADR45" s="242"/>
      <c r="ADS45" s="242"/>
      <c r="ADT45" s="242"/>
      <c r="ADU45" s="242"/>
      <c r="ADV45" s="242"/>
      <c r="ADW45" s="245"/>
      <c r="ADX45" s="242"/>
      <c r="ADY45" s="242"/>
      <c r="ADZ45" s="242"/>
      <c r="AEA45" s="242"/>
      <c r="AEB45" s="242"/>
      <c r="AEC45" s="244"/>
      <c r="AED45" s="242"/>
      <c r="AEE45" s="242"/>
      <c r="AEF45" s="242"/>
      <c r="AEG45" s="242"/>
      <c r="AEH45" s="242"/>
      <c r="AEI45" s="245"/>
      <c r="AEJ45" s="242"/>
      <c r="AEK45" s="242"/>
      <c r="AEL45" s="242"/>
      <c r="AEM45" s="242"/>
      <c r="AEN45" s="242"/>
      <c r="AEO45" s="244"/>
      <c r="AEP45" s="242"/>
      <c r="AEQ45" s="242"/>
      <c r="AER45" s="242"/>
      <c r="AES45" s="242"/>
      <c r="AET45" s="242"/>
      <c r="AEU45" s="245"/>
      <c r="AEV45" s="242"/>
      <c r="AEW45" s="242"/>
      <c r="AEX45" s="242"/>
      <c r="AEY45" s="242"/>
      <c r="AEZ45" s="242"/>
      <c r="AFA45" s="244"/>
      <c r="AFB45" s="242"/>
      <c r="AFC45" s="242"/>
      <c r="AFD45" s="242"/>
      <c r="AFE45" s="242"/>
      <c r="AFF45" s="242"/>
      <c r="AFG45" s="245"/>
      <c r="AFH45" s="242"/>
      <c r="AFI45" s="242"/>
      <c r="AFJ45" s="242"/>
      <c r="AFK45" s="242"/>
      <c r="AFL45" s="242"/>
      <c r="AFM45" s="246"/>
      <c r="AFN45" s="241"/>
      <c r="AFO45" s="242"/>
      <c r="AFP45" s="242"/>
      <c r="AFQ45" s="242"/>
      <c r="AFR45" s="242"/>
      <c r="AFS45" s="243"/>
      <c r="AFT45" s="242"/>
      <c r="AFU45" s="242"/>
      <c r="AFV45" s="242"/>
      <c r="AFW45" s="242"/>
      <c r="AFX45" s="242"/>
      <c r="AFY45" s="244"/>
      <c r="AFZ45" s="242"/>
      <c r="AGA45" s="242"/>
      <c r="AGB45" s="242"/>
      <c r="AGC45" s="242"/>
      <c r="AGD45" s="242"/>
      <c r="AGE45" s="245"/>
      <c r="AGF45" s="242"/>
      <c r="AGG45" s="242"/>
      <c r="AGH45" s="242"/>
      <c r="AGI45" s="242"/>
      <c r="AGJ45" s="242"/>
      <c r="AGK45" s="244"/>
      <c r="AGL45" s="242"/>
      <c r="AGM45" s="242"/>
      <c r="AGN45" s="242"/>
      <c r="AGO45" s="242"/>
      <c r="AGP45" s="242"/>
      <c r="AGQ45" s="245"/>
      <c r="AGR45" s="242"/>
      <c r="AGS45" s="242"/>
      <c r="AGT45" s="242"/>
      <c r="AGU45" s="242"/>
      <c r="AGV45" s="242"/>
      <c r="AGW45" s="244"/>
      <c r="AGX45" s="242"/>
      <c r="AGY45" s="242"/>
      <c r="AGZ45" s="242"/>
      <c r="AHA45" s="242"/>
      <c r="AHB45" s="242"/>
      <c r="AHC45" s="245"/>
      <c r="AHD45" s="242"/>
      <c r="AHE45" s="242"/>
      <c r="AHF45" s="242"/>
      <c r="AHG45" s="242"/>
      <c r="AHH45" s="242"/>
      <c r="AHI45" s="244"/>
      <c r="AHJ45" s="242"/>
      <c r="AHK45" s="242"/>
      <c r="AHL45" s="242"/>
      <c r="AHM45" s="242"/>
      <c r="AHN45" s="242"/>
      <c r="AHO45" s="245"/>
      <c r="AHP45" s="242"/>
      <c r="AHQ45" s="242"/>
      <c r="AHR45" s="242"/>
      <c r="AHS45" s="242"/>
      <c r="AHT45" s="242"/>
      <c r="AHU45" s="246"/>
      <c r="AHV45" s="241"/>
      <c r="AHW45" s="242"/>
      <c r="AHX45" s="242"/>
      <c r="AHY45" s="242"/>
      <c r="AHZ45" s="242"/>
      <c r="AIA45" s="243"/>
      <c r="AIB45" s="242"/>
      <c r="AIC45" s="242"/>
      <c r="AID45" s="242"/>
      <c r="AIE45" s="242"/>
      <c r="AIF45" s="242"/>
      <c r="AIG45" s="244"/>
      <c r="AIH45" s="242"/>
      <c r="AII45" s="242"/>
      <c r="AIJ45" s="242"/>
      <c r="AIK45" s="242"/>
      <c r="AIL45" s="242"/>
      <c r="AIM45" s="245"/>
      <c r="AIN45" s="242"/>
      <c r="AIO45" s="242"/>
      <c r="AIP45" s="242"/>
      <c r="AIQ45" s="242"/>
      <c r="AIR45" s="242"/>
      <c r="AIS45" s="244"/>
      <c r="AIT45" s="242"/>
      <c r="AIU45" s="242"/>
      <c r="AIV45" s="242"/>
      <c r="AIW45" s="242"/>
      <c r="AIX45" s="242"/>
      <c r="AIY45" s="245"/>
      <c r="AIZ45" s="242"/>
      <c r="AJA45" s="242"/>
      <c r="AJB45" s="242"/>
      <c r="AJC45" s="242"/>
      <c r="AJD45" s="242"/>
      <c r="AJE45" s="244"/>
      <c r="AJF45" s="242"/>
      <c r="AJG45" s="242"/>
      <c r="AJH45" s="242"/>
      <c r="AJI45" s="242"/>
      <c r="AJJ45" s="242"/>
      <c r="AJK45" s="245"/>
      <c r="AJL45" s="242"/>
      <c r="AJM45" s="242"/>
      <c r="AJN45" s="242"/>
      <c r="AJO45" s="242"/>
      <c r="AJP45" s="242"/>
      <c r="AJQ45" s="244"/>
      <c r="AJR45" s="242"/>
      <c r="AJS45" s="242"/>
      <c r="AJT45" s="242"/>
      <c r="AJU45" s="242"/>
      <c r="AJV45" s="242"/>
      <c r="AJW45" s="245"/>
      <c r="AJX45" s="242"/>
      <c r="AJY45" s="242"/>
      <c r="AJZ45" s="242"/>
      <c r="AKA45" s="242"/>
      <c r="AKB45" s="242"/>
      <c r="AKC45" s="246"/>
      <c r="AKD45" s="241"/>
      <c r="AKE45" s="242"/>
      <c r="AKF45" s="242"/>
      <c r="AKG45" s="242"/>
      <c r="AKH45" s="242"/>
      <c r="AKI45" s="243"/>
      <c r="AKJ45" s="242"/>
      <c r="AKK45" s="242"/>
      <c r="AKL45" s="242"/>
      <c r="AKM45" s="242"/>
      <c r="AKN45" s="242"/>
      <c r="AKO45" s="244"/>
      <c r="AKP45" s="242"/>
      <c r="AKQ45" s="242"/>
      <c r="AKR45" s="242"/>
      <c r="AKS45" s="242"/>
      <c r="AKT45" s="242"/>
      <c r="AKU45" s="245"/>
      <c r="AKV45" s="242"/>
      <c r="AKW45" s="242"/>
      <c r="AKX45" s="242"/>
      <c r="AKY45" s="242"/>
      <c r="AKZ45" s="242"/>
      <c r="ALA45" s="244"/>
      <c r="ALB45" s="242"/>
      <c r="ALC45" s="242"/>
      <c r="ALD45" s="242"/>
      <c r="ALE45" s="242"/>
      <c r="ALF45" s="242"/>
      <c r="ALG45" s="245"/>
      <c r="ALH45" s="242"/>
      <c r="ALI45" s="242"/>
      <c r="ALJ45" s="242"/>
      <c r="ALK45" s="242"/>
      <c r="ALL45" s="242"/>
      <c r="ALM45" s="244"/>
      <c r="ALN45" s="242"/>
      <c r="ALO45" s="242"/>
      <c r="ALP45" s="242"/>
      <c r="ALQ45" s="242"/>
      <c r="ALR45" s="242"/>
      <c r="ALS45" s="245"/>
      <c r="ALT45" s="242"/>
      <c r="ALU45" s="242"/>
      <c r="ALV45" s="242"/>
      <c r="ALW45" s="242"/>
      <c r="ALX45" s="242"/>
      <c r="ALY45" s="244"/>
      <c r="ALZ45" s="242"/>
      <c r="AMA45" s="242"/>
      <c r="AMB45" s="242"/>
      <c r="AMC45" s="242"/>
      <c r="AMD45" s="242"/>
      <c r="AME45" s="245"/>
      <c r="AMF45" s="242"/>
      <c r="AMG45" s="242"/>
      <c r="AMH45" s="242"/>
      <c r="AMI45" s="242"/>
      <c r="AMJ45" s="242"/>
      <c r="AMK45" s="246"/>
      <c r="AML45" s="241"/>
      <c r="AMM45" s="242"/>
      <c r="AMN45" s="242"/>
      <c r="AMO45" s="242"/>
      <c r="AMP45" s="242"/>
      <c r="AMQ45" s="243"/>
      <c r="AMR45" s="242"/>
      <c r="AMS45" s="242"/>
      <c r="AMT45" s="242"/>
      <c r="AMU45" s="242"/>
      <c r="AMV45" s="242"/>
      <c r="AMW45" s="244"/>
      <c r="AMX45" s="242"/>
      <c r="AMY45" s="242"/>
      <c r="AMZ45" s="242"/>
      <c r="ANA45" s="242"/>
      <c r="ANB45" s="242"/>
      <c r="ANC45" s="245"/>
      <c r="AND45" s="242"/>
      <c r="ANE45" s="242"/>
      <c r="ANF45" s="242"/>
      <c r="ANG45" s="242"/>
      <c r="ANH45" s="242"/>
      <c r="ANI45" s="244"/>
      <c r="ANJ45" s="242"/>
      <c r="ANK45" s="242"/>
      <c r="ANL45" s="242"/>
      <c r="ANM45" s="242"/>
      <c r="ANN45" s="242"/>
      <c r="ANO45" s="245"/>
      <c r="ANP45" s="242"/>
      <c r="ANQ45" s="242"/>
      <c r="ANR45" s="242"/>
      <c r="ANS45" s="242"/>
      <c r="ANT45" s="242"/>
      <c r="ANU45" s="244"/>
      <c r="ANV45" s="242"/>
      <c r="ANW45" s="242"/>
      <c r="ANX45" s="242"/>
      <c r="ANY45" s="242"/>
      <c r="ANZ45" s="242"/>
      <c r="AOA45" s="245"/>
      <c r="AOB45" s="242"/>
      <c r="AOC45" s="242"/>
      <c r="AOD45" s="242"/>
      <c r="AOE45" s="242"/>
      <c r="AOF45" s="242"/>
      <c r="AOG45" s="244"/>
      <c r="AOH45" s="242"/>
      <c r="AOI45" s="242"/>
      <c r="AOJ45" s="242"/>
      <c r="AOK45" s="242"/>
      <c r="AOL45" s="242"/>
      <c r="AOM45" s="245"/>
      <c r="AON45" s="242"/>
      <c r="AOO45" s="242"/>
      <c r="AOP45" s="242"/>
      <c r="AOQ45" s="242"/>
      <c r="AOR45" s="242"/>
      <c r="AOS45" s="246"/>
      <c r="AOT45" s="241"/>
      <c r="AOU45" s="242"/>
      <c r="AOV45" s="242"/>
      <c r="AOW45" s="242"/>
      <c r="AOX45" s="242"/>
      <c r="AOY45" s="243"/>
      <c r="AOZ45" s="242"/>
      <c r="APA45" s="242"/>
      <c r="APB45" s="242"/>
      <c r="APC45" s="242"/>
      <c r="APD45" s="242"/>
      <c r="APE45" s="244"/>
      <c r="APF45" s="242"/>
      <c r="APG45" s="242"/>
      <c r="APH45" s="242"/>
      <c r="API45" s="242"/>
      <c r="APJ45" s="242"/>
      <c r="APK45" s="245"/>
      <c r="APL45" s="242"/>
      <c r="APM45" s="242"/>
      <c r="APN45" s="242"/>
      <c r="APO45" s="242"/>
      <c r="APP45" s="242"/>
      <c r="APQ45" s="244"/>
      <c r="APR45" s="242"/>
      <c r="APS45" s="242"/>
      <c r="APT45" s="242"/>
      <c r="APU45" s="242"/>
      <c r="APV45" s="242"/>
      <c r="APW45" s="245"/>
      <c r="APX45" s="242"/>
      <c r="APY45" s="242"/>
      <c r="APZ45" s="242"/>
      <c r="AQA45" s="242"/>
      <c r="AQB45" s="242"/>
      <c r="AQC45" s="244"/>
      <c r="AQD45" s="242"/>
      <c r="AQE45" s="242"/>
      <c r="AQF45" s="242"/>
      <c r="AQG45" s="242"/>
      <c r="AQH45" s="242"/>
      <c r="AQI45" s="245"/>
      <c r="AQJ45" s="242"/>
      <c r="AQK45" s="242"/>
      <c r="AQL45" s="242"/>
      <c r="AQM45" s="242"/>
      <c r="AQN45" s="242"/>
      <c r="AQO45" s="244"/>
      <c r="AQP45" s="242"/>
      <c r="AQQ45" s="242"/>
      <c r="AQR45" s="242"/>
      <c r="AQS45" s="242"/>
      <c r="AQT45" s="242"/>
      <c r="AQU45" s="245"/>
      <c r="AQV45" s="242"/>
      <c r="AQW45" s="242"/>
      <c r="AQX45" s="242"/>
      <c r="AQY45" s="242"/>
      <c r="AQZ45" s="242"/>
      <c r="ARA45" s="246"/>
      <c r="ARB45" s="241"/>
      <c r="ARC45" s="242"/>
      <c r="ARD45" s="242"/>
      <c r="ARE45" s="242"/>
      <c r="ARF45" s="242"/>
      <c r="ARG45" s="243"/>
      <c r="ARH45" s="242"/>
      <c r="ARI45" s="242"/>
      <c r="ARJ45" s="242"/>
      <c r="ARK45" s="242"/>
      <c r="ARL45" s="242"/>
      <c r="ARM45" s="244"/>
      <c r="ARN45" s="242"/>
      <c r="ARO45" s="242"/>
      <c r="ARP45" s="242"/>
      <c r="ARQ45" s="242"/>
      <c r="ARR45" s="242"/>
      <c r="ARS45" s="245"/>
      <c r="ART45" s="242"/>
      <c r="ARU45" s="242"/>
      <c r="ARV45" s="242"/>
      <c r="ARW45" s="242"/>
      <c r="ARX45" s="242"/>
      <c r="ARY45" s="244"/>
      <c r="ARZ45" s="242"/>
      <c r="ASA45" s="242"/>
      <c r="ASB45" s="242"/>
      <c r="ASC45" s="242"/>
      <c r="ASD45" s="242"/>
      <c r="ASE45" s="245"/>
      <c r="ASF45" s="242"/>
      <c r="ASG45" s="242"/>
      <c r="ASH45" s="242"/>
      <c r="ASI45" s="242"/>
      <c r="ASJ45" s="242"/>
      <c r="ASK45" s="244"/>
      <c r="ASL45" s="242"/>
      <c r="ASM45" s="242"/>
      <c r="ASN45" s="242"/>
      <c r="ASO45" s="242"/>
      <c r="ASP45" s="242"/>
      <c r="ASQ45" s="245"/>
      <c r="ASR45" s="242"/>
      <c r="ASS45" s="242"/>
      <c r="AST45" s="242"/>
      <c r="ASU45" s="242"/>
      <c r="ASV45" s="242"/>
      <c r="ASW45" s="244"/>
      <c r="ASX45" s="242"/>
      <c r="ASY45" s="242"/>
      <c r="ASZ45" s="242"/>
      <c r="ATA45" s="242"/>
      <c r="ATB45" s="242"/>
      <c r="ATC45" s="245"/>
      <c r="ATD45" s="242"/>
      <c r="ATE45" s="242"/>
      <c r="ATF45" s="242"/>
      <c r="ATG45" s="242"/>
      <c r="ATH45" s="242"/>
      <c r="ATI45" s="246"/>
      <c r="ATJ45" s="241"/>
      <c r="ATK45" s="242"/>
      <c r="ATL45" s="242"/>
      <c r="ATM45" s="242"/>
      <c r="ATN45" s="242"/>
      <c r="ATO45" s="243"/>
      <c r="ATP45" s="242"/>
      <c r="ATQ45" s="242"/>
      <c r="ATR45" s="242"/>
      <c r="ATS45" s="242"/>
      <c r="ATT45" s="242"/>
      <c r="ATU45" s="244"/>
      <c r="ATV45" s="242"/>
      <c r="ATW45" s="242"/>
      <c r="ATX45" s="242"/>
      <c r="ATY45" s="242"/>
      <c r="ATZ45" s="242"/>
      <c r="AUA45" s="245"/>
      <c r="AUB45" s="242"/>
      <c r="AUC45" s="242"/>
      <c r="AUD45" s="242"/>
      <c r="AUE45" s="242"/>
      <c r="AUF45" s="242"/>
      <c r="AUG45" s="244"/>
      <c r="AUH45" s="242"/>
      <c r="AUI45" s="242"/>
      <c r="AUJ45" s="242"/>
      <c r="AUK45" s="242"/>
      <c r="AUL45" s="242"/>
      <c r="AUM45" s="245"/>
      <c r="AUN45" s="242"/>
      <c r="AUO45" s="242"/>
      <c r="AUP45" s="242"/>
      <c r="AUQ45" s="242"/>
      <c r="AUR45" s="242"/>
      <c r="AUS45" s="244"/>
      <c r="AUT45" s="242"/>
      <c r="AUU45" s="242"/>
      <c r="AUV45" s="242"/>
      <c r="AUW45" s="242"/>
      <c r="AUX45" s="242"/>
      <c r="AUY45" s="245"/>
      <c r="AUZ45" s="242"/>
      <c r="AVA45" s="242"/>
      <c r="AVB45" s="242"/>
      <c r="AVC45" s="242"/>
      <c r="AVD45" s="242"/>
      <c r="AVE45" s="244"/>
      <c r="AVF45" s="242"/>
      <c r="AVG45" s="242"/>
      <c r="AVH45" s="242"/>
      <c r="AVI45" s="242"/>
      <c r="AVJ45" s="242"/>
      <c r="AVK45" s="245"/>
      <c r="AVL45" s="242"/>
      <c r="AVM45" s="242"/>
      <c r="AVN45" s="242"/>
      <c r="AVO45" s="242"/>
      <c r="AVP45" s="242"/>
      <c r="AVQ45" s="246"/>
      <c r="AVR45" s="241"/>
      <c r="AVS45" s="242"/>
      <c r="AVT45" s="242"/>
      <c r="AVU45" s="242"/>
      <c r="AVV45" s="242"/>
      <c r="AVW45" s="243"/>
      <c r="AVX45" s="242"/>
      <c r="AVY45" s="242"/>
      <c r="AVZ45" s="242"/>
      <c r="AWA45" s="242"/>
      <c r="AWB45" s="242"/>
      <c r="AWC45" s="244"/>
      <c r="AWD45" s="242"/>
      <c r="AWE45" s="242"/>
      <c r="AWF45" s="242"/>
      <c r="AWG45" s="242"/>
      <c r="AWH45" s="242"/>
      <c r="AWI45" s="245"/>
      <c r="AWJ45" s="242"/>
      <c r="AWK45" s="242"/>
      <c r="AWL45" s="242"/>
      <c r="AWM45" s="242"/>
      <c r="AWN45" s="242"/>
      <c r="AWO45" s="244"/>
      <c r="AWP45" s="242"/>
      <c r="AWQ45" s="242"/>
      <c r="AWR45" s="242"/>
      <c r="AWS45" s="242"/>
      <c r="AWT45" s="242"/>
      <c r="AWU45" s="245"/>
      <c r="AWV45" s="242"/>
      <c r="AWW45" s="242"/>
      <c r="AWX45" s="242"/>
      <c r="AWY45" s="242"/>
      <c r="AWZ45" s="242"/>
      <c r="AXA45" s="244"/>
      <c r="AXB45" s="242"/>
      <c r="AXC45" s="242"/>
      <c r="AXD45" s="242"/>
      <c r="AXE45" s="242"/>
      <c r="AXF45" s="242"/>
      <c r="AXG45" s="245"/>
      <c r="AXH45" s="242"/>
      <c r="AXI45" s="242"/>
      <c r="AXJ45" s="242"/>
      <c r="AXK45" s="242"/>
      <c r="AXL45" s="242"/>
      <c r="AXM45" s="244"/>
      <c r="AXN45" s="242"/>
      <c r="AXO45" s="242"/>
      <c r="AXP45" s="242"/>
      <c r="AXQ45" s="242"/>
      <c r="AXR45" s="242"/>
      <c r="AXS45" s="245"/>
      <c r="AXT45" s="242"/>
      <c r="AXU45" s="242"/>
      <c r="AXV45" s="242"/>
      <c r="AXW45" s="242"/>
      <c r="AXX45" s="242"/>
      <c r="AXY45" s="246"/>
      <c r="AXZ45" s="241"/>
      <c r="AYA45" s="242"/>
      <c r="AYB45" s="242"/>
      <c r="AYC45" s="242"/>
      <c r="AYD45" s="242"/>
      <c r="AYE45" s="243"/>
      <c r="AYF45" s="242"/>
      <c r="AYG45" s="242"/>
      <c r="AYH45" s="242"/>
      <c r="AYI45" s="242"/>
      <c r="AYJ45" s="242"/>
      <c r="AYK45" s="244"/>
      <c r="AYL45" s="242"/>
      <c r="AYM45" s="242"/>
      <c r="AYN45" s="242"/>
      <c r="AYO45" s="242"/>
      <c r="AYP45" s="242"/>
      <c r="AYQ45" s="245"/>
      <c r="AYR45" s="242"/>
      <c r="AYS45" s="242"/>
      <c r="AYT45" s="242"/>
      <c r="AYU45" s="242"/>
      <c r="AYV45" s="242"/>
      <c r="AYW45" s="244"/>
      <c r="AYX45" s="242"/>
      <c r="AYY45" s="242"/>
      <c r="AYZ45" s="242"/>
      <c r="AZA45" s="242"/>
      <c r="AZB45" s="242"/>
      <c r="AZC45" s="245"/>
      <c r="AZD45" s="242"/>
      <c r="AZE45" s="242"/>
      <c r="AZF45" s="242"/>
      <c r="AZG45" s="242"/>
      <c r="AZH45" s="242"/>
      <c r="AZI45" s="244"/>
      <c r="AZJ45" s="242"/>
      <c r="AZK45" s="242"/>
      <c r="AZL45" s="242"/>
      <c r="AZM45" s="242"/>
      <c r="AZN45" s="242"/>
      <c r="AZO45" s="245"/>
      <c r="AZP45" s="242"/>
      <c r="AZQ45" s="242"/>
      <c r="AZR45" s="242"/>
      <c r="AZS45" s="242"/>
      <c r="AZT45" s="242"/>
      <c r="AZU45" s="244"/>
      <c r="AZV45" s="242"/>
      <c r="AZW45" s="242"/>
      <c r="AZX45" s="242"/>
      <c r="AZY45" s="242"/>
      <c r="AZZ45" s="242"/>
      <c r="BAA45" s="245"/>
      <c r="BAB45" s="242"/>
      <c r="BAC45" s="242"/>
      <c r="BAD45" s="242"/>
      <c r="BAE45" s="242"/>
      <c r="BAF45" s="242"/>
      <c r="BAG45" s="246"/>
      <c r="BAH45" s="241"/>
      <c r="BAI45" s="242"/>
      <c r="BAJ45" s="242"/>
      <c r="BAK45" s="242"/>
      <c r="BAL45" s="242"/>
      <c r="BAM45" s="243"/>
      <c r="BAN45" s="242"/>
      <c r="BAO45" s="242"/>
      <c r="BAP45" s="242"/>
      <c r="BAQ45" s="242"/>
      <c r="BAR45" s="242"/>
      <c r="BAS45" s="244"/>
      <c r="BAT45" s="242"/>
      <c r="BAU45" s="242"/>
      <c r="BAV45" s="242"/>
      <c r="BAW45" s="242"/>
      <c r="BAX45" s="242"/>
      <c r="BAY45" s="245"/>
      <c r="BAZ45" s="242"/>
      <c r="BBA45" s="242"/>
      <c r="BBB45" s="242"/>
      <c r="BBC45" s="242"/>
      <c r="BBD45" s="242"/>
      <c r="BBE45" s="244"/>
      <c r="BBF45" s="242"/>
      <c r="BBG45" s="242"/>
      <c r="BBH45" s="242"/>
      <c r="BBI45" s="242"/>
      <c r="BBJ45" s="242"/>
      <c r="BBK45" s="245"/>
      <c r="BBL45" s="242"/>
      <c r="BBM45" s="242"/>
      <c r="BBN45" s="242"/>
      <c r="BBO45" s="242"/>
      <c r="BBP45" s="242"/>
      <c r="BBQ45" s="244"/>
      <c r="BBR45" s="242"/>
      <c r="BBS45" s="242"/>
      <c r="BBT45" s="242"/>
      <c r="BBU45" s="242"/>
      <c r="BBV45" s="242"/>
      <c r="BBW45" s="245"/>
      <c r="BBX45" s="242"/>
      <c r="BBY45" s="242"/>
      <c r="BBZ45" s="242"/>
      <c r="BCA45" s="242"/>
      <c r="BCB45" s="242"/>
      <c r="BCC45" s="244"/>
      <c r="BCD45" s="242"/>
      <c r="BCE45" s="242"/>
      <c r="BCF45" s="242"/>
      <c r="BCG45" s="242"/>
      <c r="BCH45" s="242"/>
      <c r="BCI45" s="245"/>
      <c r="BCJ45" s="242"/>
      <c r="BCK45" s="242"/>
      <c r="BCL45" s="242"/>
      <c r="BCM45" s="242"/>
      <c r="BCN45" s="242"/>
      <c r="BCO45" s="246"/>
      <c r="BCP45" s="241"/>
      <c r="BCQ45" s="242"/>
      <c r="BCR45" s="242"/>
      <c r="BCS45" s="242"/>
      <c r="BCT45" s="242"/>
      <c r="BCU45" s="243"/>
      <c r="BCV45" s="242"/>
      <c r="BCW45" s="242"/>
      <c r="BCX45" s="242"/>
      <c r="BCY45" s="242"/>
      <c r="BCZ45" s="242"/>
      <c r="BDA45" s="244"/>
      <c r="BDB45" s="242"/>
      <c r="BDC45" s="242"/>
      <c r="BDD45" s="242"/>
      <c r="BDE45" s="242"/>
      <c r="BDF45" s="242"/>
      <c r="BDG45" s="245"/>
      <c r="BDH45" s="242"/>
      <c r="BDI45" s="242"/>
      <c r="BDJ45" s="242"/>
      <c r="BDK45" s="242"/>
      <c r="BDL45" s="242"/>
      <c r="BDM45" s="244"/>
      <c r="BDN45" s="242"/>
      <c r="BDO45" s="242"/>
      <c r="BDP45" s="242"/>
      <c r="BDQ45" s="242"/>
      <c r="BDR45" s="242"/>
      <c r="BDS45" s="245"/>
      <c r="BDT45" s="242"/>
      <c r="BDU45" s="242"/>
      <c r="BDV45" s="242"/>
      <c r="BDW45" s="242"/>
      <c r="BDX45" s="242"/>
      <c r="BDY45" s="244"/>
      <c r="BDZ45" s="242"/>
      <c r="BEA45" s="242"/>
      <c r="BEB45" s="242"/>
      <c r="BEC45" s="242"/>
      <c r="BED45" s="242"/>
      <c r="BEE45" s="245"/>
      <c r="BEF45" s="242"/>
      <c r="BEG45" s="242"/>
      <c r="BEH45" s="242"/>
      <c r="BEI45" s="242"/>
      <c r="BEJ45" s="242"/>
      <c r="BEK45" s="244"/>
      <c r="BEL45" s="242"/>
      <c r="BEM45" s="242"/>
      <c r="BEN45" s="242"/>
      <c r="BEO45" s="242"/>
      <c r="BEP45" s="242"/>
      <c r="BEQ45" s="245"/>
      <c r="BER45" s="242"/>
      <c r="BES45" s="242"/>
      <c r="BET45" s="242"/>
      <c r="BEU45" s="242"/>
      <c r="BEV45" s="242"/>
      <c r="BEW45" s="246"/>
      <c r="BEX45" s="241"/>
      <c r="BEY45" s="242"/>
      <c r="BEZ45" s="242"/>
      <c r="BFA45" s="242"/>
      <c r="BFB45" s="242"/>
      <c r="BFC45" s="243"/>
      <c r="BFD45" s="242"/>
      <c r="BFE45" s="242"/>
      <c r="BFF45" s="242"/>
      <c r="BFG45" s="242"/>
      <c r="BFH45" s="242"/>
      <c r="BFI45" s="244"/>
      <c r="BFJ45" s="242"/>
      <c r="BFK45" s="242"/>
      <c r="BFL45" s="242"/>
      <c r="BFM45" s="242"/>
      <c r="BFN45" s="242"/>
      <c r="BFO45" s="245"/>
      <c r="BFP45" s="242"/>
      <c r="BFQ45" s="242"/>
      <c r="BFR45" s="242"/>
      <c r="BFS45" s="242"/>
      <c r="BFT45" s="242"/>
      <c r="BFU45" s="244"/>
      <c r="BFV45" s="242"/>
      <c r="BFW45" s="242"/>
      <c r="BFX45" s="242"/>
      <c r="BFY45" s="242"/>
      <c r="BFZ45" s="242"/>
      <c r="BGA45" s="245"/>
      <c r="BGB45" s="242"/>
      <c r="BGC45" s="242"/>
      <c r="BGD45" s="242"/>
      <c r="BGE45" s="242"/>
      <c r="BGF45" s="242"/>
      <c r="BGG45" s="244"/>
      <c r="BGH45" s="242"/>
      <c r="BGI45" s="242"/>
      <c r="BGJ45" s="242"/>
      <c r="BGK45" s="242"/>
      <c r="BGL45" s="242"/>
      <c r="BGM45" s="245"/>
      <c r="BGN45" s="242"/>
      <c r="BGO45" s="242"/>
      <c r="BGP45" s="242"/>
      <c r="BGQ45" s="242"/>
      <c r="BGR45" s="242"/>
      <c r="BGS45" s="244"/>
      <c r="BGT45" s="242"/>
      <c r="BGU45" s="242"/>
      <c r="BGV45" s="242"/>
      <c r="BGW45" s="242"/>
      <c r="BGX45" s="242"/>
      <c r="BGY45" s="245"/>
      <c r="BGZ45" s="242"/>
      <c r="BHA45" s="242"/>
      <c r="BHB45" s="242"/>
      <c r="BHC45" s="242"/>
      <c r="BHD45" s="242"/>
      <c r="BHE45" s="246"/>
      <c r="BHF45" s="241"/>
      <c r="BHG45" s="242"/>
      <c r="BHH45" s="242"/>
      <c r="BHI45" s="242"/>
      <c r="BHJ45" s="242"/>
      <c r="BHK45" s="243"/>
      <c r="BHL45" s="242"/>
      <c r="BHM45" s="242"/>
      <c r="BHN45" s="242"/>
      <c r="BHO45" s="242"/>
      <c r="BHP45" s="242"/>
      <c r="BHQ45" s="244"/>
      <c r="BHR45" s="242"/>
      <c r="BHS45" s="242"/>
      <c r="BHT45" s="242"/>
      <c r="BHU45" s="242"/>
      <c r="BHV45" s="242"/>
      <c r="BHW45" s="245"/>
      <c r="BHX45" s="242"/>
      <c r="BHY45" s="242"/>
      <c r="BHZ45" s="242"/>
      <c r="BIA45" s="242"/>
      <c r="BIB45" s="242"/>
      <c r="BIC45" s="244"/>
      <c r="BID45" s="242"/>
      <c r="BIE45" s="242"/>
      <c r="BIF45" s="242"/>
      <c r="BIG45" s="242"/>
      <c r="BIH45" s="242"/>
      <c r="BII45" s="245"/>
      <c r="BIJ45" s="242"/>
      <c r="BIK45" s="242"/>
      <c r="BIL45" s="242"/>
      <c r="BIM45" s="242"/>
      <c r="BIN45" s="242"/>
      <c r="BIO45" s="244"/>
      <c r="BIP45" s="242"/>
      <c r="BIQ45" s="242"/>
      <c r="BIR45" s="242"/>
      <c r="BIS45" s="242"/>
      <c r="BIT45" s="242"/>
      <c r="BIU45" s="245"/>
      <c r="BIV45" s="242"/>
      <c r="BIW45" s="242"/>
      <c r="BIX45" s="242"/>
      <c r="BIY45" s="242"/>
      <c r="BIZ45" s="242"/>
      <c r="BJA45" s="244"/>
      <c r="BJB45" s="242"/>
      <c r="BJC45" s="242"/>
      <c r="BJD45" s="242"/>
      <c r="BJE45" s="242"/>
      <c r="BJF45" s="242"/>
      <c r="BJG45" s="245"/>
      <c r="BJH45" s="242"/>
      <c r="BJI45" s="242"/>
      <c r="BJJ45" s="242"/>
      <c r="BJK45" s="242"/>
      <c r="BJL45" s="242"/>
      <c r="BJM45" s="246"/>
      <c r="BJN45" s="233"/>
      <c r="BJO45" s="234"/>
      <c r="BJP45" s="234"/>
      <c r="BJQ45" s="234"/>
      <c r="BJR45" s="234"/>
      <c r="BJS45" s="234"/>
      <c r="BJT45" s="234"/>
      <c r="BJU45" s="234"/>
      <c r="BJV45" s="234"/>
      <c r="BJW45" s="234"/>
      <c r="BJX45" s="234"/>
      <c r="BJY45" s="234"/>
      <c r="BJZ45" s="234"/>
      <c r="BKA45" s="234"/>
      <c r="BKB45" s="234"/>
      <c r="BKC45" s="234"/>
      <c r="BKD45" s="234"/>
      <c r="BKE45" s="234"/>
      <c r="BKF45" s="234"/>
      <c r="BKG45" s="234"/>
      <c r="BKH45" s="234"/>
      <c r="BKI45" s="234"/>
      <c r="BKJ45" s="234"/>
      <c r="BKK45" s="234"/>
      <c r="BKL45" s="234"/>
      <c r="BKM45" s="234"/>
      <c r="BKN45" s="234"/>
    </row>
    <row r="46" spans="1:1652" ht="20.100000000000001" customHeight="1" x14ac:dyDescent="0.25">
      <c r="A46" s="84" t="s">
        <v>20</v>
      </c>
      <c r="B46" s="53" t="str">
        <f>IF(LEN(C77)=0,"",C77)</f>
        <v/>
      </c>
      <c r="C46" s="178"/>
      <c r="D46" s="130" t="str">
        <f t="shared" si="0"/>
        <v>1h55min</v>
      </c>
      <c r="E46" s="30">
        <v>23</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166"/>
      <c r="MM46" s="166"/>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165"/>
      <c r="PK46" s="166"/>
      <c r="PL46" s="166"/>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165"/>
      <c r="WI46" s="166"/>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166"/>
      <c r="ABG46" s="166"/>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165"/>
      <c r="AKE46" s="166"/>
      <c r="AKF46" s="166"/>
      <c r="AKG46" s="166"/>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165"/>
      <c r="AMM46" s="166"/>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166"/>
      <c r="APA46" s="166"/>
      <c r="APB46" s="166"/>
      <c r="APC46" s="166"/>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165"/>
      <c r="BAI46" s="166"/>
      <c r="BAJ46" s="166"/>
      <c r="BAK46" s="166"/>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174"/>
      <c r="BJO46" s="4"/>
      <c r="BJP46" s="4"/>
      <c r="BJQ46" s="4"/>
      <c r="BJR46" s="4"/>
      <c r="BJS46" s="4"/>
      <c r="BJT46" s="4"/>
      <c r="BJU46" s="4"/>
      <c r="BJV46" s="4"/>
      <c r="BJW46" s="4"/>
      <c r="BJX46" s="4"/>
      <c r="BJY46" s="4"/>
      <c r="BJZ46" s="4"/>
      <c r="BKA46" s="4"/>
      <c r="BKB46" s="4"/>
      <c r="BKC46" s="4"/>
      <c r="BKD46" s="4"/>
      <c r="BKE46" s="4"/>
      <c r="BKF46" s="4"/>
      <c r="BKG46" s="4"/>
      <c r="BKH46" s="4"/>
      <c r="BKI46" s="4"/>
      <c r="BKJ46" s="4"/>
      <c r="BKK46" s="4"/>
      <c r="BKL46" s="4"/>
      <c r="BKM46" s="4"/>
      <c r="BKN46" s="4"/>
    </row>
    <row r="47" spans="1:1652" ht="20.100000000000001" customHeight="1" x14ac:dyDescent="0.25">
      <c r="A47" s="84" t="s">
        <v>19</v>
      </c>
      <c r="B47" s="53" t="str">
        <f>IF(LEN(C79)=0,"",C79)</f>
        <v/>
      </c>
      <c r="C47" s="177" t="s">
        <v>93</v>
      </c>
      <c r="D47" s="129" t="str">
        <f t="shared" si="0"/>
        <v>0h40min</v>
      </c>
      <c r="E47" s="34">
        <v>8</v>
      </c>
      <c r="F47" s="241"/>
      <c r="G47" s="242"/>
      <c r="H47" s="242"/>
      <c r="I47" s="242"/>
      <c r="J47" s="242"/>
      <c r="K47" s="243"/>
      <c r="L47" s="242"/>
      <c r="M47" s="242"/>
      <c r="N47" s="242"/>
      <c r="O47" s="242"/>
      <c r="P47" s="242"/>
      <c r="Q47" s="244"/>
      <c r="R47" s="242"/>
      <c r="S47" s="242"/>
      <c r="T47" s="242"/>
      <c r="U47" s="242"/>
      <c r="V47" s="242"/>
      <c r="W47" s="245"/>
      <c r="X47" s="242"/>
      <c r="Y47" s="242"/>
      <c r="Z47" s="242"/>
      <c r="AA47" s="242"/>
      <c r="AB47" s="242"/>
      <c r="AC47" s="244"/>
      <c r="AD47" s="242"/>
      <c r="AE47" s="242"/>
      <c r="AF47" s="242"/>
      <c r="AG47" s="242"/>
      <c r="AH47" s="242"/>
      <c r="AI47" s="245"/>
      <c r="AJ47" s="242"/>
      <c r="AK47" s="242"/>
      <c r="AL47" s="242"/>
      <c r="AM47" s="242"/>
      <c r="AN47" s="242"/>
      <c r="AO47" s="244"/>
      <c r="AP47" s="242"/>
      <c r="AQ47" s="242"/>
      <c r="AR47" s="242"/>
      <c r="AS47" s="242"/>
      <c r="AT47" s="242"/>
      <c r="AU47" s="245"/>
      <c r="AV47" s="242"/>
      <c r="AW47" s="242"/>
      <c r="AX47" s="242"/>
      <c r="AY47" s="242"/>
      <c r="AZ47" s="242"/>
      <c r="BA47" s="244"/>
      <c r="BB47" s="242"/>
      <c r="BC47" s="242"/>
      <c r="BD47" s="242"/>
      <c r="BE47" s="242"/>
      <c r="BF47" s="242"/>
      <c r="BG47" s="245"/>
      <c r="BH47" s="242"/>
      <c r="BI47" s="242"/>
      <c r="BJ47" s="242"/>
      <c r="BK47" s="242"/>
      <c r="BL47" s="242"/>
      <c r="BM47" s="246"/>
      <c r="BN47" s="241"/>
      <c r="BO47" s="242"/>
      <c r="BP47" s="242"/>
      <c r="BQ47" s="242"/>
      <c r="BR47" s="242"/>
      <c r="BS47" s="243"/>
      <c r="BT47" s="242"/>
      <c r="BU47" s="242"/>
      <c r="BV47" s="242"/>
      <c r="BW47" s="242"/>
      <c r="BX47" s="242"/>
      <c r="BY47" s="244"/>
      <c r="BZ47" s="242"/>
      <c r="CA47" s="242"/>
      <c r="CB47" s="242"/>
      <c r="CC47" s="242"/>
      <c r="CD47" s="242"/>
      <c r="CE47" s="245"/>
      <c r="CF47" s="242"/>
      <c r="CG47" s="242"/>
      <c r="CH47" s="242"/>
      <c r="CI47" s="242"/>
      <c r="CJ47" s="242"/>
      <c r="CK47" s="244"/>
      <c r="CL47" s="242"/>
      <c r="CM47" s="242"/>
      <c r="CN47" s="242"/>
      <c r="CO47" s="242"/>
      <c r="CP47" s="242"/>
      <c r="CQ47" s="245"/>
      <c r="CR47" s="242"/>
      <c r="CS47" s="242"/>
      <c r="CT47" s="242"/>
      <c r="CU47" s="242"/>
      <c r="CV47" s="242"/>
      <c r="CW47" s="244"/>
      <c r="CX47" s="242"/>
      <c r="CY47" s="242"/>
      <c r="CZ47" s="242"/>
      <c r="DA47" s="242"/>
      <c r="DB47" s="242"/>
      <c r="DC47" s="245"/>
      <c r="DD47" s="242"/>
      <c r="DE47" s="242"/>
      <c r="DF47" s="242"/>
      <c r="DG47" s="242"/>
      <c r="DH47" s="242"/>
      <c r="DI47" s="244"/>
      <c r="DJ47" s="242"/>
      <c r="DK47" s="242"/>
      <c r="DL47" s="242"/>
      <c r="DM47" s="242"/>
      <c r="DN47" s="242"/>
      <c r="DO47" s="245"/>
      <c r="DP47" s="242"/>
      <c r="DQ47" s="242"/>
      <c r="DR47" s="242"/>
      <c r="DS47" s="242"/>
      <c r="DT47" s="242"/>
      <c r="DU47" s="246"/>
      <c r="DV47" s="241"/>
      <c r="DW47" s="242"/>
      <c r="DX47" s="242"/>
      <c r="DY47" s="242"/>
      <c r="DZ47" s="242"/>
      <c r="EA47" s="243"/>
      <c r="EB47" s="242"/>
      <c r="EC47" s="242"/>
      <c r="ED47" s="242"/>
      <c r="EE47" s="242"/>
      <c r="EF47" s="242"/>
      <c r="EG47" s="244"/>
      <c r="EH47" s="242"/>
      <c r="EI47" s="242"/>
      <c r="EJ47" s="242"/>
      <c r="EK47" s="242"/>
      <c r="EL47" s="242"/>
      <c r="EM47" s="245"/>
      <c r="EN47" s="242"/>
      <c r="EO47" s="242"/>
      <c r="EP47" s="242"/>
      <c r="EQ47" s="242"/>
      <c r="ER47" s="242"/>
      <c r="ES47" s="244"/>
      <c r="ET47" s="242"/>
      <c r="EU47" s="242"/>
      <c r="EV47" s="242"/>
      <c r="EW47" s="242"/>
      <c r="EX47" s="242"/>
      <c r="EY47" s="245"/>
      <c r="EZ47" s="242"/>
      <c r="FA47" s="242"/>
      <c r="FB47" s="242"/>
      <c r="FC47" s="242"/>
      <c r="FD47" s="242"/>
      <c r="FE47" s="244"/>
      <c r="FF47" s="242"/>
      <c r="FG47" s="242"/>
      <c r="FH47" s="242"/>
      <c r="FI47" s="242"/>
      <c r="FJ47" s="242"/>
      <c r="FK47" s="245"/>
      <c r="FL47" s="242"/>
      <c r="FM47" s="242"/>
      <c r="FN47" s="242"/>
      <c r="FO47" s="242"/>
      <c r="FP47" s="242"/>
      <c r="FQ47" s="244"/>
      <c r="FR47" s="242"/>
      <c r="FS47" s="242"/>
      <c r="FT47" s="242"/>
      <c r="FU47" s="242"/>
      <c r="FV47" s="242"/>
      <c r="FW47" s="245"/>
      <c r="FX47" s="242"/>
      <c r="FY47" s="242"/>
      <c r="FZ47" s="242"/>
      <c r="GA47" s="242"/>
      <c r="GB47" s="242"/>
      <c r="GC47" s="246"/>
      <c r="GD47" s="241"/>
      <c r="GE47" s="242"/>
      <c r="GF47" s="242"/>
      <c r="GG47" s="242"/>
      <c r="GH47" s="242"/>
      <c r="GI47" s="243"/>
      <c r="GJ47" s="242"/>
      <c r="GK47" s="242"/>
      <c r="GL47" s="242"/>
      <c r="GM47" s="242"/>
      <c r="GN47" s="242"/>
      <c r="GO47" s="244"/>
      <c r="GP47" s="242"/>
      <c r="GQ47" s="242"/>
      <c r="GR47" s="242"/>
      <c r="GS47" s="242"/>
      <c r="GT47" s="242"/>
      <c r="GU47" s="245"/>
      <c r="GV47" s="242"/>
      <c r="GW47" s="242"/>
      <c r="GX47" s="242"/>
      <c r="GY47" s="242"/>
      <c r="GZ47" s="242"/>
      <c r="HA47" s="244"/>
      <c r="HB47" s="242"/>
      <c r="HC47" s="242"/>
      <c r="HD47" s="242"/>
      <c r="HE47" s="242"/>
      <c r="HF47" s="242"/>
      <c r="HG47" s="245"/>
      <c r="HH47" s="242"/>
      <c r="HI47" s="242"/>
      <c r="HJ47" s="242"/>
      <c r="HK47" s="242"/>
      <c r="HL47" s="242"/>
      <c r="HM47" s="244"/>
      <c r="HN47" s="242"/>
      <c r="HO47" s="242"/>
      <c r="HP47" s="242"/>
      <c r="HQ47" s="242"/>
      <c r="HR47" s="242"/>
      <c r="HS47" s="245"/>
      <c r="HT47" s="242"/>
      <c r="HU47" s="242"/>
      <c r="HV47" s="242"/>
      <c r="HW47" s="242"/>
      <c r="HX47" s="242"/>
      <c r="HY47" s="244"/>
      <c r="HZ47" s="242"/>
      <c r="IA47" s="242"/>
      <c r="IB47" s="242"/>
      <c r="IC47" s="242"/>
      <c r="ID47" s="242"/>
      <c r="IE47" s="245"/>
      <c r="IF47" s="242"/>
      <c r="IG47" s="242"/>
      <c r="IH47" s="242"/>
      <c r="II47" s="242"/>
      <c r="IJ47" s="242"/>
      <c r="IK47" s="246"/>
      <c r="IL47" s="241"/>
      <c r="IM47" s="242"/>
      <c r="IN47" s="242"/>
      <c r="IO47" s="242"/>
      <c r="IP47" s="242"/>
      <c r="IQ47" s="243"/>
      <c r="IR47" s="242"/>
      <c r="IS47" s="242"/>
      <c r="IT47" s="242"/>
      <c r="IU47" s="242"/>
      <c r="IV47" s="242"/>
      <c r="IW47" s="244"/>
      <c r="IX47" s="242"/>
      <c r="IY47" s="242"/>
      <c r="IZ47" s="242"/>
      <c r="JA47" s="242"/>
      <c r="JB47" s="242"/>
      <c r="JC47" s="245"/>
      <c r="JD47" s="242"/>
      <c r="JE47" s="242"/>
      <c r="JF47" s="242"/>
      <c r="JG47" s="242"/>
      <c r="JH47" s="242"/>
      <c r="JI47" s="244"/>
      <c r="JJ47" s="242"/>
      <c r="JK47" s="242"/>
      <c r="JL47" s="242"/>
      <c r="JM47" s="242"/>
      <c r="JN47" s="242"/>
      <c r="JO47" s="245"/>
      <c r="JP47" s="242"/>
      <c r="JQ47" s="242"/>
      <c r="JR47" s="242"/>
      <c r="JS47" s="242"/>
      <c r="JT47" s="242"/>
      <c r="JU47" s="244"/>
      <c r="JV47" s="242"/>
      <c r="JW47" s="242"/>
      <c r="JX47" s="242"/>
      <c r="JY47" s="242"/>
      <c r="JZ47" s="242"/>
      <c r="KA47" s="245"/>
      <c r="KB47" s="242"/>
      <c r="KC47" s="242"/>
      <c r="KD47" s="242"/>
      <c r="KE47" s="242"/>
      <c r="KF47" s="242"/>
      <c r="KG47" s="244"/>
      <c r="KH47" s="242"/>
      <c r="KI47" s="242"/>
      <c r="KJ47" s="242"/>
      <c r="KK47" s="242"/>
      <c r="KL47" s="242"/>
      <c r="KM47" s="245"/>
      <c r="KN47" s="242"/>
      <c r="KO47" s="242"/>
      <c r="KP47" s="242"/>
      <c r="KQ47" s="242"/>
      <c r="KR47" s="242"/>
      <c r="KS47" s="246"/>
      <c r="KT47" s="241"/>
      <c r="KU47" s="242"/>
      <c r="KV47" s="242"/>
      <c r="KW47" s="242"/>
      <c r="KX47" s="242"/>
      <c r="KY47" s="243"/>
      <c r="KZ47" s="242"/>
      <c r="LA47" s="242"/>
      <c r="LB47" s="242"/>
      <c r="LC47" s="242"/>
      <c r="LD47" s="242"/>
      <c r="LE47" s="244"/>
      <c r="LF47" s="242"/>
      <c r="LG47" s="242"/>
      <c r="LH47" s="242"/>
      <c r="LI47" s="242"/>
      <c r="LJ47" s="153"/>
      <c r="LK47" s="156"/>
      <c r="LL47" s="153"/>
      <c r="LM47" s="153"/>
      <c r="LN47" s="153"/>
      <c r="LO47" s="153"/>
      <c r="LP47" s="153"/>
      <c r="LQ47" s="154"/>
      <c r="LR47" s="242"/>
      <c r="LS47" s="242"/>
      <c r="LT47" s="242"/>
      <c r="LU47" s="242"/>
      <c r="LV47" s="242"/>
      <c r="LW47" s="245"/>
      <c r="LX47" s="242"/>
      <c r="LY47" s="242"/>
      <c r="LZ47" s="242"/>
      <c r="MA47" s="242"/>
      <c r="MB47" s="242"/>
      <c r="MC47" s="244"/>
      <c r="MD47" s="242"/>
      <c r="ME47" s="242"/>
      <c r="MF47" s="242"/>
      <c r="MG47" s="242"/>
      <c r="MH47" s="242"/>
      <c r="MI47" s="245"/>
      <c r="MJ47" s="242"/>
      <c r="MK47" s="242"/>
      <c r="ML47" s="242"/>
      <c r="MM47" s="242"/>
      <c r="MN47" s="242"/>
      <c r="MO47" s="244"/>
      <c r="MP47" s="242"/>
      <c r="MQ47" s="242"/>
      <c r="MR47" s="242"/>
      <c r="MS47" s="242"/>
      <c r="MT47" s="242"/>
      <c r="MU47" s="245"/>
      <c r="MV47" s="242"/>
      <c r="MW47" s="242"/>
      <c r="MX47" s="242"/>
      <c r="MY47" s="242"/>
      <c r="MZ47" s="242"/>
      <c r="NA47" s="246"/>
      <c r="NB47" s="241"/>
      <c r="NC47" s="242"/>
      <c r="ND47" s="242"/>
      <c r="NE47" s="242"/>
      <c r="NF47" s="242"/>
      <c r="NG47" s="243"/>
      <c r="NH47" s="242"/>
      <c r="NI47" s="242"/>
      <c r="NJ47" s="242"/>
      <c r="NK47" s="242"/>
      <c r="NL47" s="242"/>
      <c r="NM47" s="244"/>
      <c r="NN47" s="242"/>
      <c r="NO47" s="242"/>
      <c r="NP47" s="242"/>
      <c r="NQ47" s="242"/>
      <c r="NR47" s="242"/>
      <c r="NS47" s="245"/>
      <c r="NT47" s="242"/>
      <c r="NU47" s="242"/>
      <c r="NV47" s="242"/>
      <c r="NW47" s="242"/>
      <c r="NX47" s="242"/>
      <c r="NY47" s="244"/>
      <c r="NZ47" s="242"/>
      <c r="OA47" s="242"/>
      <c r="OB47" s="242"/>
      <c r="OC47" s="242"/>
      <c r="OD47" s="242"/>
      <c r="OE47" s="245"/>
      <c r="OF47" s="242"/>
      <c r="OG47" s="242"/>
      <c r="OH47" s="242"/>
      <c r="OI47" s="242"/>
      <c r="OJ47" s="242"/>
      <c r="OK47" s="244"/>
      <c r="OL47" s="242"/>
      <c r="OM47" s="242"/>
      <c r="ON47" s="242"/>
      <c r="OO47" s="242"/>
      <c r="OP47" s="242"/>
      <c r="OQ47" s="245"/>
      <c r="OR47" s="242"/>
      <c r="OS47" s="242"/>
      <c r="OT47" s="242"/>
      <c r="OU47" s="242"/>
      <c r="OV47" s="242"/>
      <c r="OW47" s="244"/>
      <c r="OX47" s="242"/>
      <c r="OY47" s="242"/>
      <c r="OZ47" s="242"/>
      <c r="PA47" s="242"/>
      <c r="PB47" s="242"/>
      <c r="PC47" s="245"/>
      <c r="PD47" s="242"/>
      <c r="PE47" s="242"/>
      <c r="PF47" s="242"/>
      <c r="PG47" s="242"/>
      <c r="PH47" s="242"/>
      <c r="PI47" s="246"/>
      <c r="PJ47" s="241"/>
      <c r="PK47" s="242"/>
      <c r="PL47" s="242"/>
      <c r="PM47" s="242"/>
      <c r="PN47" s="242"/>
      <c r="PO47" s="243"/>
      <c r="PP47" s="242"/>
      <c r="PQ47" s="242"/>
      <c r="PR47" s="242"/>
      <c r="PS47" s="242"/>
      <c r="PT47" s="242"/>
      <c r="PU47" s="244"/>
      <c r="PV47" s="242"/>
      <c r="PW47" s="242"/>
      <c r="PX47" s="242"/>
      <c r="PY47" s="242"/>
      <c r="PZ47" s="242"/>
      <c r="QA47" s="245"/>
      <c r="QB47" s="242"/>
      <c r="QC47" s="242"/>
      <c r="QD47" s="242"/>
      <c r="QE47" s="242"/>
      <c r="QF47" s="242"/>
      <c r="QG47" s="244"/>
      <c r="QH47" s="242"/>
      <c r="QI47" s="242"/>
      <c r="QJ47" s="242"/>
      <c r="QK47" s="242"/>
      <c r="QL47" s="242"/>
      <c r="QM47" s="245"/>
      <c r="QN47" s="242"/>
      <c r="QO47" s="242"/>
      <c r="QP47" s="242"/>
      <c r="QQ47" s="242"/>
      <c r="QR47" s="242"/>
      <c r="QS47" s="244"/>
      <c r="QT47" s="242"/>
      <c r="QU47" s="242"/>
      <c r="QV47" s="242"/>
      <c r="QW47" s="242"/>
      <c r="QX47" s="242"/>
      <c r="QY47" s="245"/>
      <c r="QZ47" s="242"/>
      <c r="RA47" s="242"/>
      <c r="RB47" s="242"/>
      <c r="RC47" s="242"/>
      <c r="RD47" s="242"/>
      <c r="RE47" s="244"/>
      <c r="RF47" s="242"/>
      <c r="RG47" s="242"/>
      <c r="RH47" s="242"/>
      <c r="RI47" s="242"/>
      <c r="RJ47" s="242"/>
      <c r="RK47" s="245"/>
      <c r="RL47" s="242"/>
      <c r="RM47" s="242"/>
      <c r="RN47" s="242"/>
      <c r="RO47" s="242"/>
      <c r="RP47" s="242"/>
      <c r="RQ47" s="246"/>
      <c r="RR47" s="241"/>
      <c r="RS47" s="242"/>
      <c r="RT47" s="242"/>
      <c r="RU47" s="242"/>
      <c r="RV47" s="242"/>
      <c r="RW47" s="243"/>
      <c r="RX47" s="242"/>
      <c r="RY47" s="242"/>
      <c r="RZ47" s="242"/>
      <c r="SA47" s="242"/>
      <c r="SB47" s="242"/>
      <c r="SC47" s="244"/>
      <c r="SD47" s="242"/>
      <c r="SE47" s="242"/>
      <c r="SF47" s="242"/>
      <c r="SG47" s="242"/>
      <c r="SH47" s="242"/>
      <c r="SI47" s="245"/>
      <c r="SJ47" s="242"/>
      <c r="SK47" s="242"/>
      <c r="SL47" s="242"/>
      <c r="SM47" s="242"/>
      <c r="SN47" s="242"/>
      <c r="SO47" s="244"/>
      <c r="SP47" s="242"/>
      <c r="SQ47" s="242"/>
      <c r="SR47" s="242"/>
      <c r="SS47" s="242"/>
      <c r="ST47" s="242"/>
      <c r="SU47" s="245"/>
      <c r="SV47" s="242"/>
      <c r="SW47" s="242"/>
      <c r="SX47" s="242"/>
      <c r="SY47" s="242"/>
      <c r="SZ47" s="242"/>
      <c r="TA47" s="244"/>
      <c r="TB47" s="242"/>
      <c r="TC47" s="242"/>
      <c r="TD47" s="242"/>
      <c r="TE47" s="242"/>
      <c r="TF47" s="242"/>
      <c r="TG47" s="245"/>
      <c r="TH47" s="242"/>
      <c r="TI47" s="242"/>
      <c r="TJ47" s="242"/>
      <c r="TK47" s="242"/>
      <c r="TL47" s="242"/>
      <c r="TM47" s="244"/>
      <c r="TN47" s="242"/>
      <c r="TO47" s="242"/>
      <c r="TP47" s="242"/>
      <c r="TQ47" s="242"/>
      <c r="TR47" s="242"/>
      <c r="TS47" s="245"/>
      <c r="TT47" s="242"/>
      <c r="TU47" s="242"/>
      <c r="TV47" s="242"/>
      <c r="TW47" s="242"/>
      <c r="TX47" s="242"/>
      <c r="TY47" s="246"/>
      <c r="TZ47" s="241"/>
      <c r="UA47" s="242"/>
      <c r="UB47" s="242"/>
      <c r="UC47" s="242"/>
      <c r="UD47" s="242"/>
      <c r="UE47" s="243"/>
      <c r="UF47" s="242"/>
      <c r="UG47" s="242"/>
      <c r="UH47" s="242"/>
      <c r="UI47" s="242"/>
      <c r="UJ47" s="242"/>
      <c r="UK47" s="244"/>
      <c r="UL47" s="242"/>
      <c r="UM47" s="242"/>
      <c r="UN47" s="242"/>
      <c r="UO47" s="242"/>
      <c r="UP47" s="242"/>
      <c r="UQ47" s="245"/>
      <c r="UR47" s="242"/>
      <c r="US47" s="242"/>
      <c r="UT47" s="242"/>
      <c r="UU47" s="242"/>
      <c r="UV47" s="242"/>
      <c r="UW47" s="244"/>
      <c r="UX47" s="242"/>
      <c r="UY47" s="242"/>
      <c r="UZ47" s="242"/>
      <c r="VA47" s="242"/>
      <c r="VB47" s="242"/>
      <c r="VC47" s="245"/>
      <c r="VD47" s="242"/>
      <c r="VE47" s="242"/>
      <c r="VF47" s="242"/>
      <c r="VG47" s="242"/>
      <c r="VH47" s="242"/>
      <c r="VI47" s="244"/>
      <c r="VJ47" s="242"/>
      <c r="VK47" s="242"/>
      <c r="VL47" s="242"/>
      <c r="VM47" s="242"/>
      <c r="VN47" s="242"/>
      <c r="VO47" s="245"/>
      <c r="VP47" s="242"/>
      <c r="VQ47" s="242"/>
      <c r="VR47" s="242"/>
      <c r="VS47" s="242"/>
      <c r="VT47" s="242"/>
      <c r="VU47" s="244"/>
      <c r="VV47" s="242"/>
      <c r="VW47" s="242"/>
      <c r="VX47" s="242"/>
      <c r="VY47" s="242"/>
      <c r="VZ47" s="242"/>
      <c r="WA47" s="245"/>
      <c r="WB47" s="242"/>
      <c r="WC47" s="242"/>
      <c r="WD47" s="242"/>
      <c r="WE47" s="242"/>
      <c r="WF47" s="242"/>
      <c r="WG47" s="246"/>
      <c r="WH47" s="241"/>
      <c r="WI47" s="242"/>
      <c r="WJ47" s="242"/>
      <c r="WK47" s="242"/>
      <c r="WL47" s="242"/>
      <c r="WM47" s="243"/>
      <c r="WN47" s="242"/>
      <c r="WO47" s="242"/>
      <c r="WP47" s="242"/>
      <c r="WQ47" s="242"/>
      <c r="WR47" s="242"/>
      <c r="WS47" s="244"/>
      <c r="WT47" s="242"/>
      <c r="WU47" s="242"/>
      <c r="WV47" s="242"/>
      <c r="WW47" s="242"/>
      <c r="WX47" s="242"/>
      <c r="WY47" s="245"/>
      <c r="WZ47" s="242"/>
      <c r="XA47" s="242"/>
      <c r="XB47" s="242"/>
      <c r="XC47" s="242"/>
      <c r="XD47" s="242"/>
      <c r="XE47" s="244"/>
      <c r="XF47" s="242"/>
      <c r="XG47" s="242"/>
      <c r="XH47" s="242"/>
      <c r="XI47" s="242"/>
      <c r="XJ47" s="242"/>
      <c r="XK47" s="245"/>
      <c r="XL47" s="242"/>
      <c r="XM47" s="242"/>
      <c r="XN47" s="242"/>
      <c r="XO47" s="242"/>
      <c r="XP47" s="242"/>
      <c r="XQ47" s="244"/>
      <c r="XR47" s="242"/>
      <c r="XS47" s="242"/>
      <c r="XT47" s="242"/>
      <c r="XU47" s="242"/>
      <c r="XV47" s="242"/>
      <c r="XW47" s="245"/>
      <c r="XX47" s="242"/>
      <c r="XY47" s="242"/>
      <c r="XZ47" s="242"/>
      <c r="YA47" s="242"/>
      <c r="YB47" s="242"/>
      <c r="YC47" s="244"/>
      <c r="YD47" s="242"/>
      <c r="YE47" s="242"/>
      <c r="YF47" s="242"/>
      <c r="YG47" s="242"/>
      <c r="YH47" s="242"/>
      <c r="YI47" s="245"/>
      <c r="YJ47" s="242"/>
      <c r="YK47" s="242"/>
      <c r="YL47" s="242"/>
      <c r="YM47" s="242"/>
      <c r="YN47" s="242"/>
      <c r="YO47" s="246"/>
      <c r="YP47" s="241"/>
      <c r="YQ47" s="242"/>
      <c r="YR47" s="242"/>
      <c r="YS47" s="242"/>
      <c r="YT47" s="242"/>
      <c r="YU47" s="243"/>
      <c r="YV47" s="242"/>
      <c r="YW47" s="242"/>
      <c r="YX47" s="242"/>
      <c r="YY47" s="242"/>
      <c r="YZ47" s="242"/>
      <c r="ZA47" s="244"/>
      <c r="ZB47" s="242"/>
      <c r="ZC47" s="242"/>
      <c r="ZD47" s="242"/>
      <c r="ZE47" s="242"/>
      <c r="ZF47" s="242"/>
      <c r="ZG47" s="245"/>
      <c r="ZH47" s="242"/>
      <c r="ZI47" s="242"/>
      <c r="ZJ47" s="242"/>
      <c r="ZK47" s="242"/>
      <c r="ZL47" s="242"/>
      <c r="ZM47" s="244"/>
      <c r="ZN47" s="242"/>
      <c r="ZO47" s="242"/>
      <c r="ZP47" s="242"/>
      <c r="ZQ47" s="242"/>
      <c r="ZR47" s="242"/>
      <c r="ZS47" s="245"/>
      <c r="ZT47" s="242"/>
      <c r="ZU47" s="242"/>
      <c r="ZV47" s="242"/>
      <c r="ZW47" s="242"/>
      <c r="ZX47" s="242"/>
      <c r="ZY47" s="244"/>
      <c r="ZZ47" s="242"/>
      <c r="AAA47" s="242"/>
      <c r="AAB47" s="242"/>
      <c r="AAC47" s="242"/>
      <c r="AAD47" s="242"/>
      <c r="AAE47" s="245"/>
      <c r="AAF47" s="242"/>
      <c r="AAG47" s="242"/>
      <c r="AAH47" s="242"/>
      <c r="AAI47" s="242"/>
      <c r="AAJ47" s="242"/>
      <c r="AAK47" s="244"/>
      <c r="AAL47" s="242"/>
      <c r="AAM47" s="242"/>
      <c r="AAN47" s="242"/>
      <c r="AAO47" s="242"/>
      <c r="AAP47" s="242"/>
      <c r="AAQ47" s="245"/>
      <c r="AAR47" s="242"/>
      <c r="AAS47" s="242"/>
      <c r="AAT47" s="242"/>
      <c r="AAU47" s="242"/>
      <c r="AAV47" s="242"/>
      <c r="AAW47" s="246"/>
      <c r="AAX47" s="241"/>
      <c r="AAY47" s="242"/>
      <c r="AAZ47" s="242"/>
      <c r="ABA47" s="242"/>
      <c r="ABB47" s="242"/>
      <c r="ABC47" s="243"/>
      <c r="ABD47" s="242"/>
      <c r="ABE47" s="242"/>
      <c r="ABF47" s="242"/>
      <c r="ABG47" s="242"/>
      <c r="ABH47" s="242"/>
      <c r="ABI47" s="244"/>
      <c r="ABJ47" s="242"/>
      <c r="ABK47" s="242"/>
      <c r="ABL47" s="242"/>
      <c r="ABM47" s="242"/>
      <c r="ABN47" s="242"/>
      <c r="ABO47" s="245"/>
      <c r="ABP47" s="242"/>
      <c r="ABQ47" s="242"/>
      <c r="ABR47" s="242"/>
      <c r="ABS47" s="242"/>
      <c r="ABT47" s="242"/>
      <c r="ABU47" s="244"/>
      <c r="ABV47" s="242"/>
      <c r="ABW47" s="242"/>
      <c r="ABX47" s="242"/>
      <c r="ABY47" s="242"/>
      <c r="ABZ47" s="242"/>
      <c r="ACA47" s="245"/>
      <c r="ACB47" s="242"/>
      <c r="ACC47" s="242"/>
      <c r="ACD47" s="242"/>
      <c r="ACE47" s="242"/>
      <c r="ACF47" s="242"/>
      <c r="ACG47" s="244"/>
      <c r="ACH47" s="242"/>
      <c r="ACI47" s="242"/>
      <c r="ACJ47" s="242"/>
      <c r="ACK47" s="242"/>
      <c r="ACL47" s="242"/>
      <c r="ACM47" s="245"/>
      <c r="ACN47" s="242"/>
      <c r="ACO47" s="242"/>
      <c r="ACP47" s="242"/>
      <c r="ACQ47" s="242"/>
      <c r="ACR47" s="242"/>
      <c r="ACS47" s="244"/>
      <c r="ACT47" s="242"/>
      <c r="ACU47" s="242"/>
      <c r="ACV47" s="242"/>
      <c r="ACW47" s="242"/>
      <c r="ACX47" s="242"/>
      <c r="ACY47" s="245"/>
      <c r="ACZ47" s="242"/>
      <c r="ADA47" s="242"/>
      <c r="ADB47" s="242"/>
      <c r="ADC47" s="242"/>
      <c r="ADD47" s="242"/>
      <c r="ADE47" s="246"/>
      <c r="ADF47" s="241"/>
      <c r="ADG47" s="242"/>
      <c r="ADH47" s="242"/>
      <c r="ADI47" s="242"/>
      <c r="ADJ47" s="242"/>
      <c r="ADK47" s="243"/>
      <c r="ADL47" s="242"/>
      <c r="ADM47" s="242"/>
      <c r="ADN47" s="242"/>
      <c r="ADO47" s="242"/>
      <c r="ADP47" s="242"/>
      <c r="ADQ47" s="244"/>
      <c r="ADR47" s="242"/>
      <c r="ADS47" s="242"/>
      <c r="ADT47" s="242"/>
      <c r="ADU47" s="242"/>
      <c r="ADV47" s="242"/>
      <c r="ADW47" s="245"/>
      <c r="ADX47" s="242"/>
      <c r="ADY47" s="242"/>
      <c r="ADZ47" s="242"/>
      <c r="AEA47" s="242"/>
      <c r="AEB47" s="242"/>
      <c r="AEC47" s="244"/>
      <c r="AED47" s="242"/>
      <c r="AEE47" s="242"/>
      <c r="AEF47" s="242"/>
      <c r="AEG47" s="242"/>
      <c r="AEH47" s="242"/>
      <c r="AEI47" s="245"/>
      <c r="AEJ47" s="242"/>
      <c r="AEK47" s="242"/>
      <c r="AEL47" s="242"/>
      <c r="AEM47" s="242"/>
      <c r="AEN47" s="242"/>
      <c r="AEO47" s="244"/>
      <c r="AEP47" s="242"/>
      <c r="AEQ47" s="242"/>
      <c r="AER47" s="242"/>
      <c r="AES47" s="242"/>
      <c r="AET47" s="242"/>
      <c r="AEU47" s="245"/>
      <c r="AEV47" s="242"/>
      <c r="AEW47" s="242"/>
      <c r="AEX47" s="242"/>
      <c r="AEY47" s="242"/>
      <c r="AEZ47" s="242"/>
      <c r="AFA47" s="244"/>
      <c r="AFB47" s="242"/>
      <c r="AFC47" s="242"/>
      <c r="AFD47" s="242"/>
      <c r="AFE47" s="242"/>
      <c r="AFF47" s="242"/>
      <c r="AFG47" s="245"/>
      <c r="AFH47" s="242"/>
      <c r="AFI47" s="242"/>
      <c r="AFJ47" s="242"/>
      <c r="AFK47" s="242"/>
      <c r="AFL47" s="242"/>
      <c r="AFM47" s="246"/>
      <c r="AFN47" s="241"/>
      <c r="AFO47" s="242"/>
      <c r="AFP47" s="242"/>
      <c r="AFQ47" s="242"/>
      <c r="AFR47" s="242"/>
      <c r="AFS47" s="243"/>
      <c r="AFT47" s="242"/>
      <c r="AFU47" s="242"/>
      <c r="AFV47" s="242"/>
      <c r="AFW47" s="242"/>
      <c r="AFX47" s="242"/>
      <c r="AFY47" s="244"/>
      <c r="AFZ47" s="242"/>
      <c r="AGA47" s="242"/>
      <c r="AGB47" s="242"/>
      <c r="AGC47" s="242"/>
      <c r="AGD47" s="242"/>
      <c r="AGE47" s="245"/>
      <c r="AGF47" s="242"/>
      <c r="AGG47" s="242"/>
      <c r="AGH47" s="242"/>
      <c r="AGI47" s="242"/>
      <c r="AGJ47" s="242"/>
      <c r="AGK47" s="244"/>
      <c r="AGL47" s="242"/>
      <c r="AGM47" s="242"/>
      <c r="AGN47" s="242"/>
      <c r="AGO47" s="242"/>
      <c r="AGP47" s="242"/>
      <c r="AGQ47" s="245"/>
      <c r="AGR47" s="242"/>
      <c r="AGS47" s="242"/>
      <c r="AGT47" s="242"/>
      <c r="AGU47" s="242"/>
      <c r="AGV47" s="242"/>
      <c r="AGW47" s="244"/>
      <c r="AGX47" s="242"/>
      <c r="AGY47" s="242"/>
      <c r="AGZ47" s="242"/>
      <c r="AHA47" s="242"/>
      <c r="AHB47" s="242"/>
      <c r="AHC47" s="245"/>
      <c r="AHD47" s="242"/>
      <c r="AHE47" s="242"/>
      <c r="AHF47" s="242"/>
      <c r="AHG47" s="242"/>
      <c r="AHH47" s="242"/>
      <c r="AHI47" s="244"/>
      <c r="AHJ47" s="242"/>
      <c r="AHK47" s="242"/>
      <c r="AHL47" s="242"/>
      <c r="AHM47" s="242"/>
      <c r="AHN47" s="242"/>
      <c r="AHO47" s="245"/>
      <c r="AHP47" s="242"/>
      <c r="AHQ47" s="242"/>
      <c r="AHR47" s="242"/>
      <c r="AHS47" s="242"/>
      <c r="AHT47" s="242"/>
      <c r="AHU47" s="246"/>
      <c r="AHV47" s="241"/>
      <c r="AHW47" s="242"/>
      <c r="AHX47" s="242"/>
      <c r="AHY47" s="242"/>
      <c r="AHZ47" s="242"/>
      <c r="AIA47" s="243"/>
      <c r="AIB47" s="242"/>
      <c r="AIC47" s="242"/>
      <c r="AID47" s="242"/>
      <c r="AIE47" s="242"/>
      <c r="AIF47" s="242"/>
      <c r="AIG47" s="244"/>
      <c r="AIH47" s="242"/>
      <c r="AII47" s="242"/>
      <c r="AIJ47" s="242"/>
      <c r="AIK47" s="242"/>
      <c r="AIL47" s="242"/>
      <c r="AIM47" s="245"/>
      <c r="AIN47" s="242"/>
      <c r="AIO47" s="242"/>
      <c r="AIP47" s="242"/>
      <c r="AIQ47" s="242"/>
      <c r="AIR47" s="242"/>
      <c r="AIS47" s="244"/>
      <c r="AIT47" s="242"/>
      <c r="AIU47" s="242"/>
      <c r="AIV47" s="242"/>
      <c r="AIW47" s="242"/>
      <c r="AIX47" s="242"/>
      <c r="AIY47" s="245"/>
      <c r="AIZ47" s="242"/>
      <c r="AJA47" s="242"/>
      <c r="AJB47" s="242"/>
      <c r="AJC47" s="242"/>
      <c r="AJD47" s="242"/>
      <c r="AJE47" s="244"/>
      <c r="AJF47" s="242"/>
      <c r="AJG47" s="242"/>
      <c r="AJH47" s="242"/>
      <c r="AJI47" s="242"/>
      <c r="AJJ47" s="242"/>
      <c r="AJK47" s="245"/>
      <c r="AJL47" s="242"/>
      <c r="AJM47" s="242"/>
      <c r="AJN47" s="242"/>
      <c r="AJO47" s="242"/>
      <c r="AJP47" s="242"/>
      <c r="AJQ47" s="244"/>
      <c r="AJR47" s="242"/>
      <c r="AJS47" s="242"/>
      <c r="AJT47" s="242"/>
      <c r="AJU47" s="242"/>
      <c r="AJV47" s="242"/>
      <c r="AJW47" s="245"/>
      <c r="AJX47" s="242"/>
      <c r="AJY47" s="242"/>
      <c r="AJZ47" s="242"/>
      <c r="AKA47" s="242"/>
      <c r="AKB47" s="242"/>
      <c r="AKC47" s="246"/>
      <c r="AKD47" s="241"/>
      <c r="AKE47" s="242"/>
      <c r="AKF47" s="242"/>
      <c r="AKG47" s="242"/>
      <c r="AKH47" s="242"/>
      <c r="AKI47" s="243"/>
      <c r="AKJ47" s="242"/>
      <c r="AKK47" s="242"/>
      <c r="AKL47" s="242"/>
      <c r="AKM47" s="242"/>
      <c r="AKN47" s="242"/>
      <c r="AKO47" s="244"/>
      <c r="AKP47" s="242"/>
      <c r="AKQ47" s="242"/>
      <c r="AKR47" s="242"/>
      <c r="AKS47" s="242"/>
      <c r="AKT47" s="242"/>
      <c r="AKU47" s="245"/>
      <c r="AKV47" s="242"/>
      <c r="AKW47" s="242"/>
      <c r="AKX47" s="242"/>
      <c r="AKY47" s="242"/>
      <c r="AKZ47" s="242"/>
      <c r="ALA47" s="244"/>
      <c r="ALB47" s="242"/>
      <c r="ALC47" s="242"/>
      <c r="ALD47" s="242"/>
      <c r="ALE47" s="242"/>
      <c r="ALF47" s="242"/>
      <c r="ALG47" s="245"/>
      <c r="ALH47" s="242"/>
      <c r="ALI47" s="242"/>
      <c r="ALJ47" s="242"/>
      <c r="ALK47" s="242"/>
      <c r="ALL47" s="242"/>
      <c r="ALM47" s="244"/>
      <c r="ALN47" s="242"/>
      <c r="ALO47" s="242"/>
      <c r="ALP47" s="242"/>
      <c r="ALQ47" s="242"/>
      <c r="ALR47" s="242"/>
      <c r="ALS47" s="245"/>
      <c r="ALT47" s="242"/>
      <c r="ALU47" s="242"/>
      <c r="ALV47" s="242"/>
      <c r="ALW47" s="242"/>
      <c r="ALX47" s="242"/>
      <c r="ALY47" s="244"/>
      <c r="ALZ47" s="242"/>
      <c r="AMA47" s="242"/>
      <c r="AMB47" s="242"/>
      <c r="AMC47" s="242"/>
      <c r="AMD47" s="242"/>
      <c r="AME47" s="245"/>
      <c r="AMF47" s="242"/>
      <c r="AMG47" s="242"/>
      <c r="AMH47" s="242"/>
      <c r="AMI47" s="242"/>
      <c r="AMJ47" s="242"/>
      <c r="AMK47" s="246"/>
      <c r="AML47" s="241"/>
      <c r="AMM47" s="242"/>
      <c r="AMN47" s="242"/>
      <c r="AMO47" s="242"/>
      <c r="AMP47" s="242"/>
      <c r="AMQ47" s="243"/>
      <c r="AMR47" s="242"/>
      <c r="AMS47" s="242"/>
      <c r="AMT47" s="242"/>
      <c r="AMU47" s="242"/>
      <c r="AMV47" s="242"/>
      <c r="AMW47" s="244"/>
      <c r="AMX47" s="242"/>
      <c r="AMY47" s="242"/>
      <c r="AMZ47" s="242"/>
      <c r="ANA47" s="242"/>
      <c r="ANB47" s="242"/>
      <c r="ANC47" s="245"/>
      <c r="AND47" s="242"/>
      <c r="ANE47" s="242"/>
      <c r="ANF47" s="242"/>
      <c r="ANG47" s="242"/>
      <c r="ANH47" s="242"/>
      <c r="ANI47" s="244"/>
      <c r="ANJ47" s="242"/>
      <c r="ANK47" s="242"/>
      <c r="ANL47" s="242"/>
      <c r="ANM47" s="242"/>
      <c r="ANN47" s="242"/>
      <c r="ANO47" s="245"/>
      <c r="ANP47" s="242"/>
      <c r="ANQ47" s="242"/>
      <c r="ANR47" s="242"/>
      <c r="ANS47" s="242"/>
      <c r="ANT47" s="242"/>
      <c r="ANU47" s="244"/>
      <c r="ANV47" s="242"/>
      <c r="ANW47" s="242"/>
      <c r="ANX47" s="242"/>
      <c r="ANY47" s="242"/>
      <c r="ANZ47" s="242"/>
      <c r="AOA47" s="245"/>
      <c r="AOB47" s="242"/>
      <c r="AOC47" s="242"/>
      <c r="AOD47" s="242"/>
      <c r="AOE47" s="242"/>
      <c r="AOF47" s="242"/>
      <c r="AOG47" s="244"/>
      <c r="AOH47" s="242"/>
      <c r="AOI47" s="242"/>
      <c r="AOJ47" s="242"/>
      <c r="AOK47" s="242"/>
      <c r="AOL47" s="242"/>
      <c r="AOM47" s="245"/>
      <c r="AON47" s="242"/>
      <c r="AOO47" s="242"/>
      <c r="AOP47" s="242"/>
      <c r="AOQ47" s="242"/>
      <c r="AOR47" s="242"/>
      <c r="AOS47" s="246"/>
      <c r="AOT47" s="241"/>
      <c r="AOU47" s="242"/>
      <c r="AOV47" s="242"/>
      <c r="AOW47" s="242"/>
      <c r="AOX47" s="242"/>
      <c r="AOY47" s="243"/>
      <c r="AOZ47" s="242"/>
      <c r="APA47" s="242"/>
      <c r="APB47" s="242"/>
      <c r="APC47" s="242"/>
      <c r="APD47" s="242"/>
      <c r="APE47" s="244"/>
      <c r="APF47" s="242"/>
      <c r="APG47" s="242"/>
      <c r="APH47" s="242"/>
      <c r="API47" s="242"/>
      <c r="APJ47" s="242"/>
      <c r="APK47" s="245"/>
      <c r="APL47" s="242"/>
      <c r="APM47" s="242"/>
      <c r="APN47" s="242"/>
      <c r="APO47" s="242"/>
      <c r="APP47" s="242"/>
      <c r="APQ47" s="244"/>
      <c r="APR47" s="242"/>
      <c r="APS47" s="242"/>
      <c r="APT47" s="242"/>
      <c r="APU47" s="242"/>
      <c r="APV47" s="242"/>
      <c r="APW47" s="245"/>
      <c r="APX47" s="242"/>
      <c r="APY47" s="242"/>
      <c r="APZ47" s="242"/>
      <c r="AQA47" s="242"/>
      <c r="AQB47" s="242"/>
      <c r="AQC47" s="244"/>
      <c r="AQD47" s="242"/>
      <c r="AQE47" s="242"/>
      <c r="AQF47" s="242"/>
      <c r="AQG47" s="242"/>
      <c r="AQH47" s="242"/>
      <c r="AQI47" s="245"/>
      <c r="AQJ47" s="242"/>
      <c r="AQK47" s="242"/>
      <c r="AQL47" s="242"/>
      <c r="AQM47" s="242"/>
      <c r="AQN47" s="242"/>
      <c r="AQO47" s="244"/>
      <c r="AQP47" s="242"/>
      <c r="AQQ47" s="242"/>
      <c r="AQR47" s="242"/>
      <c r="AQS47" s="242"/>
      <c r="AQT47" s="242"/>
      <c r="AQU47" s="245"/>
      <c r="AQV47" s="242"/>
      <c r="AQW47" s="242"/>
      <c r="AQX47" s="242"/>
      <c r="AQY47" s="242"/>
      <c r="AQZ47" s="242"/>
      <c r="ARA47" s="246"/>
      <c r="ARB47" s="241"/>
      <c r="ARC47" s="242"/>
      <c r="ARD47" s="242"/>
      <c r="ARE47" s="242"/>
      <c r="ARF47" s="242"/>
      <c r="ARG47" s="243"/>
      <c r="ARH47" s="242"/>
      <c r="ARI47" s="242"/>
      <c r="ARJ47" s="242"/>
      <c r="ARK47" s="242"/>
      <c r="ARL47" s="242"/>
      <c r="ARM47" s="244"/>
      <c r="ARN47" s="242"/>
      <c r="ARO47" s="242"/>
      <c r="ARP47" s="242"/>
      <c r="ARQ47" s="242"/>
      <c r="ARR47" s="242"/>
      <c r="ARS47" s="245"/>
      <c r="ART47" s="242"/>
      <c r="ARU47" s="242"/>
      <c r="ARV47" s="242"/>
      <c r="ARW47" s="242"/>
      <c r="ARX47" s="242"/>
      <c r="ARY47" s="244"/>
      <c r="ARZ47" s="242"/>
      <c r="ASA47" s="242"/>
      <c r="ASB47" s="242"/>
      <c r="ASC47" s="242"/>
      <c r="ASD47" s="242"/>
      <c r="ASE47" s="245"/>
      <c r="ASF47" s="242"/>
      <c r="ASG47" s="242"/>
      <c r="ASH47" s="242"/>
      <c r="ASI47" s="242"/>
      <c r="ASJ47" s="242"/>
      <c r="ASK47" s="244"/>
      <c r="ASL47" s="242"/>
      <c r="ASM47" s="242"/>
      <c r="ASN47" s="242"/>
      <c r="ASO47" s="242"/>
      <c r="ASP47" s="242"/>
      <c r="ASQ47" s="245"/>
      <c r="ASR47" s="242"/>
      <c r="ASS47" s="242"/>
      <c r="AST47" s="242"/>
      <c r="ASU47" s="242"/>
      <c r="ASV47" s="242"/>
      <c r="ASW47" s="244"/>
      <c r="ASX47" s="242"/>
      <c r="ASY47" s="242"/>
      <c r="ASZ47" s="242"/>
      <c r="ATA47" s="242"/>
      <c r="ATB47" s="242"/>
      <c r="ATC47" s="245"/>
      <c r="ATD47" s="242"/>
      <c r="ATE47" s="242"/>
      <c r="ATF47" s="242"/>
      <c r="ATG47" s="242"/>
      <c r="ATH47" s="242"/>
      <c r="ATI47" s="246"/>
      <c r="ATJ47" s="241"/>
      <c r="ATK47" s="242"/>
      <c r="ATL47" s="242"/>
      <c r="ATM47" s="242"/>
      <c r="ATN47" s="242"/>
      <c r="ATO47" s="243"/>
      <c r="ATP47" s="242"/>
      <c r="ATQ47" s="242"/>
      <c r="ATR47" s="242"/>
      <c r="ATS47" s="242"/>
      <c r="ATT47" s="242"/>
      <c r="ATU47" s="244"/>
      <c r="ATV47" s="242"/>
      <c r="ATW47" s="242"/>
      <c r="ATX47" s="242"/>
      <c r="ATY47" s="242"/>
      <c r="ATZ47" s="242"/>
      <c r="AUA47" s="245"/>
      <c r="AUB47" s="242"/>
      <c r="AUC47" s="242"/>
      <c r="AUD47" s="242"/>
      <c r="AUE47" s="242"/>
      <c r="AUF47" s="242"/>
      <c r="AUG47" s="244"/>
      <c r="AUH47" s="242"/>
      <c r="AUI47" s="242"/>
      <c r="AUJ47" s="242"/>
      <c r="AUK47" s="242"/>
      <c r="AUL47" s="242"/>
      <c r="AUM47" s="245"/>
      <c r="AUN47" s="242"/>
      <c r="AUO47" s="242"/>
      <c r="AUP47" s="242"/>
      <c r="AUQ47" s="242"/>
      <c r="AUR47" s="242"/>
      <c r="AUS47" s="244"/>
      <c r="AUT47" s="242"/>
      <c r="AUU47" s="242"/>
      <c r="AUV47" s="242"/>
      <c r="AUW47" s="242"/>
      <c r="AUX47" s="242"/>
      <c r="AUY47" s="245"/>
      <c r="AUZ47" s="242"/>
      <c r="AVA47" s="242"/>
      <c r="AVB47" s="242"/>
      <c r="AVC47" s="242"/>
      <c r="AVD47" s="242"/>
      <c r="AVE47" s="244"/>
      <c r="AVF47" s="242"/>
      <c r="AVG47" s="242"/>
      <c r="AVH47" s="242"/>
      <c r="AVI47" s="242"/>
      <c r="AVJ47" s="242"/>
      <c r="AVK47" s="245"/>
      <c r="AVL47" s="242"/>
      <c r="AVM47" s="242"/>
      <c r="AVN47" s="242"/>
      <c r="AVO47" s="242"/>
      <c r="AVP47" s="242"/>
      <c r="AVQ47" s="246"/>
      <c r="AVR47" s="241"/>
      <c r="AVS47" s="242"/>
      <c r="AVT47" s="242"/>
      <c r="AVU47" s="242"/>
      <c r="AVV47" s="242"/>
      <c r="AVW47" s="243"/>
      <c r="AVX47" s="242"/>
      <c r="AVY47" s="242"/>
      <c r="AVZ47" s="242"/>
      <c r="AWA47" s="242"/>
      <c r="AWB47" s="242"/>
      <c r="AWC47" s="244"/>
      <c r="AWD47" s="242"/>
      <c r="AWE47" s="242"/>
      <c r="AWF47" s="242"/>
      <c r="AWG47" s="242"/>
      <c r="AWH47" s="242"/>
      <c r="AWI47" s="245"/>
      <c r="AWJ47" s="242"/>
      <c r="AWK47" s="242"/>
      <c r="AWL47" s="242"/>
      <c r="AWM47" s="242"/>
      <c r="AWN47" s="242"/>
      <c r="AWO47" s="244"/>
      <c r="AWP47" s="242"/>
      <c r="AWQ47" s="242"/>
      <c r="AWR47" s="242"/>
      <c r="AWS47" s="242"/>
      <c r="AWT47" s="242"/>
      <c r="AWU47" s="245"/>
      <c r="AWV47" s="242"/>
      <c r="AWW47" s="242"/>
      <c r="AWX47" s="242"/>
      <c r="AWY47" s="242"/>
      <c r="AWZ47" s="242"/>
      <c r="AXA47" s="244"/>
      <c r="AXB47" s="242"/>
      <c r="AXC47" s="242"/>
      <c r="AXD47" s="242"/>
      <c r="AXE47" s="242"/>
      <c r="AXF47" s="242"/>
      <c r="AXG47" s="245"/>
      <c r="AXH47" s="242"/>
      <c r="AXI47" s="242"/>
      <c r="AXJ47" s="242"/>
      <c r="AXK47" s="242"/>
      <c r="AXL47" s="242"/>
      <c r="AXM47" s="244"/>
      <c r="AXN47" s="242"/>
      <c r="AXO47" s="242"/>
      <c r="AXP47" s="242"/>
      <c r="AXQ47" s="242"/>
      <c r="AXR47" s="242"/>
      <c r="AXS47" s="245"/>
      <c r="AXT47" s="242"/>
      <c r="AXU47" s="242"/>
      <c r="AXV47" s="242"/>
      <c r="AXW47" s="242"/>
      <c r="AXX47" s="242"/>
      <c r="AXY47" s="246"/>
      <c r="AXZ47" s="241"/>
      <c r="AYA47" s="242"/>
      <c r="AYB47" s="242"/>
      <c r="AYC47" s="242"/>
      <c r="AYD47" s="242"/>
      <c r="AYE47" s="243"/>
      <c r="AYF47" s="242"/>
      <c r="AYG47" s="242"/>
      <c r="AYH47" s="242"/>
      <c r="AYI47" s="242"/>
      <c r="AYJ47" s="242"/>
      <c r="AYK47" s="244"/>
      <c r="AYL47" s="242"/>
      <c r="AYM47" s="242"/>
      <c r="AYN47" s="242"/>
      <c r="AYO47" s="242"/>
      <c r="AYP47" s="242"/>
      <c r="AYQ47" s="245"/>
      <c r="AYR47" s="242"/>
      <c r="AYS47" s="242"/>
      <c r="AYT47" s="242"/>
      <c r="AYU47" s="242"/>
      <c r="AYV47" s="242"/>
      <c r="AYW47" s="244"/>
      <c r="AYX47" s="242"/>
      <c r="AYY47" s="242"/>
      <c r="AYZ47" s="242"/>
      <c r="AZA47" s="242"/>
      <c r="AZB47" s="242"/>
      <c r="AZC47" s="245"/>
      <c r="AZD47" s="242"/>
      <c r="AZE47" s="242"/>
      <c r="AZF47" s="242"/>
      <c r="AZG47" s="242"/>
      <c r="AZH47" s="242"/>
      <c r="AZI47" s="244"/>
      <c r="AZJ47" s="242"/>
      <c r="AZK47" s="242"/>
      <c r="AZL47" s="242"/>
      <c r="AZM47" s="242"/>
      <c r="AZN47" s="242"/>
      <c r="AZO47" s="245"/>
      <c r="AZP47" s="242"/>
      <c r="AZQ47" s="242"/>
      <c r="AZR47" s="242"/>
      <c r="AZS47" s="242"/>
      <c r="AZT47" s="242"/>
      <c r="AZU47" s="244"/>
      <c r="AZV47" s="242"/>
      <c r="AZW47" s="242"/>
      <c r="AZX47" s="242"/>
      <c r="AZY47" s="242"/>
      <c r="AZZ47" s="242"/>
      <c r="BAA47" s="245"/>
      <c r="BAB47" s="242"/>
      <c r="BAC47" s="242"/>
      <c r="BAD47" s="242"/>
      <c r="BAE47" s="242"/>
      <c r="BAF47" s="242"/>
      <c r="BAG47" s="246"/>
      <c r="BAH47" s="241"/>
      <c r="BAI47" s="242"/>
      <c r="BAJ47" s="242"/>
      <c r="BAK47" s="242"/>
      <c r="BAL47" s="242"/>
      <c r="BAM47" s="243"/>
      <c r="BAN47" s="242"/>
      <c r="BAO47" s="242"/>
      <c r="BAP47" s="242"/>
      <c r="BAQ47" s="242"/>
      <c r="BAR47" s="242"/>
      <c r="BAS47" s="244"/>
      <c r="BAT47" s="242"/>
      <c r="BAU47" s="242"/>
      <c r="BAV47" s="242"/>
      <c r="BAW47" s="242"/>
      <c r="BAX47" s="242"/>
      <c r="BAY47" s="245"/>
      <c r="BAZ47" s="242"/>
      <c r="BBA47" s="242"/>
      <c r="BBB47" s="242"/>
      <c r="BBC47" s="242"/>
      <c r="BBD47" s="242"/>
      <c r="BBE47" s="244"/>
      <c r="BBF47" s="242"/>
      <c r="BBG47" s="242"/>
      <c r="BBH47" s="242"/>
      <c r="BBI47" s="242"/>
      <c r="BBJ47" s="242"/>
      <c r="BBK47" s="245"/>
      <c r="BBL47" s="242"/>
      <c r="BBM47" s="242"/>
      <c r="BBN47" s="242"/>
      <c r="BBO47" s="242"/>
      <c r="BBP47" s="242"/>
      <c r="BBQ47" s="244"/>
      <c r="BBR47" s="242"/>
      <c r="BBS47" s="242"/>
      <c r="BBT47" s="242"/>
      <c r="BBU47" s="242"/>
      <c r="BBV47" s="242"/>
      <c r="BBW47" s="245"/>
      <c r="BBX47" s="242"/>
      <c r="BBY47" s="242"/>
      <c r="BBZ47" s="242"/>
      <c r="BCA47" s="242"/>
      <c r="BCB47" s="242"/>
      <c r="BCC47" s="244"/>
      <c r="BCD47" s="242"/>
      <c r="BCE47" s="242"/>
      <c r="BCF47" s="242"/>
      <c r="BCG47" s="242"/>
      <c r="BCH47" s="242"/>
      <c r="BCI47" s="245"/>
      <c r="BCJ47" s="242"/>
      <c r="BCK47" s="242"/>
      <c r="BCL47" s="242"/>
      <c r="BCM47" s="242"/>
      <c r="BCN47" s="242"/>
      <c r="BCO47" s="246"/>
      <c r="BCP47" s="241"/>
      <c r="BCQ47" s="242"/>
      <c r="BCR47" s="242"/>
      <c r="BCS47" s="242"/>
      <c r="BCT47" s="242"/>
      <c r="BCU47" s="243"/>
      <c r="BCV47" s="242"/>
      <c r="BCW47" s="242"/>
      <c r="BCX47" s="242"/>
      <c r="BCY47" s="242"/>
      <c r="BCZ47" s="242"/>
      <c r="BDA47" s="244"/>
      <c r="BDB47" s="242"/>
      <c r="BDC47" s="242"/>
      <c r="BDD47" s="242"/>
      <c r="BDE47" s="242"/>
      <c r="BDF47" s="242"/>
      <c r="BDG47" s="245"/>
      <c r="BDH47" s="242"/>
      <c r="BDI47" s="242"/>
      <c r="BDJ47" s="242"/>
      <c r="BDK47" s="242"/>
      <c r="BDL47" s="242"/>
      <c r="BDM47" s="244"/>
      <c r="BDN47" s="242"/>
      <c r="BDO47" s="242"/>
      <c r="BDP47" s="242"/>
      <c r="BDQ47" s="242"/>
      <c r="BDR47" s="242"/>
      <c r="BDS47" s="245"/>
      <c r="BDT47" s="242"/>
      <c r="BDU47" s="242"/>
      <c r="BDV47" s="242"/>
      <c r="BDW47" s="242"/>
      <c r="BDX47" s="242"/>
      <c r="BDY47" s="244"/>
      <c r="BDZ47" s="242"/>
      <c r="BEA47" s="242"/>
      <c r="BEB47" s="242"/>
      <c r="BEC47" s="242"/>
      <c r="BED47" s="242"/>
      <c r="BEE47" s="245"/>
      <c r="BEF47" s="242"/>
      <c r="BEG47" s="242"/>
      <c r="BEH47" s="242"/>
      <c r="BEI47" s="242"/>
      <c r="BEJ47" s="242"/>
      <c r="BEK47" s="244"/>
      <c r="BEL47" s="242"/>
      <c r="BEM47" s="242"/>
      <c r="BEN47" s="242"/>
      <c r="BEO47" s="242"/>
      <c r="BEP47" s="242"/>
      <c r="BEQ47" s="245"/>
      <c r="BER47" s="242"/>
      <c r="BES47" s="242"/>
      <c r="BET47" s="242"/>
      <c r="BEU47" s="242"/>
      <c r="BEV47" s="242"/>
      <c r="BEW47" s="246"/>
      <c r="BEX47" s="241"/>
      <c r="BEY47" s="242"/>
      <c r="BEZ47" s="242"/>
      <c r="BFA47" s="242"/>
      <c r="BFB47" s="242"/>
      <c r="BFC47" s="243"/>
      <c r="BFD47" s="242"/>
      <c r="BFE47" s="242"/>
      <c r="BFF47" s="242"/>
      <c r="BFG47" s="242"/>
      <c r="BFH47" s="242"/>
      <c r="BFI47" s="244"/>
      <c r="BFJ47" s="242"/>
      <c r="BFK47" s="242"/>
      <c r="BFL47" s="242"/>
      <c r="BFM47" s="242"/>
      <c r="BFN47" s="242"/>
      <c r="BFO47" s="245"/>
      <c r="BFP47" s="242"/>
      <c r="BFQ47" s="242"/>
      <c r="BFR47" s="242"/>
      <c r="BFS47" s="242"/>
      <c r="BFT47" s="242"/>
      <c r="BFU47" s="244"/>
      <c r="BFV47" s="242"/>
      <c r="BFW47" s="242"/>
      <c r="BFX47" s="242"/>
      <c r="BFY47" s="242"/>
      <c r="BFZ47" s="242"/>
      <c r="BGA47" s="245"/>
      <c r="BGB47" s="242"/>
      <c r="BGC47" s="242"/>
      <c r="BGD47" s="242"/>
      <c r="BGE47" s="242"/>
      <c r="BGF47" s="242"/>
      <c r="BGG47" s="244"/>
      <c r="BGH47" s="242"/>
      <c r="BGI47" s="242"/>
      <c r="BGJ47" s="242"/>
      <c r="BGK47" s="242"/>
      <c r="BGL47" s="242"/>
      <c r="BGM47" s="245"/>
      <c r="BGN47" s="242"/>
      <c r="BGO47" s="242"/>
      <c r="BGP47" s="242"/>
      <c r="BGQ47" s="242"/>
      <c r="BGR47" s="242"/>
      <c r="BGS47" s="244"/>
      <c r="BGT47" s="242"/>
      <c r="BGU47" s="242"/>
      <c r="BGV47" s="242"/>
      <c r="BGW47" s="242"/>
      <c r="BGX47" s="242"/>
      <c r="BGY47" s="245"/>
      <c r="BGZ47" s="242"/>
      <c r="BHA47" s="242"/>
      <c r="BHB47" s="242"/>
      <c r="BHC47" s="242"/>
      <c r="BHD47" s="242"/>
      <c r="BHE47" s="246"/>
      <c r="BHF47" s="241"/>
      <c r="BHG47" s="242"/>
      <c r="BHH47" s="242"/>
      <c r="BHI47" s="242"/>
      <c r="BHJ47" s="242"/>
      <c r="BHK47" s="243"/>
      <c r="BHL47" s="242"/>
      <c r="BHM47" s="242"/>
      <c r="BHN47" s="242"/>
      <c r="BHO47" s="242"/>
      <c r="BHP47" s="242"/>
      <c r="BHQ47" s="244"/>
      <c r="BHR47" s="242"/>
      <c r="BHS47" s="242"/>
      <c r="BHT47" s="242"/>
      <c r="BHU47" s="242"/>
      <c r="BHV47" s="242"/>
      <c r="BHW47" s="245"/>
      <c r="BHX47" s="242"/>
      <c r="BHY47" s="242"/>
      <c r="BHZ47" s="242"/>
      <c r="BIA47" s="242"/>
      <c r="BIB47" s="242"/>
      <c r="BIC47" s="244"/>
      <c r="BID47" s="242"/>
      <c r="BIE47" s="242"/>
      <c r="BIF47" s="242"/>
      <c r="BIG47" s="242"/>
      <c r="BIH47" s="242"/>
      <c r="BII47" s="245"/>
      <c r="BIJ47" s="242"/>
      <c r="BIK47" s="242"/>
      <c r="BIL47" s="242"/>
      <c r="BIM47" s="242"/>
      <c r="BIN47" s="242"/>
      <c r="BIO47" s="244"/>
      <c r="BIP47" s="242"/>
      <c r="BIQ47" s="242"/>
      <c r="BIR47" s="242"/>
      <c r="BIS47" s="242"/>
      <c r="BIT47" s="242"/>
      <c r="BIU47" s="245"/>
      <c r="BIV47" s="242"/>
      <c r="BIW47" s="242"/>
      <c r="BIX47" s="242"/>
      <c r="BIY47" s="242"/>
      <c r="BIZ47" s="242"/>
      <c r="BJA47" s="244"/>
      <c r="BJB47" s="242"/>
      <c r="BJC47" s="242"/>
      <c r="BJD47" s="242"/>
      <c r="BJE47" s="242"/>
      <c r="BJF47" s="242"/>
      <c r="BJG47" s="245"/>
      <c r="BJH47" s="242"/>
      <c r="BJI47" s="242"/>
      <c r="BJJ47" s="242"/>
      <c r="BJK47" s="242"/>
      <c r="BJL47" s="242"/>
      <c r="BJM47" s="246"/>
      <c r="BJN47" s="233"/>
      <c r="BJO47" s="234"/>
      <c r="BJP47" s="234"/>
      <c r="BJQ47" s="234"/>
      <c r="BJR47" s="234"/>
      <c r="BJS47" s="234"/>
      <c r="BJT47" s="234"/>
      <c r="BJU47" s="234"/>
      <c r="BJV47" s="234"/>
      <c r="BJW47" s="234"/>
      <c r="BJX47" s="234"/>
      <c r="BJY47" s="234"/>
      <c r="BJZ47" s="234"/>
      <c r="BKA47" s="234"/>
      <c r="BKB47" s="234"/>
      <c r="BKC47" s="234"/>
      <c r="BKD47" s="234"/>
      <c r="BKE47" s="234"/>
      <c r="BKF47" s="234"/>
      <c r="BKG47" s="234"/>
      <c r="BKH47" s="234"/>
      <c r="BKI47" s="234"/>
      <c r="BKJ47" s="234"/>
      <c r="BKK47" s="234"/>
      <c r="BKL47" s="234"/>
      <c r="BKM47" s="234"/>
      <c r="BKN47" s="234"/>
    </row>
    <row r="48" spans="1:1652" ht="20.100000000000001" customHeight="1" x14ac:dyDescent="0.3">
      <c r="A48" s="84" t="s">
        <v>20</v>
      </c>
      <c r="B48" s="53" t="str">
        <f>IF(LEN(C81)=0,"",C81)</f>
        <v/>
      </c>
      <c r="C48" s="178"/>
      <c r="D48" s="131" t="str">
        <f t="shared" si="0"/>
        <v>0h45min</v>
      </c>
      <c r="E48" s="22">
        <v>9</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63"/>
      <c r="QH48" s="161"/>
      <c r="QI48" s="161"/>
      <c r="QJ48" s="161"/>
      <c r="QK48" s="161"/>
      <c r="QL48" s="161"/>
      <c r="QM48" s="164"/>
      <c r="QN48" s="161"/>
      <c r="QO48" s="161"/>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174"/>
      <c r="BJO48" s="4"/>
      <c r="BJP48" s="4"/>
      <c r="BJQ48" s="4"/>
      <c r="BJR48" s="4"/>
      <c r="BJS48" s="4"/>
      <c r="BJT48" s="4"/>
      <c r="BJU48" s="4"/>
      <c r="BJV48" s="4"/>
      <c r="BJW48" s="4"/>
      <c r="BJX48" s="4"/>
      <c r="BJY48" s="4"/>
      <c r="BJZ48" s="4"/>
      <c r="BKA48" s="4"/>
      <c r="BKB48" s="4"/>
      <c r="BKC48" s="4"/>
      <c r="BKD48" s="4"/>
      <c r="BKE48" s="4"/>
      <c r="BKF48" s="4"/>
      <c r="BKG48" s="4"/>
      <c r="BKH48" s="4"/>
      <c r="BKI48" s="4"/>
      <c r="BKJ48" s="4"/>
      <c r="BKK48" s="4"/>
      <c r="BKL48" s="4"/>
      <c r="BKM48" s="4"/>
      <c r="BKN48" s="4"/>
    </row>
    <row r="49" spans="1:1652" ht="20.100000000000001" customHeight="1" x14ac:dyDescent="0.25">
      <c r="A49" s="84" t="s">
        <v>19</v>
      </c>
      <c r="B49" s="53" t="str">
        <f>IF(LEN(C83)=0,"",C83)</f>
        <v/>
      </c>
      <c r="C49" s="177" t="s">
        <v>155</v>
      </c>
      <c r="D49" s="129" t="str">
        <f t="shared" si="0"/>
        <v>1h</v>
      </c>
      <c r="E49" s="26">
        <v>12</v>
      </c>
      <c r="F49" s="235"/>
      <c r="G49" s="236"/>
      <c r="H49" s="236"/>
      <c r="I49" s="236"/>
      <c r="J49" s="236"/>
      <c r="K49" s="237"/>
      <c r="L49" s="236"/>
      <c r="M49" s="236"/>
      <c r="N49" s="236"/>
      <c r="O49" s="236"/>
      <c r="P49" s="236"/>
      <c r="Q49" s="238"/>
      <c r="R49" s="236"/>
      <c r="S49" s="236"/>
      <c r="T49" s="236"/>
      <c r="U49" s="236"/>
      <c r="V49" s="236"/>
      <c r="W49" s="239"/>
      <c r="X49" s="236"/>
      <c r="Y49" s="236"/>
      <c r="Z49" s="236"/>
      <c r="AA49" s="236"/>
      <c r="AB49" s="236"/>
      <c r="AC49" s="238"/>
      <c r="AD49" s="236"/>
      <c r="AE49" s="236"/>
      <c r="AF49" s="236"/>
      <c r="AG49" s="236"/>
      <c r="AH49" s="236"/>
      <c r="AI49" s="239"/>
      <c r="AJ49" s="236"/>
      <c r="AK49" s="236"/>
      <c r="AL49" s="236"/>
      <c r="AM49" s="236"/>
      <c r="AN49" s="236"/>
      <c r="AO49" s="238"/>
      <c r="AP49" s="236"/>
      <c r="AQ49" s="236"/>
      <c r="AR49" s="236"/>
      <c r="AS49" s="236"/>
      <c r="AT49" s="236"/>
      <c r="AU49" s="239"/>
      <c r="AV49" s="236"/>
      <c r="AW49" s="236"/>
      <c r="AX49" s="236"/>
      <c r="AY49" s="236"/>
      <c r="AZ49" s="236"/>
      <c r="BA49" s="238"/>
      <c r="BB49" s="236"/>
      <c r="BC49" s="236"/>
      <c r="BD49" s="236"/>
      <c r="BE49" s="236"/>
      <c r="BF49" s="236"/>
      <c r="BG49" s="239"/>
      <c r="BH49" s="236"/>
      <c r="BI49" s="236"/>
      <c r="BJ49" s="236"/>
      <c r="BK49" s="236"/>
      <c r="BL49" s="236"/>
      <c r="BM49" s="240"/>
      <c r="BN49" s="235"/>
      <c r="BO49" s="236"/>
      <c r="BP49" s="236"/>
      <c r="BQ49" s="236"/>
      <c r="BR49" s="236"/>
      <c r="BS49" s="237"/>
      <c r="BT49" s="236"/>
      <c r="BU49" s="236"/>
      <c r="BV49" s="236"/>
      <c r="BW49" s="236"/>
      <c r="BX49" s="236"/>
      <c r="BY49" s="238"/>
      <c r="BZ49" s="236"/>
      <c r="CA49" s="236"/>
      <c r="CB49" s="236"/>
      <c r="CC49" s="236"/>
      <c r="CD49" s="236"/>
      <c r="CE49" s="239"/>
      <c r="CF49" s="236"/>
      <c r="CG49" s="236"/>
      <c r="CH49" s="236"/>
      <c r="CI49" s="236"/>
      <c r="CJ49" s="236"/>
      <c r="CK49" s="238"/>
      <c r="CL49" s="236"/>
      <c r="CM49" s="236"/>
      <c r="CN49" s="236"/>
      <c r="CO49" s="236"/>
      <c r="CP49" s="236"/>
      <c r="CQ49" s="239"/>
      <c r="CR49" s="236"/>
      <c r="CS49" s="236"/>
      <c r="CT49" s="236"/>
      <c r="CU49" s="236"/>
      <c r="CV49" s="236"/>
      <c r="CW49" s="238"/>
      <c r="CX49" s="236"/>
      <c r="CY49" s="236"/>
      <c r="CZ49" s="236"/>
      <c r="DA49" s="236"/>
      <c r="DB49" s="236"/>
      <c r="DC49" s="239"/>
      <c r="DD49" s="236"/>
      <c r="DE49" s="236"/>
      <c r="DF49" s="236"/>
      <c r="DG49" s="236"/>
      <c r="DH49" s="236"/>
      <c r="DI49" s="238"/>
      <c r="DJ49" s="236"/>
      <c r="DK49" s="236"/>
      <c r="DL49" s="236"/>
      <c r="DM49" s="236"/>
      <c r="DN49" s="236"/>
      <c r="DO49" s="239"/>
      <c r="DP49" s="236"/>
      <c r="DQ49" s="236"/>
      <c r="DR49" s="236"/>
      <c r="DS49" s="236"/>
      <c r="DT49" s="236"/>
      <c r="DU49" s="240"/>
      <c r="DV49" s="235"/>
      <c r="DW49" s="236"/>
      <c r="DX49" s="236"/>
      <c r="DY49" s="236"/>
      <c r="DZ49" s="236"/>
      <c r="EA49" s="237"/>
      <c r="EB49" s="236"/>
      <c r="EC49" s="236"/>
      <c r="ED49" s="236"/>
      <c r="EE49" s="236"/>
      <c r="EF49" s="236"/>
      <c r="EG49" s="238"/>
      <c r="EH49" s="236"/>
      <c r="EI49" s="236"/>
      <c r="EJ49" s="236"/>
      <c r="EK49" s="236"/>
      <c r="EL49" s="236"/>
      <c r="EM49" s="239"/>
      <c r="EN49" s="236"/>
      <c r="EO49" s="236"/>
      <c r="EP49" s="236"/>
      <c r="EQ49" s="236"/>
      <c r="ER49" s="236"/>
      <c r="ES49" s="238"/>
      <c r="ET49" s="236"/>
      <c r="EU49" s="236"/>
      <c r="EV49" s="236"/>
      <c r="EW49" s="236"/>
      <c r="EX49" s="236"/>
      <c r="EY49" s="239"/>
      <c r="EZ49" s="236"/>
      <c r="FA49" s="236"/>
      <c r="FB49" s="236"/>
      <c r="FC49" s="236"/>
      <c r="FD49" s="236"/>
      <c r="FE49" s="238"/>
      <c r="FF49" s="236"/>
      <c r="FG49" s="236"/>
      <c r="FH49" s="236"/>
      <c r="FI49" s="236"/>
      <c r="FJ49" s="236"/>
      <c r="FK49" s="239"/>
      <c r="FL49" s="236"/>
      <c r="FM49" s="236"/>
      <c r="FN49" s="236"/>
      <c r="FO49" s="236"/>
      <c r="FP49" s="236"/>
      <c r="FQ49" s="238"/>
      <c r="FR49" s="236"/>
      <c r="FS49" s="236"/>
      <c r="FT49" s="236"/>
      <c r="FU49" s="236"/>
      <c r="FV49" s="236"/>
      <c r="FW49" s="239"/>
      <c r="FX49" s="236"/>
      <c r="FY49" s="236"/>
      <c r="FZ49" s="236"/>
      <c r="GA49" s="236"/>
      <c r="GB49" s="236"/>
      <c r="GC49" s="240"/>
      <c r="GD49" s="235"/>
      <c r="GE49" s="236"/>
      <c r="GF49" s="236"/>
      <c r="GG49" s="236"/>
      <c r="GH49" s="236"/>
      <c r="GI49" s="237"/>
      <c r="GJ49" s="236"/>
      <c r="GK49" s="236"/>
      <c r="GL49" s="236"/>
      <c r="GM49" s="236"/>
      <c r="GN49" s="236"/>
      <c r="GO49" s="238"/>
      <c r="GP49" s="236"/>
      <c r="GQ49" s="236"/>
      <c r="GR49" s="236"/>
      <c r="GS49" s="236"/>
      <c r="GT49" s="236"/>
      <c r="GU49" s="239"/>
      <c r="GV49" s="236"/>
      <c r="GW49" s="236"/>
      <c r="GX49" s="236"/>
      <c r="GY49" s="236"/>
      <c r="GZ49" s="236"/>
      <c r="HA49" s="238"/>
      <c r="HB49" s="236"/>
      <c r="HC49" s="236"/>
      <c r="HD49" s="236"/>
      <c r="HE49" s="236"/>
      <c r="HF49" s="236"/>
      <c r="HG49" s="239"/>
      <c r="HH49" s="236"/>
      <c r="HI49" s="236"/>
      <c r="HJ49" s="236"/>
      <c r="HK49" s="236"/>
      <c r="HL49" s="236"/>
      <c r="HM49" s="238"/>
      <c r="HN49" s="236"/>
      <c r="HO49" s="236"/>
      <c r="HP49" s="236"/>
      <c r="HQ49" s="236"/>
      <c r="HR49" s="236"/>
      <c r="HS49" s="239"/>
      <c r="HT49" s="236"/>
      <c r="HU49" s="236"/>
      <c r="HV49" s="236"/>
      <c r="HW49" s="236"/>
      <c r="HX49" s="236"/>
      <c r="HY49" s="238"/>
      <c r="HZ49" s="236"/>
      <c r="IA49" s="236"/>
      <c r="IB49" s="236"/>
      <c r="IC49" s="236"/>
      <c r="ID49" s="236"/>
      <c r="IE49" s="239"/>
      <c r="IF49" s="236"/>
      <c r="IG49" s="236"/>
      <c r="IH49" s="236"/>
      <c r="II49" s="236"/>
      <c r="IJ49" s="236"/>
      <c r="IK49" s="240"/>
      <c r="IL49" s="235"/>
      <c r="IM49" s="236"/>
      <c r="IN49" s="236"/>
      <c r="IO49" s="236"/>
      <c r="IP49" s="236"/>
      <c r="IQ49" s="237"/>
      <c r="IR49" s="236"/>
      <c r="IS49" s="236"/>
      <c r="IT49" s="236"/>
      <c r="IU49" s="236"/>
      <c r="IV49" s="236"/>
      <c r="IW49" s="238"/>
      <c r="IX49" s="236"/>
      <c r="IY49" s="236"/>
      <c r="IZ49" s="236"/>
      <c r="JA49" s="236"/>
      <c r="JB49" s="236"/>
      <c r="JC49" s="239"/>
      <c r="JD49" s="236"/>
      <c r="JE49" s="236"/>
      <c r="JF49" s="236"/>
      <c r="JG49" s="236"/>
      <c r="JH49" s="236"/>
      <c r="JI49" s="238"/>
      <c r="JJ49" s="236"/>
      <c r="JK49" s="236"/>
      <c r="JL49" s="236"/>
      <c r="JM49" s="236"/>
      <c r="JN49" s="236"/>
      <c r="JO49" s="239"/>
      <c r="JP49" s="236"/>
      <c r="JQ49" s="236"/>
      <c r="JR49" s="236"/>
      <c r="JS49" s="236"/>
      <c r="JT49" s="236"/>
      <c r="JU49" s="238"/>
      <c r="JV49" s="236"/>
      <c r="JW49" s="236"/>
      <c r="JX49" s="236"/>
      <c r="JY49" s="236"/>
      <c r="JZ49" s="236"/>
      <c r="KA49" s="239"/>
      <c r="KB49" s="236"/>
      <c r="KC49" s="236"/>
      <c r="KD49" s="236"/>
      <c r="KE49" s="236"/>
      <c r="KF49" s="236"/>
      <c r="KG49" s="238"/>
      <c r="KH49" s="236"/>
      <c r="KI49" s="236"/>
      <c r="KJ49" s="236"/>
      <c r="KK49" s="236"/>
      <c r="KL49" s="236"/>
      <c r="KM49" s="239"/>
      <c r="KN49" s="236"/>
      <c r="KO49" s="236"/>
      <c r="KP49" s="236"/>
      <c r="KQ49" s="236"/>
      <c r="KR49" s="236"/>
      <c r="KS49" s="240"/>
      <c r="KT49" s="235"/>
      <c r="KU49" s="236"/>
      <c r="KV49" s="236"/>
      <c r="KW49" s="236"/>
      <c r="KX49" s="236"/>
      <c r="KY49" s="237"/>
      <c r="KZ49" s="236"/>
      <c r="LA49" s="236"/>
      <c r="LB49" s="236"/>
      <c r="LC49" s="236"/>
      <c r="LD49" s="236"/>
      <c r="LE49" s="238"/>
      <c r="LF49" s="236"/>
      <c r="LG49" s="236"/>
      <c r="LH49" s="236"/>
      <c r="LI49" s="236"/>
      <c r="LJ49" s="236"/>
      <c r="LK49" s="239"/>
      <c r="LL49" s="236"/>
      <c r="LM49" s="236"/>
      <c r="LN49" s="236"/>
      <c r="LO49" s="236"/>
      <c r="LP49" s="236"/>
      <c r="LQ49" s="238"/>
      <c r="LR49" s="236"/>
      <c r="LS49" s="236"/>
      <c r="LT49" s="236"/>
      <c r="LU49" s="236"/>
      <c r="LV49" s="236"/>
      <c r="LW49" s="239"/>
      <c r="LX49" s="236"/>
      <c r="LY49" s="236"/>
      <c r="LZ49" s="236"/>
      <c r="MA49" s="236"/>
      <c r="MB49" s="236"/>
      <c r="MC49" s="238"/>
      <c r="MD49" s="236"/>
      <c r="ME49" s="236"/>
      <c r="MF49" s="236"/>
      <c r="MG49" s="236"/>
      <c r="MH49" s="236"/>
      <c r="MI49" s="239"/>
      <c r="MJ49" s="236"/>
      <c r="MK49" s="236"/>
      <c r="ML49" s="236"/>
      <c r="MM49" s="236"/>
      <c r="MN49" s="236"/>
      <c r="MO49" s="238"/>
      <c r="MP49" s="236"/>
      <c r="MQ49" s="236"/>
      <c r="MR49" s="236"/>
      <c r="MS49" s="236"/>
      <c r="MT49" s="236"/>
      <c r="MU49" s="239"/>
      <c r="MV49" s="236"/>
      <c r="MW49" s="236"/>
      <c r="MX49" s="236"/>
      <c r="MY49" s="236"/>
      <c r="MZ49" s="236"/>
      <c r="NA49" s="240"/>
      <c r="NB49" s="157"/>
      <c r="NC49" s="149"/>
      <c r="ND49" s="149"/>
      <c r="NE49" s="149"/>
      <c r="NF49" s="149"/>
      <c r="NG49" s="150"/>
      <c r="NH49" s="149"/>
      <c r="NI49" s="149"/>
      <c r="NJ49" s="149"/>
      <c r="NK49" s="149"/>
      <c r="NL49" s="149"/>
      <c r="NM49" s="151"/>
      <c r="NN49" s="236"/>
      <c r="NO49" s="236"/>
      <c r="NP49" s="236"/>
      <c r="NQ49" s="236"/>
      <c r="NR49" s="236"/>
      <c r="NS49" s="239"/>
      <c r="NT49" s="236"/>
      <c r="NU49" s="236"/>
      <c r="NV49" s="236"/>
      <c r="NW49" s="236"/>
      <c r="NX49" s="236"/>
      <c r="NY49" s="238"/>
      <c r="NZ49" s="236"/>
      <c r="OA49" s="236"/>
      <c r="OB49" s="236"/>
      <c r="OC49" s="236"/>
      <c r="OD49" s="236"/>
      <c r="OE49" s="239"/>
      <c r="OF49" s="236"/>
      <c r="OG49" s="236"/>
      <c r="OH49" s="236"/>
      <c r="OI49" s="236"/>
      <c r="OJ49" s="236"/>
      <c r="OK49" s="238"/>
      <c r="OL49" s="236"/>
      <c r="OM49" s="236"/>
      <c r="ON49" s="236"/>
      <c r="OO49" s="236"/>
      <c r="OP49" s="236"/>
      <c r="OQ49" s="239"/>
      <c r="OR49" s="236"/>
      <c r="OS49" s="236"/>
      <c r="OT49" s="236"/>
      <c r="OU49" s="236"/>
      <c r="OV49" s="236"/>
      <c r="OW49" s="238"/>
      <c r="OX49" s="236"/>
      <c r="OY49" s="236"/>
      <c r="OZ49" s="236"/>
      <c r="PA49" s="236"/>
      <c r="PB49" s="236"/>
      <c r="PC49" s="239"/>
      <c r="PD49" s="236"/>
      <c r="PE49" s="236"/>
      <c r="PF49" s="236"/>
      <c r="PG49" s="236"/>
      <c r="PH49" s="236"/>
      <c r="PI49" s="240"/>
      <c r="PJ49" s="235"/>
      <c r="PK49" s="236"/>
      <c r="PL49" s="236"/>
      <c r="PM49" s="236"/>
      <c r="PN49" s="236"/>
      <c r="PO49" s="237"/>
      <c r="PP49" s="236"/>
      <c r="PQ49" s="236"/>
      <c r="PR49" s="236"/>
      <c r="PS49" s="236"/>
      <c r="PT49" s="236"/>
      <c r="PU49" s="238"/>
      <c r="PV49" s="236"/>
      <c r="PW49" s="236"/>
      <c r="PX49" s="236"/>
      <c r="PY49" s="236"/>
      <c r="PZ49" s="236"/>
      <c r="QA49" s="239"/>
      <c r="QB49" s="236"/>
      <c r="QC49" s="236"/>
      <c r="QD49" s="236"/>
      <c r="QE49" s="236"/>
      <c r="QF49" s="236"/>
      <c r="QG49" s="238"/>
      <c r="QH49" s="236"/>
      <c r="QI49" s="236"/>
      <c r="QJ49" s="236"/>
      <c r="QK49" s="236"/>
      <c r="QL49" s="236"/>
      <c r="QM49" s="239"/>
      <c r="QN49" s="236"/>
      <c r="QO49" s="236"/>
      <c r="QP49" s="236"/>
      <c r="QQ49" s="236"/>
      <c r="QR49" s="236"/>
      <c r="QS49" s="238"/>
      <c r="QT49" s="236"/>
      <c r="QU49" s="236"/>
      <c r="QV49" s="236"/>
      <c r="QW49" s="236"/>
      <c r="QX49" s="236"/>
      <c r="QY49" s="239"/>
      <c r="QZ49" s="236"/>
      <c r="RA49" s="236"/>
      <c r="RB49" s="236"/>
      <c r="RC49" s="236"/>
      <c r="RD49" s="236"/>
      <c r="RE49" s="238"/>
      <c r="RF49" s="236"/>
      <c r="RG49" s="236"/>
      <c r="RH49" s="236"/>
      <c r="RI49" s="236"/>
      <c r="RJ49" s="236"/>
      <c r="RK49" s="239"/>
      <c r="RL49" s="236"/>
      <c r="RM49" s="236"/>
      <c r="RN49" s="236"/>
      <c r="RO49" s="236"/>
      <c r="RP49" s="236"/>
      <c r="RQ49" s="240"/>
      <c r="RR49" s="235"/>
      <c r="RS49" s="236"/>
      <c r="RT49" s="236"/>
      <c r="RU49" s="236"/>
      <c r="RV49" s="236"/>
      <c r="RW49" s="237"/>
      <c r="RX49" s="236"/>
      <c r="RY49" s="236"/>
      <c r="RZ49" s="236"/>
      <c r="SA49" s="236"/>
      <c r="SB49" s="236"/>
      <c r="SC49" s="238"/>
      <c r="SD49" s="236"/>
      <c r="SE49" s="236"/>
      <c r="SF49" s="236"/>
      <c r="SG49" s="236"/>
      <c r="SH49" s="236"/>
      <c r="SI49" s="239"/>
      <c r="SJ49" s="236"/>
      <c r="SK49" s="236"/>
      <c r="SL49" s="236"/>
      <c r="SM49" s="236"/>
      <c r="SN49" s="236"/>
      <c r="SO49" s="238"/>
      <c r="SP49" s="236"/>
      <c r="SQ49" s="236"/>
      <c r="SR49" s="236"/>
      <c r="SS49" s="236"/>
      <c r="ST49" s="236"/>
      <c r="SU49" s="239"/>
      <c r="SV49" s="236"/>
      <c r="SW49" s="236"/>
      <c r="SX49" s="236"/>
      <c r="SY49" s="236"/>
      <c r="SZ49" s="236"/>
      <c r="TA49" s="238"/>
      <c r="TB49" s="236"/>
      <c r="TC49" s="236"/>
      <c r="TD49" s="236"/>
      <c r="TE49" s="236"/>
      <c r="TF49" s="236"/>
      <c r="TG49" s="239"/>
      <c r="TH49" s="236"/>
      <c r="TI49" s="236"/>
      <c r="TJ49" s="236"/>
      <c r="TK49" s="236"/>
      <c r="TL49" s="236"/>
      <c r="TM49" s="238"/>
      <c r="TN49" s="236"/>
      <c r="TO49" s="236"/>
      <c r="TP49" s="236"/>
      <c r="TQ49" s="236"/>
      <c r="TR49" s="236"/>
      <c r="TS49" s="239"/>
      <c r="TT49" s="236"/>
      <c r="TU49" s="236"/>
      <c r="TV49" s="236"/>
      <c r="TW49" s="236"/>
      <c r="TX49" s="236"/>
      <c r="TY49" s="240"/>
      <c r="TZ49" s="235"/>
      <c r="UA49" s="236"/>
      <c r="UB49" s="236"/>
      <c r="UC49" s="236"/>
      <c r="UD49" s="236"/>
      <c r="UE49" s="237"/>
      <c r="UF49" s="236"/>
      <c r="UG49" s="236"/>
      <c r="UH49" s="236"/>
      <c r="UI49" s="236"/>
      <c r="UJ49" s="236"/>
      <c r="UK49" s="238"/>
      <c r="UL49" s="236"/>
      <c r="UM49" s="236"/>
      <c r="UN49" s="236"/>
      <c r="UO49" s="236"/>
      <c r="UP49" s="236"/>
      <c r="UQ49" s="239"/>
      <c r="UR49" s="236"/>
      <c r="US49" s="236"/>
      <c r="UT49" s="236"/>
      <c r="UU49" s="236"/>
      <c r="UV49" s="236"/>
      <c r="UW49" s="238"/>
      <c r="UX49" s="236"/>
      <c r="UY49" s="236"/>
      <c r="UZ49" s="236"/>
      <c r="VA49" s="236"/>
      <c r="VB49" s="236"/>
      <c r="VC49" s="239"/>
      <c r="VD49" s="236"/>
      <c r="VE49" s="236"/>
      <c r="VF49" s="236"/>
      <c r="VG49" s="236"/>
      <c r="VH49" s="236"/>
      <c r="VI49" s="238"/>
      <c r="VJ49" s="236"/>
      <c r="VK49" s="236"/>
      <c r="VL49" s="236"/>
      <c r="VM49" s="236"/>
      <c r="VN49" s="236"/>
      <c r="VO49" s="239"/>
      <c r="VP49" s="236"/>
      <c r="VQ49" s="236"/>
      <c r="VR49" s="236"/>
      <c r="VS49" s="236"/>
      <c r="VT49" s="236"/>
      <c r="VU49" s="238"/>
      <c r="VV49" s="236"/>
      <c r="VW49" s="236"/>
      <c r="VX49" s="236"/>
      <c r="VY49" s="236"/>
      <c r="VZ49" s="236"/>
      <c r="WA49" s="239"/>
      <c r="WB49" s="236"/>
      <c r="WC49" s="236"/>
      <c r="WD49" s="236"/>
      <c r="WE49" s="236"/>
      <c r="WF49" s="236"/>
      <c r="WG49" s="240"/>
      <c r="WH49" s="235"/>
      <c r="WI49" s="236"/>
      <c r="WJ49" s="236"/>
      <c r="WK49" s="236"/>
      <c r="WL49" s="236"/>
      <c r="WM49" s="237"/>
      <c r="WN49" s="236"/>
      <c r="WO49" s="236"/>
      <c r="WP49" s="236"/>
      <c r="WQ49" s="236"/>
      <c r="WR49" s="236"/>
      <c r="WS49" s="238"/>
      <c r="WT49" s="236"/>
      <c r="WU49" s="236"/>
      <c r="WV49" s="236"/>
      <c r="WW49" s="236"/>
      <c r="WX49" s="236"/>
      <c r="WY49" s="239"/>
      <c r="WZ49" s="236"/>
      <c r="XA49" s="236"/>
      <c r="XB49" s="236"/>
      <c r="XC49" s="236"/>
      <c r="XD49" s="236"/>
      <c r="XE49" s="238"/>
      <c r="XF49" s="236"/>
      <c r="XG49" s="236"/>
      <c r="XH49" s="236"/>
      <c r="XI49" s="236"/>
      <c r="XJ49" s="236"/>
      <c r="XK49" s="239"/>
      <c r="XL49" s="236"/>
      <c r="XM49" s="236"/>
      <c r="XN49" s="236"/>
      <c r="XO49" s="236"/>
      <c r="XP49" s="236"/>
      <c r="XQ49" s="238"/>
      <c r="XR49" s="236"/>
      <c r="XS49" s="236"/>
      <c r="XT49" s="236"/>
      <c r="XU49" s="236"/>
      <c r="XV49" s="236"/>
      <c r="XW49" s="239"/>
      <c r="XX49" s="236"/>
      <c r="XY49" s="236"/>
      <c r="XZ49" s="236"/>
      <c r="YA49" s="236"/>
      <c r="YB49" s="236"/>
      <c r="YC49" s="238"/>
      <c r="YD49" s="236"/>
      <c r="YE49" s="236"/>
      <c r="YF49" s="236"/>
      <c r="YG49" s="236"/>
      <c r="YH49" s="236"/>
      <c r="YI49" s="239"/>
      <c r="YJ49" s="236"/>
      <c r="YK49" s="236"/>
      <c r="YL49" s="236"/>
      <c r="YM49" s="236"/>
      <c r="YN49" s="236"/>
      <c r="YO49" s="240"/>
      <c r="YP49" s="235"/>
      <c r="YQ49" s="236"/>
      <c r="YR49" s="236"/>
      <c r="YS49" s="236"/>
      <c r="YT49" s="236"/>
      <c r="YU49" s="237"/>
      <c r="YV49" s="236"/>
      <c r="YW49" s="236"/>
      <c r="YX49" s="236"/>
      <c r="YY49" s="236"/>
      <c r="YZ49" s="236"/>
      <c r="ZA49" s="238"/>
      <c r="ZB49" s="236"/>
      <c r="ZC49" s="236"/>
      <c r="ZD49" s="236"/>
      <c r="ZE49" s="236"/>
      <c r="ZF49" s="236"/>
      <c r="ZG49" s="239"/>
      <c r="ZH49" s="236"/>
      <c r="ZI49" s="236"/>
      <c r="ZJ49" s="236"/>
      <c r="ZK49" s="236"/>
      <c r="ZL49" s="236"/>
      <c r="ZM49" s="238"/>
      <c r="ZN49" s="236"/>
      <c r="ZO49" s="236"/>
      <c r="ZP49" s="236"/>
      <c r="ZQ49" s="236"/>
      <c r="ZR49" s="236"/>
      <c r="ZS49" s="239"/>
      <c r="ZT49" s="236"/>
      <c r="ZU49" s="236"/>
      <c r="ZV49" s="236"/>
      <c r="ZW49" s="236"/>
      <c r="ZX49" s="236"/>
      <c r="ZY49" s="238"/>
      <c r="ZZ49" s="236"/>
      <c r="AAA49" s="236"/>
      <c r="AAB49" s="236"/>
      <c r="AAC49" s="236"/>
      <c r="AAD49" s="236"/>
      <c r="AAE49" s="239"/>
      <c r="AAF49" s="236"/>
      <c r="AAG49" s="236"/>
      <c r="AAH49" s="236"/>
      <c r="AAI49" s="236"/>
      <c r="AAJ49" s="236"/>
      <c r="AAK49" s="238"/>
      <c r="AAL49" s="236"/>
      <c r="AAM49" s="236"/>
      <c r="AAN49" s="236"/>
      <c r="AAO49" s="236"/>
      <c r="AAP49" s="236"/>
      <c r="AAQ49" s="239"/>
      <c r="AAR49" s="236"/>
      <c r="AAS49" s="236"/>
      <c r="AAT49" s="236"/>
      <c r="AAU49" s="236"/>
      <c r="AAV49" s="236"/>
      <c r="AAW49" s="240"/>
      <c r="AAX49" s="235"/>
      <c r="AAY49" s="236"/>
      <c r="AAZ49" s="236"/>
      <c r="ABA49" s="236"/>
      <c r="ABB49" s="236"/>
      <c r="ABC49" s="237"/>
      <c r="ABD49" s="236"/>
      <c r="ABE49" s="236"/>
      <c r="ABF49" s="236"/>
      <c r="ABG49" s="236"/>
      <c r="ABH49" s="236"/>
      <c r="ABI49" s="238"/>
      <c r="ABJ49" s="236"/>
      <c r="ABK49" s="236"/>
      <c r="ABL49" s="236"/>
      <c r="ABM49" s="236"/>
      <c r="ABN49" s="236"/>
      <c r="ABO49" s="239"/>
      <c r="ABP49" s="236"/>
      <c r="ABQ49" s="236"/>
      <c r="ABR49" s="236"/>
      <c r="ABS49" s="236"/>
      <c r="ABT49" s="236"/>
      <c r="ABU49" s="238"/>
      <c r="ABV49" s="236"/>
      <c r="ABW49" s="236"/>
      <c r="ABX49" s="236"/>
      <c r="ABY49" s="236"/>
      <c r="ABZ49" s="236"/>
      <c r="ACA49" s="239"/>
      <c r="ACB49" s="236"/>
      <c r="ACC49" s="236"/>
      <c r="ACD49" s="236"/>
      <c r="ACE49" s="236"/>
      <c r="ACF49" s="236"/>
      <c r="ACG49" s="238"/>
      <c r="ACH49" s="236"/>
      <c r="ACI49" s="236"/>
      <c r="ACJ49" s="236"/>
      <c r="ACK49" s="236"/>
      <c r="ACL49" s="236"/>
      <c r="ACM49" s="239"/>
      <c r="ACN49" s="236"/>
      <c r="ACO49" s="236"/>
      <c r="ACP49" s="236"/>
      <c r="ACQ49" s="236"/>
      <c r="ACR49" s="236"/>
      <c r="ACS49" s="238"/>
      <c r="ACT49" s="236"/>
      <c r="ACU49" s="236"/>
      <c r="ACV49" s="236"/>
      <c r="ACW49" s="236"/>
      <c r="ACX49" s="236"/>
      <c r="ACY49" s="239"/>
      <c r="ACZ49" s="236"/>
      <c r="ADA49" s="236"/>
      <c r="ADB49" s="236"/>
      <c r="ADC49" s="236"/>
      <c r="ADD49" s="236"/>
      <c r="ADE49" s="240"/>
      <c r="ADF49" s="235"/>
      <c r="ADG49" s="236"/>
      <c r="ADH49" s="236"/>
      <c r="ADI49" s="236"/>
      <c r="ADJ49" s="236"/>
      <c r="ADK49" s="237"/>
      <c r="ADL49" s="236"/>
      <c r="ADM49" s="236"/>
      <c r="ADN49" s="236"/>
      <c r="ADO49" s="236"/>
      <c r="ADP49" s="236"/>
      <c r="ADQ49" s="238"/>
      <c r="ADR49" s="236"/>
      <c r="ADS49" s="236"/>
      <c r="ADT49" s="236"/>
      <c r="ADU49" s="236"/>
      <c r="ADV49" s="236"/>
      <c r="ADW49" s="239"/>
      <c r="ADX49" s="236"/>
      <c r="ADY49" s="236"/>
      <c r="ADZ49" s="236"/>
      <c r="AEA49" s="236"/>
      <c r="AEB49" s="236"/>
      <c r="AEC49" s="238"/>
      <c r="AED49" s="236"/>
      <c r="AEE49" s="236"/>
      <c r="AEF49" s="236"/>
      <c r="AEG49" s="236"/>
      <c r="AEH49" s="236"/>
      <c r="AEI49" s="239"/>
      <c r="AEJ49" s="236"/>
      <c r="AEK49" s="236"/>
      <c r="AEL49" s="236"/>
      <c r="AEM49" s="236"/>
      <c r="AEN49" s="236"/>
      <c r="AEO49" s="238"/>
      <c r="AEP49" s="236"/>
      <c r="AEQ49" s="236"/>
      <c r="AER49" s="236"/>
      <c r="AES49" s="236"/>
      <c r="AET49" s="236"/>
      <c r="AEU49" s="239"/>
      <c r="AEV49" s="236"/>
      <c r="AEW49" s="236"/>
      <c r="AEX49" s="236"/>
      <c r="AEY49" s="236"/>
      <c r="AEZ49" s="236"/>
      <c r="AFA49" s="238"/>
      <c r="AFB49" s="236"/>
      <c r="AFC49" s="236"/>
      <c r="AFD49" s="236"/>
      <c r="AFE49" s="236"/>
      <c r="AFF49" s="236"/>
      <c r="AFG49" s="239"/>
      <c r="AFH49" s="236"/>
      <c r="AFI49" s="236"/>
      <c r="AFJ49" s="236"/>
      <c r="AFK49" s="236"/>
      <c r="AFL49" s="236"/>
      <c r="AFM49" s="240"/>
      <c r="AFN49" s="235"/>
      <c r="AFO49" s="236"/>
      <c r="AFP49" s="236"/>
      <c r="AFQ49" s="236"/>
      <c r="AFR49" s="236"/>
      <c r="AFS49" s="237"/>
      <c r="AFT49" s="236"/>
      <c r="AFU49" s="236"/>
      <c r="AFV49" s="236"/>
      <c r="AFW49" s="236"/>
      <c r="AFX49" s="236"/>
      <c r="AFY49" s="238"/>
      <c r="AFZ49" s="236"/>
      <c r="AGA49" s="236"/>
      <c r="AGB49" s="236"/>
      <c r="AGC49" s="236"/>
      <c r="AGD49" s="236"/>
      <c r="AGE49" s="239"/>
      <c r="AGF49" s="236"/>
      <c r="AGG49" s="236"/>
      <c r="AGH49" s="236"/>
      <c r="AGI49" s="236"/>
      <c r="AGJ49" s="236"/>
      <c r="AGK49" s="238"/>
      <c r="AGL49" s="236"/>
      <c r="AGM49" s="236"/>
      <c r="AGN49" s="236"/>
      <c r="AGO49" s="236"/>
      <c r="AGP49" s="236"/>
      <c r="AGQ49" s="239"/>
      <c r="AGR49" s="236"/>
      <c r="AGS49" s="236"/>
      <c r="AGT49" s="236"/>
      <c r="AGU49" s="236"/>
      <c r="AGV49" s="236"/>
      <c r="AGW49" s="238"/>
      <c r="AGX49" s="236"/>
      <c r="AGY49" s="236"/>
      <c r="AGZ49" s="236"/>
      <c r="AHA49" s="236"/>
      <c r="AHB49" s="236"/>
      <c r="AHC49" s="239"/>
      <c r="AHD49" s="236"/>
      <c r="AHE49" s="236"/>
      <c r="AHF49" s="236"/>
      <c r="AHG49" s="236"/>
      <c r="AHH49" s="236"/>
      <c r="AHI49" s="238"/>
      <c r="AHJ49" s="236"/>
      <c r="AHK49" s="236"/>
      <c r="AHL49" s="236"/>
      <c r="AHM49" s="236"/>
      <c r="AHN49" s="236"/>
      <c r="AHO49" s="239"/>
      <c r="AHP49" s="236"/>
      <c r="AHQ49" s="236"/>
      <c r="AHR49" s="236"/>
      <c r="AHS49" s="236"/>
      <c r="AHT49" s="236"/>
      <c r="AHU49" s="240"/>
      <c r="AHV49" s="235"/>
      <c r="AHW49" s="236"/>
      <c r="AHX49" s="236"/>
      <c r="AHY49" s="236"/>
      <c r="AHZ49" s="236"/>
      <c r="AIA49" s="237"/>
      <c r="AIB49" s="236"/>
      <c r="AIC49" s="236"/>
      <c r="AID49" s="236"/>
      <c r="AIE49" s="236"/>
      <c r="AIF49" s="236"/>
      <c r="AIG49" s="238"/>
      <c r="AIH49" s="236"/>
      <c r="AII49" s="236"/>
      <c r="AIJ49" s="236"/>
      <c r="AIK49" s="236"/>
      <c r="AIL49" s="236"/>
      <c r="AIM49" s="239"/>
      <c r="AIN49" s="236"/>
      <c r="AIO49" s="236"/>
      <c r="AIP49" s="236"/>
      <c r="AIQ49" s="236"/>
      <c r="AIR49" s="236"/>
      <c r="AIS49" s="238"/>
      <c r="AIT49" s="236"/>
      <c r="AIU49" s="236"/>
      <c r="AIV49" s="236"/>
      <c r="AIW49" s="236"/>
      <c r="AIX49" s="236"/>
      <c r="AIY49" s="239"/>
      <c r="AIZ49" s="236"/>
      <c r="AJA49" s="236"/>
      <c r="AJB49" s="236"/>
      <c r="AJC49" s="236"/>
      <c r="AJD49" s="236"/>
      <c r="AJE49" s="238"/>
      <c r="AJF49" s="236"/>
      <c r="AJG49" s="236"/>
      <c r="AJH49" s="236"/>
      <c r="AJI49" s="236"/>
      <c r="AJJ49" s="236"/>
      <c r="AJK49" s="239"/>
      <c r="AJL49" s="236"/>
      <c r="AJM49" s="236"/>
      <c r="AJN49" s="236"/>
      <c r="AJO49" s="236"/>
      <c r="AJP49" s="236"/>
      <c r="AJQ49" s="238"/>
      <c r="AJR49" s="236"/>
      <c r="AJS49" s="236"/>
      <c r="AJT49" s="236"/>
      <c r="AJU49" s="236"/>
      <c r="AJV49" s="236"/>
      <c r="AJW49" s="239"/>
      <c r="AJX49" s="236"/>
      <c r="AJY49" s="236"/>
      <c r="AJZ49" s="236"/>
      <c r="AKA49" s="236"/>
      <c r="AKB49" s="236"/>
      <c r="AKC49" s="240"/>
      <c r="AKD49" s="235"/>
      <c r="AKE49" s="236"/>
      <c r="AKF49" s="236"/>
      <c r="AKG49" s="236"/>
      <c r="AKH49" s="236"/>
      <c r="AKI49" s="237"/>
      <c r="AKJ49" s="236"/>
      <c r="AKK49" s="236"/>
      <c r="AKL49" s="236"/>
      <c r="AKM49" s="236"/>
      <c r="AKN49" s="236"/>
      <c r="AKO49" s="238"/>
      <c r="AKP49" s="236"/>
      <c r="AKQ49" s="236"/>
      <c r="AKR49" s="236"/>
      <c r="AKS49" s="236"/>
      <c r="AKT49" s="236"/>
      <c r="AKU49" s="239"/>
      <c r="AKV49" s="236"/>
      <c r="AKW49" s="236"/>
      <c r="AKX49" s="236"/>
      <c r="AKY49" s="236"/>
      <c r="AKZ49" s="236"/>
      <c r="ALA49" s="238"/>
      <c r="ALB49" s="236"/>
      <c r="ALC49" s="236"/>
      <c r="ALD49" s="236"/>
      <c r="ALE49" s="236"/>
      <c r="ALF49" s="236"/>
      <c r="ALG49" s="239"/>
      <c r="ALH49" s="236"/>
      <c r="ALI49" s="236"/>
      <c r="ALJ49" s="236"/>
      <c r="ALK49" s="236"/>
      <c r="ALL49" s="236"/>
      <c r="ALM49" s="238"/>
      <c r="ALN49" s="236"/>
      <c r="ALO49" s="236"/>
      <c r="ALP49" s="236"/>
      <c r="ALQ49" s="236"/>
      <c r="ALR49" s="236"/>
      <c r="ALS49" s="239"/>
      <c r="ALT49" s="236"/>
      <c r="ALU49" s="236"/>
      <c r="ALV49" s="236"/>
      <c r="ALW49" s="236"/>
      <c r="ALX49" s="236"/>
      <c r="ALY49" s="238"/>
      <c r="ALZ49" s="236"/>
      <c r="AMA49" s="236"/>
      <c r="AMB49" s="236"/>
      <c r="AMC49" s="236"/>
      <c r="AMD49" s="236"/>
      <c r="AME49" s="239"/>
      <c r="AMF49" s="236"/>
      <c r="AMG49" s="236"/>
      <c r="AMH49" s="236"/>
      <c r="AMI49" s="236"/>
      <c r="AMJ49" s="236"/>
      <c r="AMK49" s="240"/>
      <c r="AML49" s="235"/>
      <c r="AMM49" s="236"/>
      <c r="AMN49" s="236"/>
      <c r="AMO49" s="236"/>
      <c r="AMP49" s="236"/>
      <c r="AMQ49" s="237"/>
      <c r="AMR49" s="236"/>
      <c r="AMS49" s="236"/>
      <c r="AMT49" s="236"/>
      <c r="AMU49" s="236"/>
      <c r="AMV49" s="236"/>
      <c r="AMW49" s="238"/>
      <c r="AMX49" s="236"/>
      <c r="AMY49" s="236"/>
      <c r="AMZ49" s="236"/>
      <c r="ANA49" s="236"/>
      <c r="ANB49" s="236"/>
      <c r="ANC49" s="239"/>
      <c r="AND49" s="236"/>
      <c r="ANE49" s="236"/>
      <c r="ANF49" s="236"/>
      <c r="ANG49" s="236"/>
      <c r="ANH49" s="236"/>
      <c r="ANI49" s="238"/>
      <c r="ANJ49" s="236"/>
      <c r="ANK49" s="236"/>
      <c r="ANL49" s="236"/>
      <c r="ANM49" s="236"/>
      <c r="ANN49" s="236"/>
      <c r="ANO49" s="239"/>
      <c r="ANP49" s="236"/>
      <c r="ANQ49" s="236"/>
      <c r="ANR49" s="236"/>
      <c r="ANS49" s="236"/>
      <c r="ANT49" s="236"/>
      <c r="ANU49" s="238"/>
      <c r="ANV49" s="236"/>
      <c r="ANW49" s="236"/>
      <c r="ANX49" s="236"/>
      <c r="ANY49" s="236"/>
      <c r="ANZ49" s="236"/>
      <c r="AOA49" s="239"/>
      <c r="AOB49" s="236"/>
      <c r="AOC49" s="236"/>
      <c r="AOD49" s="236"/>
      <c r="AOE49" s="236"/>
      <c r="AOF49" s="236"/>
      <c r="AOG49" s="238"/>
      <c r="AOH49" s="236"/>
      <c r="AOI49" s="236"/>
      <c r="AOJ49" s="236"/>
      <c r="AOK49" s="236"/>
      <c r="AOL49" s="236"/>
      <c r="AOM49" s="239"/>
      <c r="AON49" s="236"/>
      <c r="AOO49" s="236"/>
      <c r="AOP49" s="236"/>
      <c r="AOQ49" s="236"/>
      <c r="AOR49" s="236"/>
      <c r="AOS49" s="240"/>
      <c r="AOT49" s="235"/>
      <c r="AOU49" s="236"/>
      <c r="AOV49" s="236"/>
      <c r="AOW49" s="236"/>
      <c r="AOX49" s="236"/>
      <c r="AOY49" s="237"/>
      <c r="AOZ49" s="236"/>
      <c r="APA49" s="236"/>
      <c r="APB49" s="236"/>
      <c r="APC49" s="236"/>
      <c r="APD49" s="236"/>
      <c r="APE49" s="238"/>
      <c r="APF49" s="236"/>
      <c r="APG49" s="236"/>
      <c r="APH49" s="236"/>
      <c r="API49" s="236"/>
      <c r="APJ49" s="236"/>
      <c r="APK49" s="239"/>
      <c r="APL49" s="236"/>
      <c r="APM49" s="236"/>
      <c r="APN49" s="236"/>
      <c r="APO49" s="236"/>
      <c r="APP49" s="236"/>
      <c r="APQ49" s="238"/>
      <c r="APR49" s="236"/>
      <c r="APS49" s="236"/>
      <c r="APT49" s="236"/>
      <c r="APU49" s="236"/>
      <c r="APV49" s="236"/>
      <c r="APW49" s="239"/>
      <c r="APX49" s="236"/>
      <c r="APY49" s="236"/>
      <c r="APZ49" s="236"/>
      <c r="AQA49" s="236"/>
      <c r="AQB49" s="236"/>
      <c r="AQC49" s="238"/>
      <c r="AQD49" s="236"/>
      <c r="AQE49" s="236"/>
      <c r="AQF49" s="236"/>
      <c r="AQG49" s="236"/>
      <c r="AQH49" s="236"/>
      <c r="AQI49" s="239"/>
      <c r="AQJ49" s="236"/>
      <c r="AQK49" s="236"/>
      <c r="AQL49" s="236"/>
      <c r="AQM49" s="236"/>
      <c r="AQN49" s="236"/>
      <c r="AQO49" s="238"/>
      <c r="AQP49" s="236"/>
      <c r="AQQ49" s="236"/>
      <c r="AQR49" s="236"/>
      <c r="AQS49" s="236"/>
      <c r="AQT49" s="236"/>
      <c r="AQU49" s="239"/>
      <c r="AQV49" s="236"/>
      <c r="AQW49" s="236"/>
      <c r="AQX49" s="236"/>
      <c r="AQY49" s="236"/>
      <c r="AQZ49" s="236"/>
      <c r="ARA49" s="240"/>
      <c r="ARB49" s="235"/>
      <c r="ARC49" s="236"/>
      <c r="ARD49" s="236"/>
      <c r="ARE49" s="236"/>
      <c r="ARF49" s="236"/>
      <c r="ARG49" s="237"/>
      <c r="ARH49" s="236"/>
      <c r="ARI49" s="236"/>
      <c r="ARJ49" s="236"/>
      <c r="ARK49" s="236"/>
      <c r="ARL49" s="236"/>
      <c r="ARM49" s="238"/>
      <c r="ARN49" s="236"/>
      <c r="ARO49" s="236"/>
      <c r="ARP49" s="236"/>
      <c r="ARQ49" s="236"/>
      <c r="ARR49" s="236"/>
      <c r="ARS49" s="239"/>
      <c r="ART49" s="236"/>
      <c r="ARU49" s="236"/>
      <c r="ARV49" s="236"/>
      <c r="ARW49" s="236"/>
      <c r="ARX49" s="236"/>
      <c r="ARY49" s="238"/>
      <c r="ARZ49" s="236"/>
      <c r="ASA49" s="236"/>
      <c r="ASB49" s="236"/>
      <c r="ASC49" s="236"/>
      <c r="ASD49" s="236"/>
      <c r="ASE49" s="239"/>
      <c r="ASF49" s="236"/>
      <c r="ASG49" s="236"/>
      <c r="ASH49" s="236"/>
      <c r="ASI49" s="236"/>
      <c r="ASJ49" s="236"/>
      <c r="ASK49" s="238"/>
      <c r="ASL49" s="236"/>
      <c r="ASM49" s="236"/>
      <c r="ASN49" s="236"/>
      <c r="ASO49" s="236"/>
      <c r="ASP49" s="236"/>
      <c r="ASQ49" s="239"/>
      <c r="ASR49" s="236"/>
      <c r="ASS49" s="236"/>
      <c r="AST49" s="236"/>
      <c r="ASU49" s="236"/>
      <c r="ASV49" s="236"/>
      <c r="ASW49" s="238"/>
      <c r="ASX49" s="236"/>
      <c r="ASY49" s="236"/>
      <c r="ASZ49" s="236"/>
      <c r="ATA49" s="236"/>
      <c r="ATB49" s="236"/>
      <c r="ATC49" s="239"/>
      <c r="ATD49" s="236"/>
      <c r="ATE49" s="236"/>
      <c r="ATF49" s="236"/>
      <c r="ATG49" s="236"/>
      <c r="ATH49" s="236"/>
      <c r="ATI49" s="240"/>
      <c r="ATJ49" s="235"/>
      <c r="ATK49" s="236"/>
      <c r="ATL49" s="236"/>
      <c r="ATM49" s="236"/>
      <c r="ATN49" s="236"/>
      <c r="ATO49" s="237"/>
      <c r="ATP49" s="236"/>
      <c r="ATQ49" s="236"/>
      <c r="ATR49" s="236"/>
      <c r="ATS49" s="236"/>
      <c r="ATT49" s="236"/>
      <c r="ATU49" s="238"/>
      <c r="ATV49" s="236"/>
      <c r="ATW49" s="236"/>
      <c r="ATX49" s="236"/>
      <c r="ATY49" s="236"/>
      <c r="ATZ49" s="236"/>
      <c r="AUA49" s="239"/>
      <c r="AUB49" s="236"/>
      <c r="AUC49" s="236"/>
      <c r="AUD49" s="236"/>
      <c r="AUE49" s="236"/>
      <c r="AUF49" s="236"/>
      <c r="AUG49" s="238"/>
      <c r="AUH49" s="236"/>
      <c r="AUI49" s="236"/>
      <c r="AUJ49" s="236"/>
      <c r="AUK49" s="236"/>
      <c r="AUL49" s="236"/>
      <c r="AUM49" s="239"/>
      <c r="AUN49" s="236"/>
      <c r="AUO49" s="236"/>
      <c r="AUP49" s="236"/>
      <c r="AUQ49" s="236"/>
      <c r="AUR49" s="236"/>
      <c r="AUS49" s="238"/>
      <c r="AUT49" s="236"/>
      <c r="AUU49" s="236"/>
      <c r="AUV49" s="236"/>
      <c r="AUW49" s="236"/>
      <c r="AUX49" s="236"/>
      <c r="AUY49" s="239"/>
      <c r="AUZ49" s="236"/>
      <c r="AVA49" s="236"/>
      <c r="AVB49" s="236"/>
      <c r="AVC49" s="236"/>
      <c r="AVD49" s="236"/>
      <c r="AVE49" s="238"/>
      <c r="AVF49" s="236"/>
      <c r="AVG49" s="236"/>
      <c r="AVH49" s="236"/>
      <c r="AVI49" s="236"/>
      <c r="AVJ49" s="236"/>
      <c r="AVK49" s="239"/>
      <c r="AVL49" s="236"/>
      <c r="AVM49" s="236"/>
      <c r="AVN49" s="236"/>
      <c r="AVO49" s="236"/>
      <c r="AVP49" s="236"/>
      <c r="AVQ49" s="240"/>
      <c r="AVR49" s="235"/>
      <c r="AVS49" s="236"/>
      <c r="AVT49" s="236"/>
      <c r="AVU49" s="236"/>
      <c r="AVV49" s="236"/>
      <c r="AVW49" s="237"/>
      <c r="AVX49" s="236"/>
      <c r="AVY49" s="236"/>
      <c r="AVZ49" s="236"/>
      <c r="AWA49" s="236"/>
      <c r="AWB49" s="236"/>
      <c r="AWC49" s="238"/>
      <c r="AWD49" s="236"/>
      <c r="AWE49" s="236"/>
      <c r="AWF49" s="236"/>
      <c r="AWG49" s="236"/>
      <c r="AWH49" s="236"/>
      <c r="AWI49" s="239"/>
      <c r="AWJ49" s="236"/>
      <c r="AWK49" s="236"/>
      <c r="AWL49" s="236"/>
      <c r="AWM49" s="236"/>
      <c r="AWN49" s="236"/>
      <c r="AWO49" s="238"/>
      <c r="AWP49" s="236"/>
      <c r="AWQ49" s="236"/>
      <c r="AWR49" s="236"/>
      <c r="AWS49" s="236"/>
      <c r="AWT49" s="236"/>
      <c r="AWU49" s="239"/>
      <c r="AWV49" s="236"/>
      <c r="AWW49" s="236"/>
      <c r="AWX49" s="236"/>
      <c r="AWY49" s="236"/>
      <c r="AWZ49" s="236"/>
      <c r="AXA49" s="238"/>
      <c r="AXB49" s="236"/>
      <c r="AXC49" s="236"/>
      <c r="AXD49" s="236"/>
      <c r="AXE49" s="236"/>
      <c r="AXF49" s="236"/>
      <c r="AXG49" s="239"/>
      <c r="AXH49" s="236"/>
      <c r="AXI49" s="236"/>
      <c r="AXJ49" s="236"/>
      <c r="AXK49" s="236"/>
      <c r="AXL49" s="236"/>
      <c r="AXM49" s="238"/>
      <c r="AXN49" s="236"/>
      <c r="AXO49" s="236"/>
      <c r="AXP49" s="236"/>
      <c r="AXQ49" s="236"/>
      <c r="AXR49" s="236"/>
      <c r="AXS49" s="239"/>
      <c r="AXT49" s="236"/>
      <c r="AXU49" s="236"/>
      <c r="AXV49" s="236"/>
      <c r="AXW49" s="236"/>
      <c r="AXX49" s="236"/>
      <c r="AXY49" s="240"/>
      <c r="AXZ49" s="235"/>
      <c r="AYA49" s="236"/>
      <c r="AYB49" s="236"/>
      <c r="AYC49" s="236"/>
      <c r="AYD49" s="236"/>
      <c r="AYE49" s="237"/>
      <c r="AYF49" s="236"/>
      <c r="AYG49" s="236"/>
      <c r="AYH49" s="236"/>
      <c r="AYI49" s="236"/>
      <c r="AYJ49" s="236"/>
      <c r="AYK49" s="238"/>
      <c r="AYL49" s="236"/>
      <c r="AYM49" s="236"/>
      <c r="AYN49" s="236"/>
      <c r="AYO49" s="236"/>
      <c r="AYP49" s="236"/>
      <c r="AYQ49" s="239"/>
      <c r="AYR49" s="236"/>
      <c r="AYS49" s="236"/>
      <c r="AYT49" s="236"/>
      <c r="AYU49" s="236"/>
      <c r="AYV49" s="236"/>
      <c r="AYW49" s="238"/>
      <c r="AYX49" s="236"/>
      <c r="AYY49" s="236"/>
      <c r="AYZ49" s="236"/>
      <c r="AZA49" s="236"/>
      <c r="AZB49" s="236"/>
      <c r="AZC49" s="239"/>
      <c r="AZD49" s="236"/>
      <c r="AZE49" s="236"/>
      <c r="AZF49" s="236"/>
      <c r="AZG49" s="236"/>
      <c r="AZH49" s="236"/>
      <c r="AZI49" s="238"/>
      <c r="AZJ49" s="236"/>
      <c r="AZK49" s="236"/>
      <c r="AZL49" s="236"/>
      <c r="AZM49" s="236"/>
      <c r="AZN49" s="236"/>
      <c r="AZO49" s="239"/>
      <c r="AZP49" s="236"/>
      <c r="AZQ49" s="236"/>
      <c r="AZR49" s="236"/>
      <c r="AZS49" s="236"/>
      <c r="AZT49" s="236"/>
      <c r="AZU49" s="238"/>
      <c r="AZV49" s="236"/>
      <c r="AZW49" s="236"/>
      <c r="AZX49" s="236"/>
      <c r="AZY49" s="236"/>
      <c r="AZZ49" s="236"/>
      <c r="BAA49" s="239"/>
      <c r="BAB49" s="236"/>
      <c r="BAC49" s="236"/>
      <c r="BAD49" s="236"/>
      <c r="BAE49" s="236"/>
      <c r="BAF49" s="236"/>
      <c r="BAG49" s="240"/>
      <c r="BAH49" s="235"/>
      <c r="BAI49" s="236"/>
      <c r="BAJ49" s="236"/>
      <c r="BAK49" s="236"/>
      <c r="BAL49" s="236"/>
      <c r="BAM49" s="237"/>
      <c r="BAN49" s="236"/>
      <c r="BAO49" s="236"/>
      <c r="BAP49" s="236"/>
      <c r="BAQ49" s="236"/>
      <c r="BAR49" s="236"/>
      <c r="BAS49" s="238"/>
      <c r="BAT49" s="236"/>
      <c r="BAU49" s="236"/>
      <c r="BAV49" s="236"/>
      <c r="BAW49" s="236"/>
      <c r="BAX49" s="236"/>
      <c r="BAY49" s="239"/>
      <c r="BAZ49" s="236"/>
      <c r="BBA49" s="236"/>
      <c r="BBB49" s="236"/>
      <c r="BBC49" s="236"/>
      <c r="BBD49" s="236"/>
      <c r="BBE49" s="238"/>
      <c r="BBF49" s="236"/>
      <c r="BBG49" s="236"/>
      <c r="BBH49" s="236"/>
      <c r="BBI49" s="236"/>
      <c r="BBJ49" s="236"/>
      <c r="BBK49" s="239"/>
      <c r="BBL49" s="236"/>
      <c r="BBM49" s="236"/>
      <c r="BBN49" s="236"/>
      <c r="BBO49" s="236"/>
      <c r="BBP49" s="236"/>
      <c r="BBQ49" s="238"/>
      <c r="BBR49" s="236"/>
      <c r="BBS49" s="236"/>
      <c r="BBT49" s="236"/>
      <c r="BBU49" s="236"/>
      <c r="BBV49" s="236"/>
      <c r="BBW49" s="239"/>
      <c r="BBX49" s="236"/>
      <c r="BBY49" s="236"/>
      <c r="BBZ49" s="236"/>
      <c r="BCA49" s="236"/>
      <c r="BCB49" s="236"/>
      <c r="BCC49" s="238"/>
      <c r="BCD49" s="236"/>
      <c r="BCE49" s="236"/>
      <c r="BCF49" s="236"/>
      <c r="BCG49" s="236"/>
      <c r="BCH49" s="236"/>
      <c r="BCI49" s="239"/>
      <c r="BCJ49" s="236"/>
      <c r="BCK49" s="236"/>
      <c r="BCL49" s="236"/>
      <c r="BCM49" s="236"/>
      <c r="BCN49" s="236"/>
      <c r="BCO49" s="240"/>
      <c r="BCP49" s="235"/>
      <c r="BCQ49" s="236"/>
      <c r="BCR49" s="236"/>
      <c r="BCS49" s="236"/>
      <c r="BCT49" s="236"/>
      <c r="BCU49" s="237"/>
      <c r="BCV49" s="236"/>
      <c r="BCW49" s="236"/>
      <c r="BCX49" s="236"/>
      <c r="BCY49" s="236"/>
      <c r="BCZ49" s="236"/>
      <c r="BDA49" s="238"/>
      <c r="BDB49" s="236"/>
      <c r="BDC49" s="236"/>
      <c r="BDD49" s="236"/>
      <c r="BDE49" s="236"/>
      <c r="BDF49" s="236"/>
      <c r="BDG49" s="239"/>
      <c r="BDH49" s="236"/>
      <c r="BDI49" s="236"/>
      <c r="BDJ49" s="236"/>
      <c r="BDK49" s="236"/>
      <c r="BDL49" s="236"/>
      <c r="BDM49" s="238"/>
      <c r="BDN49" s="236"/>
      <c r="BDO49" s="236"/>
      <c r="BDP49" s="236"/>
      <c r="BDQ49" s="236"/>
      <c r="BDR49" s="236"/>
      <c r="BDS49" s="239"/>
      <c r="BDT49" s="236"/>
      <c r="BDU49" s="236"/>
      <c r="BDV49" s="236"/>
      <c r="BDW49" s="236"/>
      <c r="BDX49" s="236"/>
      <c r="BDY49" s="238"/>
      <c r="BDZ49" s="236"/>
      <c r="BEA49" s="236"/>
      <c r="BEB49" s="236"/>
      <c r="BEC49" s="236"/>
      <c r="BED49" s="236"/>
      <c r="BEE49" s="239"/>
      <c r="BEF49" s="236"/>
      <c r="BEG49" s="236"/>
      <c r="BEH49" s="236"/>
      <c r="BEI49" s="236"/>
      <c r="BEJ49" s="236"/>
      <c r="BEK49" s="238"/>
      <c r="BEL49" s="236"/>
      <c r="BEM49" s="236"/>
      <c r="BEN49" s="236"/>
      <c r="BEO49" s="236"/>
      <c r="BEP49" s="236"/>
      <c r="BEQ49" s="239"/>
      <c r="BER49" s="236"/>
      <c r="BES49" s="236"/>
      <c r="BET49" s="236"/>
      <c r="BEU49" s="236"/>
      <c r="BEV49" s="236"/>
      <c r="BEW49" s="240"/>
      <c r="BEX49" s="235"/>
      <c r="BEY49" s="236"/>
      <c r="BEZ49" s="236"/>
      <c r="BFA49" s="236"/>
      <c r="BFB49" s="236"/>
      <c r="BFC49" s="237"/>
      <c r="BFD49" s="236"/>
      <c r="BFE49" s="236"/>
      <c r="BFF49" s="236"/>
      <c r="BFG49" s="236"/>
      <c r="BFH49" s="236"/>
      <c r="BFI49" s="238"/>
      <c r="BFJ49" s="236"/>
      <c r="BFK49" s="236"/>
      <c r="BFL49" s="236"/>
      <c r="BFM49" s="236"/>
      <c r="BFN49" s="236"/>
      <c r="BFO49" s="239"/>
      <c r="BFP49" s="236"/>
      <c r="BFQ49" s="236"/>
      <c r="BFR49" s="236"/>
      <c r="BFS49" s="236"/>
      <c r="BFT49" s="236"/>
      <c r="BFU49" s="238"/>
      <c r="BFV49" s="236"/>
      <c r="BFW49" s="236"/>
      <c r="BFX49" s="236"/>
      <c r="BFY49" s="236"/>
      <c r="BFZ49" s="236"/>
      <c r="BGA49" s="239"/>
      <c r="BGB49" s="236"/>
      <c r="BGC49" s="236"/>
      <c r="BGD49" s="236"/>
      <c r="BGE49" s="236"/>
      <c r="BGF49" s="236"/>
      <c r="BGG49" s="238"/>
      <c r="BGH49" s="236"/>
      <c r="BGI49" s="236"/>
      <c r="BGJ49" s="236"/>
      <c r="BGK49" s="236"/>
      <c r="BGL49" s="236"/>
      <c r="BGM49" s="239"/>
      <c r="BGN49" s="236"/>
      <c r="BGO49" s="236"/>
      <c r="BGP49" s="236"/>
      <c r="BGQ49" s="236"/>
      <c r="BGR49" s="236"/>
      <c r="BGS49" s="238"/>
      <c r="BGT49" s="236"/>
      <c r="BGU49" s="236"/>
      <c r="BGV49" s="236"/>
      <c r="BGW49" s="236"/>
      <c r="BGX49" s="236"/>
      <c r="BGY49" s="239"/>
      <c r="BGZ49" s="236"/>
      <c r="BHA49" s="236"/>
      <c r="BHB49" s="236"/>
      <c r="BHC49" s="236"/>
      <c r="BHD49" s="236"/>
      <c r="BHE49" s="240"/>
      <c r="BHF49" s="235"/>
      <c r="BHG49" s="236"/>
      <c r="BHH49" s="236"/>
      <c r="BHI49" s="236"/>
      <c r="BHJ49" s="236"/>
      <c r="BHK49" s="237"/>
      <c r="BHL49" s="236"/>
      <c r="BHM49" s="236"/>
      <c r="BHN49" s="236"/>
      <c r="BHO49" s="236"/>
      <c r="BHP49" s="236"/>
      <c r="BHQ49" s="238"/>
      <c r="BHR49" s="236"/>
      <c r="BHS49" s="236"/>
      <c r="BHT49" s="236"/>
      <c r="BHU49" s="236"/>
      <c r="BHV49" s="236"/>
      <c r="BHW49" s="239"/>
      <c r="BHX49" s="236"/>
      <c r="BHY49" s="236"/>
      <c r="BHZ49" s="236"/>
      <c r="BIA49" s="236"/>
      <c r="BIB49" s="236"/>
      <c r="BIC49" s="238"/>
      <c r="BID49" s="236"/>
      <c r="BIE49" s="236"/>
      <c r="BIF49" s="236"/>
      <c r="BIG49" s="236"/>
      <c r="BIH49" s="236"/>
      <c r="BII49" s="239"/>
      <c r="BIJ49" s="236"/>
      <c r="BIK49" s="236"/>
      <c r="BIL49" s="236"/>
      <c r="BIM49" s="236"/>
      <c r="BIN49" s="236"/>
      <c r="BIO49" s="238"/>
      <c r="BIP49" s="236"/>
      <c r="BIQ49" s="236"/>
      <c r="BIR49" s="236"/>
      <c r="BIS49" s="236"/>
      <c r="BIT49" s="236"/>
      <c r="BIU49" s="239"/>
      <c r="BIV49" s="236"/>
      <c r="BIW49" s="236"/>
      <c r="BIX49" s="236"/>
      <c r="BIY49" s="236"/>
      <c r="BIZ49" s="236"/>
      <c r="BJA49" s="238"/>
      <c r="BJB49" s="236"/>
      <c r="BJC49" s="236"/>
      <c r="BJD49" s="236"/>
      <c r="BJE49" s="236"/>
      <c r="BJF49" s="236"/>
      <c r="BJG49" s="239"/>
      <c r="BJH49" s="236"/>
      <c r="BJI49" s="236"/>
      <c r="BJJ49" s="236"/>
      <c r="BJK49" s="236"/>
      <c r="BJL49" s="236"/>
      <c r="BJM49" s="240"/>
      <c r="BJN49" s="233"/>
      <c r="BJO49" s="234"/>
      <c r="BJP49" s="234"/>
      <c r="BJQ49" s="234"/>
      <c r="BJR49" s="234"/>
      <c r="BJS49" s="234"/>
      <c r="BJT49" s="234"/>
      <c r="BJU49" s="234"/>
      <c r="BJV49" s="234"/>
      <c r="BJW49" s="234"/>
      <c r="BJX49" s="234"/>
      <c r="BJY49" s="234"/>
      <c r="BJZ49" s="234"/>
      <c r="BKA49" s="234"/>
      <c r="BKB49" s="234"/>
      <c r="BKC49" s="234"/>
      <c r="BKD49" s="234"/>
      <c r="BKE49" s="234"/>
      <c r="BKF49" s="234"/>
      <c r="BKG49" s="234"/>
      <c r="BKH49" s="234"/>
      <c r="BKI49" s="234"/>
      <c r="BKJ49" s="234"/>
      <c r="BKK49" s="234"/>
      <c r="BKL49" s="234"/>
      <c r="BKM49" s="234"/>
      <c r="BKN49" s="234"/>
    </row>
    <row r="50" spans="1:1652" ht="20.100000000000001" customHeight="1" x14ac:dyDescent="0.3">
      <c r="A50" s="84" t="s">
        <v>20</v>
      </c>
      <c r="B50" s="53" t="str">
        <f>IF(LEN(C85)=0,"",C85)</f>
        <v/>
      </c>
      <c r="C50" s="178"/>
      <c r="D50" s="131" t="str">
        <f t="shared" si="0"/>
        <v>2h</v>
      </c>
      <c r="E50" s="30">
        <v>24</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165"/>
      <c r="RS50" s="166"/>
      <c r="RT50" s="166"/>
      <c r="RU50" s="166"/>
      <c r="RV50" s="166"/>
      <c r="RW50" s="167"/>
      <c r="RX50" s="166"/>
      <c r="RY50" s="166"/>
      <c r="RZ50" s="166"/>
      <c r="SA50" s="166"/>
      <c r="SB50" s="166"/>
      <c r="SC50" s="168"/>
      <c r="SD50" s="166"/>
      <c r="SE50" s="166"/>
      <c r="SF50" s="166"/>
      <c r="SG50" s="166"/>
      <c r="SH50" s="166"/>
      <c r="SI50" s="169"/>
      <c r="SJ50" s="166"/>
      <c r="SK50" s="166"/>
      <c r="SL50" s="166"/>
      <c r="SM50" s="166"/>
      <c r="SN50" s="166"/>
      <c r="SO50" s="168"/>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174"/>
      <c r="BJO50" s="4"/>
      <c r="BJP50" s="4"/>
      <c r="BJQ50" s="4"/>
      <c r="BJR50" s="4"/>
      <c r="BJS50" s="4"/>
      <c r="BJT50" s="4"/>
      <c r="BJU50" s="4"/>
      <c r="BJV50" s="4"/>
      <c r="BJW50" s="4"/>
      <c r="BJX50" s="4"/>
      <c r="BJY50" s="4"/>
      <c r="BJZ50" s="4"/>
      <c r="BKA50" s="4"/>
      <c r="BKB50" s="4"/>
      <c r="BKC50" s="4"/>
      <c r="BKD50" s="4"/>
      <c r="BKE50" s="4"/>
      <c r="BKF50" s="4"/>
      <c r="BKG50" s="4"/>
      <c r="BKH50" s="4"/>
      <c r="BKI50" s="4"/>
      <c r="BKJ50" s="4"/>
      <c r="BKK50" s="4"/>
      <c r="BKL50" s="4"/>
      <c r="BKM50" s="4"/>
      <c r="BKN50" s="4"/>
    </row>
    <row r="51" spans="1:1652" ht="20.100000000000001" customHeight="1" x14ac:dyDescent="0.25">
      <c r="A51" s="84" t="s">
        <v>19</v>
      </c>
      <c r="B51" s="53" t="str">
        <f>IF(LEN(C87)=0,"",C87)</f>
        <v/>
      </c>
      <c r="C51" s="177" t="s">
        <v>182</v>
      </c>
      <c r="D51" s="129" t="str">
        <f t="shared" si="0"/>
        <v>1h</v>
      </c>
      <c r="E51" s="34">
        <v>12</v>
      </c>
      <c r="F51" s="241"/>
      <c r="G51" s="242"/>
      <c r="H51" s="242"/>
      <c r="I51" s="242"/>
      <c r="J51" s="242"/>
      <c r="K51" s="243"/>
      <c r="L51" s="242"/>
      <c r="M51" s="242"/>
      <c r="N51" s="242"/>
      <c r="O51" s="242"/>
      <c r="P51" s="242"/>
      <c r="Q51" s="244"/>
      <c r="R51" s="242"/>
      <c r="S51" s="242"/>
      <c r="T51" s="242"/>
      <c r="U51" s="242"/>
      <c r="V51" s="242"/>
      <c r="W51" s="245"/>
      <c r="X51" s="242"/>
      <c r="Y51" s="242"/>
      <c r="Z51" s="242"/>
      <c r="AA51" s="242"/>
      <c r="AB51" s="242"/>
      <c r="AC51" s="244"/>
      <c r="AD51" s="242"/>
      <c r="AE51" s="242"/>
      <c r="AF51" s="242"/>
      <c r="AG51" s="242"/>
      <c r="AH51" s="242"/>
      <c r="AI51" s="245"/>
      <c r="AJ51" s="242"/>
      <c r="AK51" s="242"/>
      <c r="AL51" s="242"/>
      <c r="AM51" s="242"/>
      <c r="AN51" s="242"/>
      <c r="AO51" s="244"/>
      <c r="AP51" s="242"/>
      <c r="AQ51" s="242"/>
      <c r="AR51" s="242"/>
      <c r="AS51" s="242"/>
      <c r="AT51" s="242"/>
      <c r="AU51" s="245"/>
      <c r="AV51" s="242"/>
      <c r="AW51" s="242"/>
      <c r="AX51" s="242"/>
      <c r="AY51" s="242"/>
      <c r="AZ51" s="242"/>
      <c r="BA51" s="244"/>
      <c r="BB51" s="242"/>
      <c r="BC51" s="242"/>
      <c r="BD51" s="242"/>
      <c r="BE51" s="242"/>
      <c r="BF51" s="242"/>
      <c r="BG51" s="245"/>
      <c r="BH51" s="242"/>
      <c r="BI51" s="242"/>
      <c r="BJ51" s="242"/>
      <c r="BK51" s="242"/>
      <c r="BL51" s="242"/>
      <c r="BM51" s="246"/>
      <c r="BN51" s="241"/>
      <c r="BO51" s="242"/>
      <c r="BP51" s="242"/>
      <c r="BQ51" s="242"/>
      <c r="BR51" s="242"/>
      <c r="BS51" s="243"/>
      <c r="BT51" s="242"/>
      <c r="BU51" s="242"/>
      <c r="BV51" s="242"/>
      <c r="BW51" s="242"/>
      <c r="BX51" s="242"/>
      <c r="BY51" s="244"/>
      <c r="BZ51" s="242"/>
      <c r="CA51" s="242"/>
      <c r="CB51" s="242"/>
      <c r="CC51" s="242"/>
      <c r="CD51" s="242"/>
      <c r="CE51" s="245"/>
      <c r="CF51" s="242"/>
      <c r="CG51" s="242"/>
      <c r="CH51" s="242"/>
      <c r="CI51" s="242"/>
      <c r="CJ51" s="242"/>
      <c r="CK51" s="244"/>
      <c r="CL51" s="242"/>
      <c r="CM51" s="242"/>
      <c r="CN51" s="242"/>
      <c r="CO51" s="242"/>
      <c r="CP51" s="242"/>
      <c r="CQ51" s="245"/>
      <c r="CR51" s="242"/>
      <c r="CS51" s="242"/>
      <c r="CT51" s="242"/>
      <c r="CU51" s="242"/>
      <c r="CV51" s="242"/>
      <c r="CW51" s="244"/>
      <c r="CX51" s="242"/>
      <c r="CY51" s="242"/>
      <c r="CZ51" s="242"/>
      <c r="DA51" s="242"/>
      <c r="DB51" s="242"/>
      <c r="DC51" s="245"/>
      <c r="DD51" s="242"/>
      <c r="DE51" s="242"/>
      <c r="DF51" s="242"/>
      <c r="DG51" s="242"/>
      <c r="DH51" s="242"/>
      <c r="DI51" s="244"/>
      <c r="DJ51" s="242"/>
      <c r="DK51" s="242"/>
      <c r="DL51" s="242"/>
      <c r="DM51" s="242"/>
      <c r="DN51" s="242"/>
      <c r="DO51" s="245"/>
      <c r="DP51" s="242"/>
      <c r="DQ51" s="242"/>
      <c r="DR51" s="242"/>
      <c r="DS51" s="242"/>
      <c r="DT51" s="242"/>
      <c r="DU51" s="246"/>
      <c r="DV51" s="241"/>
      <c r="DW51" s="242"/>
      <c r="DX51" s="242"/>
      <c r="DY51" s="242"/>
      <c r="DZ51" s="242"/>
      <c r="EA51" s="243"/>
      <c r="EB51" s="242"/>
      <c r="EC51" s="242"/>
      <c r="ED51" s="242"/>
      <c r="EE51" s="242"/>
      <c r="EF51" s="242"/>
      <c r="EG51" s="244"/>
      <c r="EH51" s="242"/>
      <c r="EI51" s="242"/>
      <c r="EJ51" s="242"/>
      <c r="EK51" s="242"/>
      <c r="EL51" s="242"/>
      <c r="EM51" s="245"/>
      <c r="EN51" s="242"/>
      <c r="EO51" s="242"/>
      <c r="EP51" s="242"/>
      <c r="EQ51" s="242"/>
      <c r="ER51" s="242"/>
      <c r="ES51" s="244"/>
      <c r="ET51" s="242"/>
      <c r="EU51" s="242"/>
      <c r="EV51" s="242"/>
      <c r="EW51" s="242"/>
      <c r="EX51" s="242"/>
      <c r="EY51" s="245"/>
      <c r="EZ51" s="242"/>
      <c r="FA51" s="242"/>
      <c r="FB51" s="242"/>
      <c r="FC51" s="242"/>
      <c r="FD51" s="242"/>
      <c r="FE51" s="244"/>
      <c r="FF51" s="242"/>
      <c r="FG51" s="242"/>
      <c r="FH51" s="242"/>
      <c r="FI51" s="242"/>
      <c r="FJ51" s="242"/>
      <c r="FK51" s="245"/>
      <c r="FL51" s="242"/>
      <c r="FM51" s="242"/>
      <c r="FN51" s="242"/>
      <c r="FO51" s="242"/>
      <c r="FP51" s="242"/>
      <c r="FQ51" s="244"/>
      <c r="FR51" s="242"/>
      <c r="FS51" s="242"/>
      <c r="FT51" s="242"/>
      <c r="FU51" s="242"/>
      <c r="FV51" s="242"/>
      <c r="FW51" s="245"/>
      <c r="FX51" s="242"/>
      <c r="FY51" s="242"/>
      <c r="FZ51" s="242"/>
      <c r="GA51" s="242"/>
      <c r="GB51" s="242"/>
      <c r="GC51" s="246"/>
      <c r="GD51" s="241"/>
      <c r="GE51" s="242"/>
      <c r="GF51" s="242"/>
      <c r="GG51" s="242"/>
      <c r="GH51" s="242"/>
      <c r="GI51" s="243"/>
      <c r="GJ51" s="242"/>
      <c r="GK51" s="242"/>
      <c r="GL51" s="242"/>
      <c r="GM51" s="242"/>
      <c r="GN51" s="242"/>
      <c r="GO51" s="244"/>
      <c r="GP51" s="242"/>
      <c r="GQ51" s="242"/>
      <c r="GR51" s="242"/>
      <c r="GS51" s="242"/>
      <c r="GT51" s="242"/>
      <c r="GU51" s="245"/>
      <c r="GV51" s="242"/>
      <c r="GW51" s="242"/>
      <c r="GX51" s="242"/>
      <c r="GY51" s="242"/>
      <c r="GZ51" s="242"/>
      <c r="HA51" s="244"/>
      <c r="HB51" s="242"/>
      <c r="HC51" s="242"/>
      <c r="HD51" s="242"/>
      <c r="HE51" s="242"/>
      <c r="HF51" s="242"/>
      <c r="HG51" s="245"/>
      <c r="HH51" s="242"/>
      <c r="HI51" s="242"/>
      <c r="HJ51" s="242"/>
      <c r="HK51" s="242"/>
      <c r="HL51" s="242"/>
      <c r="HM51" s="244"/>
      <c r="HN51" s="242"/>
      <c r="HO51" s="242"/>
      <c r="HP51" s="242"/>
      <c r="HQ51" s="242"/>
      <c r="HR51" s="242"/>
      <c r="HS51" s="245"/>
      <c r="HT51" s="242"/>
      <c r="HU51" s="242"/>
      <c r="HV51" s="242"/>
      <c r="HW51" s="242"/>
      <c r="HX51" s="242"/>
      <c r="HY51" s="244"/>
      <c r="HZ51" s="242"/>
      <c r="IA51" s="242"/>
      <c r="IB51" s="242"/>
      <c r="IC51" s="242"/>
      <c r="ID51" s="242"/>
      <c r="IE51" s="245"/>
      <c r="IF51" s="242"/>
      <c r="IG51" s="242"/>
      <c r="IH51" s="242"/>
      <c r="II51" s="242"/>
      <c r="IJ51" s="242"/>
      <c r="IK51" s="246"/>
      <c r="IL51" s="241"/>
      <c r="IM51" s="242"/>
      <c r="IN51" s="242"/>
      <c r="IO51" s="242"/>
      <c r="IP51" s="242"/>
      <c r="IQ51" s="243"/>
      <c r="IR51" s="242"/>
      <c r="IS51" s="242"/>
      <c r="IT51" s="242"/>
      <c r="IU51" s="242"/>
      <c r="IV51" s="242"/>
      <c r="IW51" s="244"/>
      <c r="IX51" s="242"/>
      <c r="IY51" s="242"/>
      <c r="IZ51" s="242"/>
      <c r="JA51" s="242"/>
      <c r="JB51" s="242"/>
      <c r="JC51" s="245"/>
      <c r="JD51" s="242"/>
      <c r="JE51" s="242"/>
      <c r="JF51" s="242"/>
      <c r="JG51" s="242"/>
      <c r="JH51" s="242"/>
      <c r="JI51" s="244"/>
      <c r="JJ51" s="242"/>
      <c r="JK51" s="242"/>
      <c r="JL51" s="242"/>
      <c r="JM51" s="242"/>
      <c r="JN51" s="242"/>
      <c r="JO51" s="245"/>
      <c r="JP51" s="242"/>
      <c r="JQ51" s="242"/>
      <c r="JR51" s="242"/>
      <c r="JS51" s="242"/>
      <c r="JT51" s="242"/>
      <c r="JU51" s="244"/>
      <c r="JV51" s="242"/>
      <c r="JW51" s="242"/>
      <c r="JX51" s="242"/>
      <c r="JY51" s="242"/>
      <c r="JZ51" s="242"/>
      <c r="KA51" s="245"/>
      <c r="KB51" s="242"/>
      <c r="KC51" s="242"/>
      <c r="KD51" s="242"/>
      <c r="KE51" s="242"/>
      <c r="KF51" s="242"/>
      <c r="KG51" s="244"/>
      <c r="KH51" s="242"/>
      <c r="KI51" s="242"/>
      <c r="KJ51" s="242"/>
      <c r="KK51" s="242"/>
      <c r="KL51" s="242"/>
      <c r="KM51" s="245"/>
      <c r="KN51" s="242"/>
      <c r="KO51" s="242"/>
      <c r="KP51" s="242"/>
      <c r="KQ51" s="242"/>
      <c r="KR51" s="242"/>
      <c r="KS51" s="246"/>
      <c r="KT51" s="241"/>
      <c r="KU51" s="242"/>
      <c r="KV51" s="242"/>
      <c r="KW51" s="242"/>
      <c r="KX51" s="242"/>
      <c r="KY51" s="243"/>
      <c r="KZ51" s="242"/>
      <c r="LA51" s="242"/>
      <c r="LB51" s="242"/>
      <c r="LC51" s="242"/>
      <c r="LD51" s="242"/>
      <c r="LE51" s="244"/>
      <c r="LF51" s="242"/>
      <c r="LG51" s="242"/>
      <c r="LH51" s="242"/>
      <c r="LI51" s="242"/>
      <c r="LJ51" s="242"/>
      <c r="LK51" s="245"/>
      <c r="LL51" s="242"/>
      <c r="LM51" s="242"/>
      <c r="LN51" s="242"/>
      <c r="LO51" s="242"/>
      <c r="LP51" s="242"/>
      <c r="LQ51" s="244"/>
      <c r="LR51" s="242"/>
      <c r="LS51" s="242"/>
      <c r="LT51" s="242"/>
      <c r="LU51" s="242"/>
      <c r="LV51" s="242"/>
      <c r="LW51" s="245"/>
      <c r="LX51" s="242"/>
      <c r="LY51" s="242"/>
      <c r="LZ51" s="242"/>
      <c r="MA51" s="242"/>
      <c r="MB51" s="242"/>
      <c r="MC51" s="244"/>
      <c r="MD51" s="242"/>
      <c r="ME51" s="242"/>
      <c r="MF51" s="242"/>
      <c r="MG51" s="242"/>
      <c r="MH51" s="242"/>
      <c r="MI51" s="245"/>
      <c r="MJ51" s="242"/>
      <c r="MK51" s="242"/>
      <c r="ML51" s="242"/>
      <c r="MM51" s="242"/>
      <c r="MN51" s="242"/>
      <c r="MO51" s="244"/>
      <c r="MP51" s="242"/>
      <c r="MQ51" s="242"/>
      <c r="MR51" s="242"/>
      <c r="MS51" s="242"/>
      <c r="MT51" s="242"/>
      <c r="MU51" s="245"/>
      <c r="MV51" s="242"/>
      <c r="MW51" s="242"/>
      <c r="MX51" s="242"/>
      <c r="MY51" s="242"/>
      <c r="MZ51" s="242"/>
      <c r="NA51" s="246"/>
      <c r="NB51" s="241"/>
      <c r="NC51" s="242"/>
      <c r="ND51" s="242"/>
      <c r="NE51" s="242"/>
      <c r="NF51" s="242"/>
      <c r="NG51" s="243"/>
      <c r="NH51" s="242"/>
      <c r="NI51" s="242"/>
      <c r="NJ51" s="242"/>
      <c r="NK51" s="242"/>
      <c r="NL51" s="242"/>
      <c r="NM51" s="244"/>
      <c r="NN51" s="242"/>
      <c r="NO51" s="242"/>
      <c r="NP51" s="242"/>
      <c r="NQ51" s="242"/>
      <c r="NR51" s="242"/>
      <c r="NS51" s="245"/>
      <c r="NT51" s="242"/>
      <c r="NU51" s="242"/>
      <c r="NV51" s="242"/>
      <c r="NW51" s="242"/>
      <c r="NX51" s="242"/>
      <c r="NY51" s="244"/>
      <c r="NZ51" s="242"/>
      <c r="OA51" s="242"/>
      <c r="OB51" s="242"/>
      <c r="OC51" s="242"/>
      <c r="OD51" s="242"/>
      <c r="OE51" s="245"/>
      <c r="OF51" s="242"/>
      <c r="OG51" s="242"/>
      <c r="OH51" s="242"/>
      <c r="OI51" s="242"/>
      <c r="OJ51" s="242"/>
      <c r="OK51" s="244"/>
      <c r="OL51" s="242"/>
      <c r="OM51" s="242"/>
      <c r="ON51" s="242"/>
      <c r="OO51" s="242"/>
      <c r="OP51" s="242"/>
      <c r="OQ51" s="245"/>
      <c r="OR51" s="242"/>
      <c r="OS51" s="242"/>
      <c r="OT51" s="242"/>
      <c r="OU51" s="242"/>
      <c r="OV51" s="242"/>
      <c r="OW51" s="244"/>
      <c r="OX51" s="242"/>
      <c r="OY51" s="242"/>
      <c r="OZ51" s="242"/>
      <c r="PA51" s="242"/>
      <c r="PB51" s="242"/>
      <c r="PC51" s="245"/>
      <c r="PD51" s="242"/>
      <c r="PE51" s="242"/>
      <c r="PF51" s="242"/>
      <c r="PG51" s="242"/>
      <c r="PH51" s="242"/>
      <c r="PI51" s="246"/>
      <c r="PJ51" s="241"/>
      <c r="PK51" s="242"/>
      <c r="PL51" s="242"/>
      <c r="PM51" s="242"/>
      <c r="PN51" s="242"/>
      <c r="PO51" s="243"/>
      <c r="PP51" s="242"/>
      <c r="PQ51" s="242"/>
      <c r="PR51" s="242"/>
      <c r="PS51" s="242"/>
      <c r="PT51" s="242"/>
      <c r="PU51" s="244"/>
      <c r="PV51" s="242"/>
      <c r="PW51" s="242"/>
      <c r="PX51" s="242"/>
      <c r="PY51" s="242"/>
      <c r="PZ51" s="242"/>
      <c r="QA51" s="245"/>
      <c r="QB51" s="153"/>
      <c r="QC51" s="153"/>
      <c r="QD51" s="153"/>
      <c r="QE51" s="153"/>
      <c r="QF51" s="153"/>
      <c r="QG51" s="154"/>
      <c r="QH51" s="153"/>
      <c r="QI51" s="153"/>
      <c r="QJ51" s="153"/>
      <c r="QK51" s="153"/>
      <c r="QL51" s="153"/>
      <c r="QM51" s="156"/>
      <c r="QN51" s="242"/>
      <c r="QO51" s="242"/>
      <c r="QP51" s="242"/>
      <c r="QQ51" s="242"/>
      <c r="QR51" s="242"/>
      <c r="QS51" s="244"/>
      <c r="QT51" s="242"/>
      <c r="QU51" s="242"/>
      <c r="QV51" s="242"/>
      <c r="QW51" s="242"/>
      <c r="QX51" s="242"/>
      <c r="QY51" s="245"/>
      <c r="QZ51" s="242"/>
      <c r="RA51" s="242"/>
      <c r="RB51" s="242"/>
      <c r="RC51" s="242"/>
      <c r="RD51" s="242"/>
      <c r="RE51" s="244"/>
      <c r="RF51" s="242"/>
      <c r="RG51" s="242"/>
      <c r="RH51" s="242"/>
      <c r="RI51" s="242"/>
      <c r="RJ51" s="242"/>
      <c r="RK51" s="245"/>
      <c r="RL51" s="242"/>
      <c r="RM51" s="242"/>
      <c r="RN51" s="242"/>
      <c r="RO51" s="242"/>
      <c r="RP51" s="242"/>
      <c r="RQ51" s="246"/>
      <c r="RR51" s="241"/>
      <c r="RS51" s="242"/>
      <c r="RT51" s="242"/>
      <c r="RU51" s="242"/>
      <c r="RV51" s="242"/>
      <c r="RW51" s="243"/>
      <c r="RX51" s="242"/>
      <c r="RY51" s="242"/>
      <c r="RZ51" s="242"/>
      <c r="SA51" s="242"/>
      <c r="SB51" s="242"/>
      <c r="SC51" s="244"/>
      <c r="SD51" s="242"/>
      <c r="SE51" s="242"/>
      <c r="SF51" s="242"/>
      <c r="SG51" s="242"/>
      <c r="SH51" s="242"/>
      <c r="SI51" s="245"/>
      <c r="SJ51" s="242"/>
      <c r="SK51" s="242"/>
      <c r="SL51" s="242"/>
      <c r="SM51" s="242"/>
      <c r="SN51" s="242"/>
      <c r="SO51" s="244"/>
      <c r="SP51" s="242"/>
      <c r="SQ51" s="242"/>
      <c r="SR51" s="242"/>
      <c r="SS51" s="242"/>
      <c r="ST51" s="242"/>
      <c r="SU51" s="245"/>
      <c r="SV51" s="242"/>
      <c r="SW51" s="242"/>
      <c r="SX51" s="242"/>
      <c r="SY51" s="242"/>
      <c r="SZ51" s="242"/>
      <c r="TA51" s="244"/>
      <c r="TB51" s="242"/>
      <c r="TC51" s="242"/>
      <c r="TD51" s="242"/>
      <c r="TE51" s="242"/>
      <c r="TF51" s="242"/>
      <c r="TG51" s="245"/>
      <c r="TH51" s="242"/>
      <c r="TI51" s="242"/>
      <c r="TJ51" s="242"/>
      <c r="TK51" s="242"/>
      <c r="TL51" s="242"/>
      <c r="TM51" s="244"/>
      <c r="TN51" s="242"/>
      <c r="TO51" s="242"/>
      <c r="TP51" s="242"/>
      <c r="TQ51" s="242"/>
      <c r="TR51" s="242"/>
      <c r="TS51" s="245"/>
      <c r="TT51" s="242"/>
      <c r="TU51" s="242"/>
      <c r="TV51" s="242"/>
      <c r="TW51" s="242"/>
      <c r="TX51" s="242"/>
      <c r="TY51" s="246"/>
      <c r="TZ51" s="241"/>
      <c r="UA51" s="242"/>
      <c r="UB51" s="242"/>
      <c r="UC51" s="242"/>
      <c r="UD51" s="242"/>
      <c r="UE51" s="243"/>
      <c r="UF51" s="242"/>
      <c r="UG51" s="242"/>
      <c r="UH51" s="242"/>
      <c r="UI51" s="242"/>
      <c r="UJ51" s="242"/>
      <c r="UK51" s="244"/>
      <c r="UL51" s="242"/>
      <c r="UM51" s="242"/>
      <c r="UN51" s="242"/>
      <c r="UO51" s="242"/>
      <c r="UP51" s="242"/>
      <c r="UQ51" s="245"/>
      <c r="UR51" s="242"/>
      <c r="US51" s="242"/>
      <c r="UT51" s="242"/>
      <c r="UU51" s="242"/>
      <c r="UV51" s="242"/>
      <c r="UW51" s="244"/>
      <c r="UX51" s="242"/>
      <c r="UY51" s="242"/>
      <c r="UZ51" s="242"/>
      <c r="VA51" s="242"/>
      <c r="VB51" s="242"/>
      <c r="VC51" s="245"/>
      <c r="VD51" s="242"/>
      <c r="VE51" s="242"/>
      <c r="VF51" s="242"/>
      <c r="VG51" s="242"/>
      <c r="VH51" s="242"/>
      <c r="VI51" s="244"/>
      <c r="VJ51" s="242"/>
      <c r="VK51" s="242"/>
      <c r="VL51" s="242"/>
      <c r="VM51" s="242"/>
      <c r="VN51" s="242"/>
      <c r="VO51" s="245"/>
      <c r="VP51" s="242"/>
      <c r="VQ51" s="242"/>
      <c r="VR51" s="242"/>
      <c r="VS51" s="242"/>
      <c r="VT51" s="242"/>
      <c r="VU51" s="244"/>
      <c r="VV51" s="242"/>
      <c r="VW51" s="242"/>
      <c r="VX51" s="242"/>
      <c r="VY51" s="242"/>
      <c r="VZ51" s="242"/>
      <c r="WA51" s="245"/>
      <c r="WB51" s="242"/>
      <c r="WC51" s="242"/>
      <c r="WD51" s="242"/>
      <c r="WE51" s="242"/>
      <c r="WF51" s="242"/>
      <c r="WG51" s="246"/>
      <c r="WH51" s="241"/>
      <c r="WI51" s="242"/>
      <c r="WJ51" s="242"/>
      <c r="WK51" s="242"/>
      <c r="WL51" s="242"/>
      <c r="WM51" s="243"/>
      <c r="WN51" s="242"/>
      <c r="WO51" s="242"/>
      <c r="WP51" s="242"/>
      <c r="WQ51" s="242"/>
      <c r="WR51" s="242"/>
      <c r="WS51" s="244"/>
      <c r="WT51" s="242"/>
      <c r="WU51" s="242"/>
      <c r="WV51" s="242"/>
      <c r="WW51" s="242"/>
      <c r="WX51" s="242"/>
      <c r="WY51" s="245"/>
      <c r="WZ51" s="242"/>
      <c r="XA51" s="242"/>
      <c r="XB51" s="242"/>
      <c r="XC51" s="242"/>
      <c r="XD51" s="242"/>
      <c r="XE51" s="244"/>
      <c r="XF51" s="242"/>
      <c r="XG51" s="242"/>
      <c r="XH51" s="242"/>
      <c r="XI51" s="242"/>
      <c r="XJ51" s="242"/>
      <c r="XK51" s="245"/>
      <c r="XL51" s="242"/>
      <c r="XM51" s="242"/>
      <c r="XN51" s="242"/>
      <c r="XO51" s="242"/>
      <c r="XP51" s="242"/>
      <c r="XQ51" s="244"/>
      <c r="XR51" s="242"/>
      <c r="XS51" s="242"/>
      <c r="XT51" s="242"/>
      <c r="XU51" s="242"/>
      <c r="XV51" s="242"/>
      <c r="XW51" s="245"/>
      <c r="XX51" s="242"/>
      <c r="XY51" s="242"/>
      <c r="XZ51" s="242"/>
      <c r="YA51" s="242"/>
      <c r="YB51" s="242"/>
      <c r="YC51" s="244"/>
      <c r="YD51" s="242"/>
      <c r="YE51" s="242"/>
      <c r="YF51" s="242"/>
      <c r="YG51" s="242"/>
      <c r="YH51" s="242"/>
      <c r="YI51" s="245"/>
      <c r="YJ51" s="242"/>
      <c r="YK51" s="242"/>
      <c r="YL51" s="242"/>
      <c r="YM51" s="242"/>
      <c r="YN51" s="242"/>
      <c r="YO51" s="246"/>
      <c r="YP51" s="241"/>
      <c r="YQ51" s="242"/>
      <c r="YR51" s="242"/>
      <c r="YS51" s="242"/>
      <c r="YT51" s="242"/>
      <c r="YU51" s="243"/>
      <c r="YV51" s="242"/>
      <c r="YW51" s="242"/>
      <c r="YX51" s="242"/>
      <c r="YY51" s="242"/>
      <c r="YZ51" s="242"/>
      <c r="ZA51" s="244"/>
      <c r="ZB51" s="242"/>
      <c r="ZC51" s="242"/>
      <c r="ZD51" s="242"/>
      <c r="ZE51" s="242"/>
      <c r="ZF51" s="242"/>
      <c r="ZG51" s="245"/>
      <c r="ZH51" s="242"/>
      <c r="ZI51" s="242"/>
      <c r="ZJ51" s="242"/>
      <c r="ZK51" s="242"/>
      <c r="ZL51" s="242"/>
      <c r="ZM51" s="244"/>
      <c r="ZN51" s="242"/>
      <c r="ZO51" s="242"/>
      <c r="ZP51" s="242"/>
      <c r="ZQ51" s="242"/>
      <c r="ZR51" s="242"/>
      <c r="ZS51" s="245"/>
      <c r="ZT51" s="242"/>
      <c r="ZU51" s="242"/>
      <c r="ZV51" s="242"/>
      <c r="ZW51" s="242"/>
      <c r="ZX51" s="242"/>
      <c r="ZY51" s="244"/>
      <c r="ZZ51" s="242"/>
      <c r="AAA51" s="242"/>
      <c r="AAB51" s="242"/>
      <c r="AAC51" s="242"/>
      <c r="AAD51" s="242"/>
      <c r="AAE51" s="245"/>
      <c r="AAF51" s="242"/>
      <c r="AAG51" s="242"/>
      <c r="AAH51" s="242"/>
      <c r="AAI51" s="242"/>
      <c r="AAJ51" s="242"/>
      <c r="AAK51" s="244"/>
      <c r="AAL51" s="242"/>
      <c r="AAM51" s="242"/>
      <c r="AAN51" s="242"/>
      <c r="AAO51" s="242"/>
      <c r="AAP51" s="242"/>
      <c r="AAQ51" s="245"/>
      <c r="AAR51" s="242"/>
      <c r="AAS51" s="242"/>
      <c r="AAT51" s="242"/>
      <c r="AAU51" s="242"/>
      <c r="AAV51" s="242"/>
      <c r="AAW51" s="246"/>
      <c r="AAX51" s="241"/>
      <c r="AAY51" s="242"/>
      <c r="AAZ51" s="242"/>
      <c r="ABA51" s="242"/>
      <c r="ABB51" s="242"/>
      <c r="ABC51" s="243"/>
      <c r="ABD51" s="242"/>
      <c r="ABE51" s="242"/>
      <c r="ABF51" s="242"/>
      <c r="ABG51" s="242"/>
      <c r="ABH51" s="242"/>
      <c r="ABI51" s="244"/>
      <c r="ABJ51" s="242"/>
      <c r="ABK51" s="242"/>
      <c r="ABL51" s="242"/>
      <c r="ABM51" s="242"/>
      <c r="ABN51" s="242"/>
      <c r="ABO51" s="245"/>
      <c r="ABP51" s="242"/>
      <c r="ABQ51" s="242"/>
      <c r="ABR51" s="242"/>
      <c r="ABS51" s="242"/>
      <c r="ABT51" s="242"/>
      <c r="ABU51" s="244"/>
      <c r="ABV51" s="242"/>
      <c r="ABW51" s="242"/>
      <c r="ABX51" s="242"/>
      <c r="ABY51" s="242"/>
      <c r="ABZ51" s="242"/>
      <c r="ACA51" s="245"/>
      <c r="ACB51" s="242"/>
      <c r="ACC51" s="242"/>
      <c r="ACD51" s="242"/>
      <c r="ACE51" s="242"/>
      <c r="ACF51" s="242"/>
      <c r="ACG51" s="244"/>
      <c r="ACH51" s="242"/>
      <c r="ACI51" s="242"/>
      <c r="ACJ51" s="242"/>
      <c r="ACK51" s="242"/>
      <c r="ACL51" s="242"/>
      <c r="ACM51" s="245"/>
      <c r="ACN51" s="242"/>
      <c r="ACO51" s="242"/>
      <c r="ACP51" s="242"/>
      <c r="ACQ51" s="242"/>
      <c r="ACR51" s="242"/>
      <c r="ACS51" s="244"/>
      <c r="ACT51" s="242"/>
      <c r="ACU51" s="242"/>
      <c r="ACV51" s="242"/>
      <c r="ACW51" s="242"/>
      <c r="ACX51" s="242"/>
      <c r="ACY51" s="245"/>
      <c r="ACZ51" s="242"/>
      <c r="ADA51" s="242"/>
      <c r="ADB51" s="242"/>
      <c r="ADC51" s="242"/>
      <c r="ADD51" s="242"/>
      <c r="ADE51" s="246"/>
      <c r="ADF51" s="241"/>
      <c r="ADG51" s="242"/>
      <c r="ADH51" s="242"/>
      <c r="ADI51" s="242"/>
      <c r="ADJ51" s="242"/>
      <c r="ADK51" s="243"/>
      <c r="ADL51" s="242"/>
      <c r="ADM51" s="242"/>
      <c r="ADN51" s="242"/>
      <c r="ADO51" s="242"/>
      <c r="ADP51" s="242"/>
      <c r="ADQ51" s="244"/>
      <c r="ADR51" s="242"/>
      <c r="ADS51" s="242"/>
      <c r="ADT51" s="242"/>
      <c r="ADU51" s="242"/>
      <c r="ADV51" s="242"/>
      <c r="ADW51" s="245"/>
      <c r="ADX51" s="242"/>
      <c r="ADY51" s="242"/>
      <c r="ADZ51" s="242"/>
      <c r="AEA51" s="242"/>
      <c r="AEB51" s="242"/>
      <c r="AEC51" s="244"/>
      <c r="AED51" s="242"/>
      <c r="AEE51" s="242"/>
      <c r="AEF51" s="242"/>
      <c r="AEG51" s="242"/>
      <c r="AEH51" s="242"/>
      <c r="AEI51" s="245"/>
      <c r="AEJ51" s="242"/>
      <c r="AEK51" s="242"/>
      <c r="AEL51" s="242"/>
      <c r="AEM51" s="242"/>
      <c r="AEN51" s="242"/>
      <c r="AEO51" s="244"/>
      <c r="AEP51" s="242"/>
      <c r="AEQ51" s="242"/>
      <c r="AER51" s="242"/>
      <c r="AES51" s="242"/>
      <c r="AET51" s="242"/>
      <c r="AEU51" s="245"/>
      <c r="AEV51" s="242"/>
      <c r="AEW51" s="242"/>
      <c r="AEX51" s="242"/>
      <c r="AEY51" s="242"/>
      <c r="AEZ51" s="242"/>
      <c r="AFA51" s="244"/>
      <c r="AFB51" s="242"/>
      <c r="AFC51" s="242"/>
      <c r="AFD51" s="242"/>
      <c r="AFE51" s="242"/>
      <c r="AFF51" s="242"/>
      <c r="AFG51" s="245"/>
      <c r="AFH51" s="242"/>
      <c r="AFI51" s="242"/>
      <c r="AFJ51" s="242"/>
      <c r="AFK51" s="242"/>
      <c r="AFL51" s="242"/>
      <c r="AFM51" s="246"/>
      <c r="AFN51" s="241"/>
      <c r="AFO51" s="242"/>
      <c r="AFP51" s="242"/>
      <c r="AFQ51" s="242"/>
      <c r="AFR51" s="242"/>
      <c r="AFS51" s="243"/>
      <c r="AFT51" s="242"/>
      <c r="AFU51" s="242"/>
      <c r="AFV51" s="242"/>
      <c r="AFW51" s="242"/>
      <c r="AFX51" s="242"/>
      <c r="AFY51" s="244"/>
      <c r="AFZ51" s="242"/>
      <c r="AGA51" s="242"/>
      <c r="AGB51" s="242"/>
      <c r="AGC51" s="242"/>
      <c r="AGD51" s="242"/>
      <c r="AGE51" s="245"/>
      <c r="AGF51" s="242"/>
      <c r="AGG51" s="242"/>
      <c r="AGH51" s="242"/>
      <c r="AGI51" s="242"/>
      <c r="AGJ51" s="242"/>
      <c r="AGK51" s="244"/>
      <c r="AGL51" s="242"/>
      <c r="AGM51" s="242"/>
      <c r="AGN51" s="242"/>
      <c r="AGO51" s="242"/>
      <c r="AGP51" s="242"/>
      <c r="AGQ51" s="245"/>
      <c r="AGR51" s="242"/>
      <c r="AGS51" s="242"/>
      <c r="AGT51" s="242"/>
      <c r="AGU51" s="242"/>
      <c r="AGV51" s="242"/>
      <c r="AGW51" s="244"/>
      <c r="AGX51" s="242"/>
      <c r="AGY51" s="242"/>
      <c r="AGZ51" s="242"/>
      <c r="AHA51" s="242"/>
      <c r="AHB51" s="242"/>
      <c r="AHC51" s="245"/>
      <c r="AHD51" s="242"/>
      <c r="AHE51" s="242"/>
      <c r="AHF51" s="242"/>
      <c r="AHG51" s="242"/>
      <c r="AHH51" s="242"/>
      <c r="AHI51" s="244"/>
      <c r="AHJ51" s="242"/>
      <c r="AHK51" s="242"/>
      <c r="AHL51" s="242"/>
      <c r="AHM51" s="242"/>
      <c r="AHN51" s="242"/>
      <c r="AHO51" s="245"/>
      <c r="AHP51" s="242"/>
      <c r="AHQ51" s="242"/>
      <c r="AHR51" s="242"/>
      <c r="AHS51" s="242"/>
      <c r="AHT51" s="242"/>
      <c r="AHU51" s="246"/>
      <c r="AHV51" s="241"/>
      <c r="AHW51" s="242"/>
      <c r="AHX51" s="242"/>
      <c r="AHY51" s="242"/>
      <c r="AHZ51" s="242"/>
      <c r="AIA51" s="243"/>
      <c r="AIB51" s="242"/>
      <c r="AIC51" s="242"/>
      <c r="AID51" s="242"/>
      <c r="AIE51" s="242"/>
      <c r="AIF51" s="242"/>
      <c r="AIG51" s="244"/>
      <c r="AIH51" s="242"/>
      <c r="AII51" s="242"/>
      <c r="AIJ51" s="242"/>
      <c r="AIK51" s="242"/>
      <c r="AIL51" s="242"/>
      <c r="AIM51" s="245"/>
      <c r="AIN51" s="242"/>
      <c r="AIO51" s="242"/>
      <c r="AIP51" s="242"/>
      <c r="AIQ51" s="242"/>
      <c r="AIR51" s="242"/>
      <c r="AIS51" s="244"/>
      <c r="AIT51" s="242"/>
      <c r="AIU51" s="242"/>
      <c r="AIV51" s="242"/>
      <c r="AIW51" s="242"/>
      <c r="AIX51" s="242"/>
      <c r="AIY51" s="245"/>
      <c r="AIZ51" s="242"/>
      <c r="AJA51" s="242"/>
      <c r="AJB51" s="242"/>
      <c r="AJC51" s="242"/>
      <c r="AJD51" s="242"/>
      <c r="AJE51" s="244"/>
      <c r="AJF51" s="242"/>
      <c r="AJG51" s="242"/>
      <c r="AJH51" s="242"/>
      <c r="AJI51" s="242"/>
      <c r="AJJ51" s="242"/>
      <c r="AJK51" s="245"/>
      <c r="AJL51" s="242"/>
      <c r="AJM51" s="242"/>
      <c r="AJN51" s="242"/>
      <c r="AJO51" s="242"/>
      <c r="AJP51" s="242"/>
      <c r="AJQ51" s="244"/>
      <c r="AJR51" s="242"/>
      <c r="AJS51" s="242"/>
      <c r="AJT51" s="242"/>
      <c r="AJU51" s="242"/>
      <c r="AJV51" s="242"/>
      <c r="AJW51" s="245"/>
      <c r="AJX51" s="242"/>
      <c r="AJY51" s="242"/>
      <c r="AJZ51" s="242"/>
      <c r="AKA51" s="242"/>
      <c r="AKB51" s="242"/>
      <c r="AKC51" s="246"/>
      <c r="AKD51" s="241"/>
      <c r="AKE51" s="242"/>
      <c r="AKF51" s="242"/>
      <c r="AKG51" s="242"/>
      <c r="AKH51" s="242"/>
      <c r="AKI51" s="243"/>
      <c r="AKJ51" s="242"/>
      <c r="AKK51" s="242"/>
      <c r="AKL51" s="242"/>
      <c r="AKM51" s="242"/>
      <c r="AKN51" s="242"/>
      <c r="AKO51" s="244"/>
      <c r="AKP51" s="242"/>
      <c r="AKQ51" s="242"/>
      <c r="AKR51" s="242"/>
      <c r="AKS51" s="242"/>
      <c r="AKT51" s="242"/>
      <c r="AKU51" s="245"/>
      <c r="AKV51" s="242"/>
      <c r="AKW51" s="242"/>
      <c r="AKX51" s="242"/>
      <c r="AKY51" s="242"/>
      <c r="AKZ51" s="242"/>
      <c r="ALA51" s="244"/>
      <c r="ALB51" s="242"/>
      <c r="ALC51" s="242"/>
      <c r="ALD51" s="242"/>
      <c r="ALE51" s="242"/>
      <c r="ALF51" s="242"/>
      <c r="ALG51" s="245"/>
      <c r="ALH51" s="242"/>
      <c r="ALI51" s="242"/>
      <c r="ALJ51" s="242"/>
      <c r="ALK51" s="242"/>
      <c r="ALL51" s="242"/>
      <c r="ALM51" s="244"/>
      <c r="ALN51" s="242"/>
      <c r="ALO51" s="242"/>
      <c r="ALP51" s="242"/>
      <c r="ALQ51" s="242"/>
      <c r="ALR51" s="242"/>
      <c r="ALS51" s="245"/>
      <c r="ALT51" s="242"/>
      <c r="ALU51" s="242"/>
      <c r="ALV51" s="242"/>
      <c r="ALW51" s="242"/>
      <c r="ALX51" s="242"/>
      <c r="ALY51" s="244"/>
      <c r="ALZ51" s="242"/>
      <c r="AMA51" s="242"/>
      <c r="AMB51" s="242"/>
      <c r="AMC51" s="242"/>
      <c r="AMD51" s="242"/>
      <c r="AME51" s="245"/>
      <c r="AMF51" s="242"/>
      <c r="AMG51" s="242"/>
      <c r="AMH51" s="242"/>
      <c r="AMI51" s="242"/>
      <c r="AMJ51" s="242"/>
      <c r="AMK51" s="246"/>
      <c r="AML51" s="241"/>
      <c r="AMM51" s="242"/>
      <c r="AMN51" s="242"/>
      <c r="AMO51" s="242"/>
      <c r="AMP51" s="242"/>
      <c r="AMQ51" s="243"/>
      <c r="AMR51" s="242"/>
      <c r="AMS51" s="242"/>
      <c r="AMT51" s="242"/>
      <c r="AMU51" s="242"/>
      <c r="AMV51" s="242"/>
      <c r="AMW51" s="244"/>
      <c r="AMX51" s="242"/>
      <c r="AMY51" s="242"/>
      <c r="AMZ51" s="242"/>
      <c r="ANA51" s="242"/>
      <c r="ANB51" s="242"/>
      <c r="ANC51" s="245"/>
      <c r="AND51" s="242"/>
      <c r="ANE51" s="242"/>
      <c r="ANF51" s="242"/>
      <c r="ANG51" s="242"/>
      <c r="ANH51" s="242"/>
      <c r="ANI51" s="244"/>
      <c r="ANJ51" s="242"/>
      <c r="ANK51" s="242"/>
      <c r="ANL51" s="242"/>
      <c r="ANM51" s="242"/>
      <c r="ANN51" s="242"/>
      <c r="ANO51" s="245"/>
      <c r="ANP51" s="242"/>
      <c r="ANQ51" s="242"/>
      <c r="ANR51" s="242"/>
      <c r="ANS51" s="242"/>
      <c r="ANT51" s="242"/>
      <c r="ANU51" s="244"/>
      <c r="ANV51" s="242"/>
      <c r="ANW51" s="242"/>
      <c r="ANX51" s="242"/>
      <c r="ANY51" s="242"/>
      <c r="ANZ51" s="242"/>
      <c r="AOA51" s="245"/>
      <c r="AOB51" s="242"/>
      <c r="AOC51" s="242"/>
      <c r="AOD51" s="242"/>
      <c r="AOE51" s="242"/>
      <c r="AOF51" s="242"/>
      <c r="AOG51" s="244"/>
      <c r="AOH51" s="242"/>
      <c r="AOI51" s="242"/>
      <c r="AOJ51" s="242"/>
      <c r="AOK51" s="242"/>
      <c r="AOL51" s="242"/>
      <c r="AOM51" s="245"/>
      <c r="AON51" s="242"/>
      <c r="AOO51" s="242"/>
      <c r="AOP51" s="242"/>
      <c r="AOQ51" s="242"/>
      <c r="AOR51" s="242"/>
      <c r="AOS51" s="246"/>
      <c r="AOT51" s="241"/>
      <c r="AOU51" s="242"/>
      <c r="AOV51" s="242"/>
      <c r="AOW51" s="242"/>
      <c r="AOX51" s="242"/>
      <c r="AOY51" s="243"/>
      <c r="AOZ51" s="242"/>
      <c r="APA51" s="242"/>
      <c r="APB51" s="242"/>
      <c r="APC51" s="242"/>
      <c r="APD51" s="242"/>
      <c r="APE51" s="244"/>
      <c r="APF51" s="242"/>
      <c r="APG51" s="242"/>
      <c r="APH51" s="242"/>
      <c r="API51" s="242"/>
      <c r="APJ51" s="242"/>
      <c r="APK51" s="245"/>
      <c r="APL51" s="242"/>
      <c r="APM51" s="242"/>
      <c r="APN51" s="242"/>
      <c r="APO51" s="242"/>
      <c r="APP51" s="242"/>
      <c r="APQ51" s="244"/>
      <c r="APR51" s="242"/>
      <c r="APS51" s="242"/>
      <c r="APT51" s="242"/>
      <c r="APU51" s="242"/>
      <c r="APV51" s="242"/>
      <c r="APW51" s="245"/>
      <c r="APX51" s="242"/>
      <c r="APY51" s="242"/>
      <c r="APZ51" s="242"/>
      <c r="AQA51" s="242"/>
      <c r="AQB51" s="242"/>
      <c r="AQC51" s="244"/>
      <c r="AQD51" s="242"/>
      <c r="AQE51" s="242"/>
      <c r="AQF51" s="242"/>
      <c r="AQG51" s="242"/>
      <c r="AQH51" s="242"/>
      <c r="AQI51" s="245"/>
      <c r="AQJ51" s="242"/>
      <c r="AQK51" s="242"/>
      <c r="AQL51" s="242"/>
      <c r="AQM51" s="242"/>
      <c r="AQN51" s="242"/>
      <c r="AQO51" s="244"/>
      <c r="AQP51" s="242"/>
      <c r="AQQ51" s="242"/>
      <c r="AQR51" s="242"/>
      <c r="AQS51" s="242"/>
      <c r="AQT51" s="242"/>
      <c r="AQU51" s="245"/>
      <c r="AQV51" s="242"/>
      <c r="AQW51" s="242"/>
      <c r="AQX51" s="242"/>
      <c r="AQY51" s="242"/>
      <c r="AQZ51" s="242"/>
      <c r="ARA51" s="246"/>
      <c r="ARB51" s="241"/>
      <c r="ARC51" s="242"/>
      <c r="ARD51" s="242"/>
      <c r="ARE51" s="242"/>
      <c r="ARF51" s="242"/>
      <c r="ARG51" s="243"/>
      <c r="ARH51" s="242"/>
      <c r="ARI51" s="242"/>
      <c r="ARJ51" s="242"/>
      <c r="ARK51" s="242"/>
      <c r="ARL51" s="242"/>
      <c r="ARM51" s="244"/>
      <c r="ARN51" s="242"/>
      <c r="ARO51" s="242"/>
      <c r="ARP51" s="242"/>
      <c r="ARQ51" s="242"/>
      <c r="ARR51" s="242"/>
      <c r="ARS51" s="245"/>
      <c r="ART51" s="242"/>
      <c r="ARU51" s="242"/>
      <c r="ARV51" s="242"/>
      <c r="ARW51" s="242"/>
      <c r="ARX51" s="242"/>
      <c r="ARY51" s="244"/>
      <c r="ARZ51" s="242"/>
      <c r="ASA51" s="242"/>
      <c r="ASB51" s="242"/>
      <c r="ASC51" s="242"/>
      <c r="ASD51" s="242"/>
      <c r="ASE51" s="245"/>
      <c r="ASF51" s="242"/>
      <c r="ASG51" s="242"/>
      <c r="ASH51" s="242"/>
      <c r="ASI51" s="242"/>
      <c r="ASJ51" s="242"/>
      <c r="ASK51" s="244"/>
      <c r="ASL51" s="242"/>
      <c r="ASM51" s="242"/>
      <c r="ASN51" s="242"/>
      <c r="ASO51" s="242"/>
      <c r="ASP51" s="242"/>
      <c r="ASQ51" s="245"/>
      <c r="ASR51" s="242"/>
      <c r="ASS51" s="242"/>
      <c r="AST51" s="242"/>
      <c r="ASU51" s="242"/>
      <c r="ASV51" s="242"/>
      <c r="ASW51" s="244"/>
      <c r="ASX51" s="242"/>
      <c r="ASY51" s="242"/>
      <c r="ASZ51" s="242"/>
      <c r="ATA51" s="242"/>
      <c r="ATB51" s="242"/>
      <c r="ATC51" s="245"/>
      <c r="ATD51" s="242"/>
      <c r="ATE51" s="242"/>
      <c r="ATF51" s="242"/>
      <c r="ATG51" s="242"/>
      <c r="ATH51" s="242"/>
      <c r="ATI51" s="246"/>
      <c r="ATJ51" s="241"/>
      <c r="ATK51" s="242"/>
      <c r="ATL51" s="242"/>
      <c r="ATM51" s="242"/>
      <c r="ATN51" s="242"/>
      <c r="ATO51" s="243"/>
      <c r="ATP51" s="242"/>
      <c r="ATQ51" s="242"/>
      <c r="ATR51" s="242"/>
      <c r="ATS51" s="242"/>
      <c r="ATT51" s="242"/>
      <c r="ATU51" s="244"/>
      <c r="ATV51" s="242"/>
      <c r="ATW51" s="242"/>
      <c r="ATX51" s="242"/>
      <c r="ATY51" s="242"/>
      <c r="ATZ51" s="242"/>
      <c r="AUA51" s="245"/>
      <c r="AUB51" s="242"/>
      <c r="AUC51" s="242"/>
      <c r="AUD51" s="242"/>
      <c r="AUE51" s="242"/>
      <c r="AUF51" s="242"/>
      <c r="AUG51" s="244"/>
      <c r="AUH51" s="242"/>
      <c r="AUI51" s="242"/>
      <c r="AUJ51" s="242"/>
      <c r="AUK51" s="242"/>
      <c r="AUL51" s="242"/>
      <c r="AUM51" s="245"/>
      <c r="AUN51" s="242"/>
      <c r="AUO51" s="242"/>
      <c r="AUP51" s="242"/>
      <c r="AUQ51" s="242"/>
      <c r="AUR51" s="242"/>
      <c r="AUS51" s="244"/>
      <c r="AUT51" s="242"/>
      <c r="AUU51" s="242"/>
      <c r="AUV51" s="242"/>
      <c r="AUW51" s="242"/>
      <c r="AUX51" s="242"/>
      <c r="AUY51" s="245"/>
      <c r="AUZ51" s="242"/>
      <c r="AVA51" s="242"/>
      <c r="AVB51" s="242"/>
      <c r="AVC51" s="242"/>
      <c r="AVD51" s="242"/>
      <c r="AVE51" s="244"/>
      <c r="AVF51" s="242"/>
      <c r="AVG51" s="242"/>
      <c r="AVH51" s="242"/>
      <c r="AVI51" s="242"/>
      <c r="AVJ51" s="242"/>
      <c r="AVK51" s="245"/>
      <c r="AVL51" s="242"/>
      <c r="AVM51" s="242"/>
      <c r="AVN51" s="242"/>
      <c r="AVO51" s="242"/>
      <c r="AVP51" s="242"/>
      <c r="AVQ51" s="246"/>
      <c r="AVR51" s="241"/>
      <c r="AVS51" s="242"/>
      <c r="AVT51" s="242"/>
      <c r="AVU51" s="242"/>
      <c r="AVV51" s="242"/>
      <c r="AVW51" s="243"/>
      <c r="AVX51" s="242"/>
      <c r="AVY51" s="242"/>
      <c r="AVZ51" s="242"/>
      <c r="AWA51" s="242"/>
      <c r="AWB51" s="242"/>
      <c r="AWC51" s="244"/>
      <c r="AWD51" s="242"/>
      <c r="AWE51" s="242"/>
      <c r="AWF51" s="242"/>
      <c r="AWG51" s="242"/>
      <c r="AWH51" s="242"/>
      <c r="AWI51" s="245"/>
      <c r="AWJ51" s="242"/>
      <c r="AWK51" s="242"/>
      <c r="AWL51" s="242"/>
      <c r="AWM51" s="242"/>
      <c r="AWN51" s="242"/>
      <c r="AWO51" s="244"/>
      <c r="AWP51" s="242"/>
      <c r="AWQ51" s="242"/>
      <c r="AWR51" s="242"/>
      <c r="AWS51" s="242"/>
      <c r="AWT51" s="242"/>
      <c r="AWU51" s="245"/>
      <c r="AWV51" s="242"/>
      <c r="AWW51" s="242"/>
      <c r="AWX51" s="242"/>
      <c r="AWY51" s="242"/>
      <c r="AWZ51" s="242"/>
      <c r="AXA51" s="244"/>
      <c r="AXB51" s="242"/>
      <c r="AXC51" s="242"/>
      <c r="AXD51" s="242"/>
      <c r="AXE51" s="242"/>
      <c r="AXF51" s="242"/>
      <c r="AXG51" s="245"/>
      <c r="AXH51" s="242"/>
      <c r="AXI51" s="242"/>
      <c r="AXJ51" s="242"/>
      <c r="AXK51" s="242"/>
      <c r="AXL51" s="242"/>
      <c r="AXM51" s="244"/>
      <c r="AXN51" s="242"/>
      <c r="AXO51" s="242"/>
      <c r="AXP51" s="242"/>
      <c r="AXQ51" s="242"/>
      <c r="AXR51" s="242"/>
      <c r="AXS51" s="245"/>
      <c r="AXT51" s="242"/>
      <c r="AXU51" s="242"/>
      <c r="AXV51" s="242"/>
      <c r="AXW51" s="242"/>
      <c r="AXX51" s="242"/>
      <c r="AXY51" s="246"/>
      <c r="AXZ51" s="241"/>
      <c r="AYA51" s="242"/>
      <c r="AYB51" s="242"/>
      <c r="AYC51" s="242"/>
      <c r="AYD51" s="242"/>
      <c r="AYE51" s="243"/>
      <c r="AYF51" s="242"/>
      <c r="AYG51" s="242"/>
      <c r="AYH51" s="242"/>
      <c r="AYI51" s="242"/>
      <c r="AYJ51" s="242"/>
      <c r="AYK51" s="244"/>
      <c r="AYL51" s="242"/>
      <c r="AYM51" s="242"/>
      <c r="AYN51" s="242"/>
      <c r="AYO51" s="242"/>
      <c r="AYP51" s="242"/>
      <c r="AYQ51" s="245"/>
      <c r="AYR51" s="242"/>
      <c r="AYS51" s="242"/>
      <c r="AYT51" s="242"/>
      <c r="AYU51" s="242"/>
      <c r="AYV51" s="242"/>
      <c r="AYW51" s="244"/>
      <c r="AYX51" s="242"/>
      <c r="AYY51" s="242"/>
      <c r="AYZ51" s="242"/>
      <c r="AZA51" s="242"/>
      <c r="AZB51" s="242"/>
      <c r="AZC51" s="245"/>
      <c r="AZD51" s="242"/>
      <c r="AZE51" s="242"/>
      <c r="AZF51" s="242"/>
      <c r="AZG51" s="242"/>
      <c r="AZH51" s="242"/>
      <c r="AZI51" s="244"/>
      <c r="AZJ51" s="242"/>
      <c r="AZK51" s="242"/>
      <c r="AZL51" s="242"/>
      <c r="AZM51" s="242"/>
      <c r="AZN51" s="242"/>
      <c r="AZO51" s="245"/>
      <c r="AZP51" s="242"/>
      <c r="AZQ51" s="242"/>
      <c r="AZR51" s="242"/>
      <c r="AZS51" s="242"/>
      <c r="AZT51" s="242"/>
      <c r="AZU51" s="244"/>
      <c r="AZV51" s="242"/>
      <c r="AZW51" s="242"/>
      <c r="AZX51" s="242"/>
      <c r="AZY51" s="242"/>
      <c r="AZZ51" s="242"/>
      <c r="BAA51" s="245"/>
      <c r="BAB51" s="242"/>
      <c r="BAC51" s="242"/>
      <c r="BAD51" s="242"/>
      <c r="BAE51" s="242"/>
      <c r="BAF51" s="242"/>
      <c r="BAG51" s="246"/>
      <c r="BAH51" s="241"/>
      <c r="BAI51" s="242"/>
      <c r="BAJ51" s="242"/>
      <c r="BAK51" s="242"/>
      <c r="BAL51" s="242"/>
      <c r="BAM51" s="243"/>
      <c r="BAN51" s="242"/>
      <c r="BAO51" s="242"/>
      <c r="BAP51" s="242"/>
      <c r="BAQ51" s="242"/>
      <c r="BAR51" s="242"/>
      <c r="BAS51" s="244"/>
      <c r="BAT51" s="242"/>
      <c r="BAU51" s="242"/>
      <c r="BAV51" s="242"/>
      <c r="BAW51" s="242"/>
      <c r="BAX51" s="242"/>
      <c r="BAY51" s="245"/>
      <c r="BAZ51" s="242"/>
      <c r="BBA51" s="242"/>
      <c r="BBB51" s="242"/>
      <c r="BBC51" s="242"/>
      <c r="BBD51" s="242"/>
      <c r="BBE51" s="244"/>
      <c r="BBF51" s="242"/>
      <c r="BBG51" s="242"/>
      <c r="BBH51" s="242"/>
      <c r="BBI51" s="242"/>
      <c r="BBJ51" s="242"/>
      <c r="BBK51" s="245"/>
      <c r="BBL51" s="242"/>
      <c r="BBM51" s="242"/>
      <c r="BBN51" s="242"/>
      <c r="BBO51" s="242"/>
      <c r="BBP51" s="242"/>
      <c r="BBQ51" s="244"/>
      <c r="BBR51" s="242"/>
      <c r="BBS51" s="242"/>
      <c r="BBT51" s="242"/>
      <c r="BBU51" s="242"/>
      <c r="BBV51" s="242"/>
      <c r="BBW51" s="245"/>
      <c r="BBX51" s="242"/>
      <c r="BBY51" s="242"/>
      <c r="BBZ51" s="242"/>
      <c r="BCA51" s="242"/>
      <c r="BCB51" s="242"/>
      <c r="BCC51" s="244"/>
      <c r="BCD51" s="242"/>
      <c r="BCE51" s="242"/>
      <c r="BCF51" s="242"/>
      <c r="BCG51" s="242"/>
      <c r="BCH51" s="242"/>
      <c r="BCI51" s="245"/>
      <c r="BCJ51" s="242"/>
      <c r="BCK51" s="242"/>
      <c r="BCL51" s="242"/>
      <c r="BCM51" s="242"/>
      <c r="BCN51" s="242"/>
      <c r="BCO51" s="246"/>
      <c r="BCP51" s="241"/>
      <c r="BCQ51" s="242"/>
      <c r="BCR51" s="242"/>
      <c r="BCS51" s="242"/>
      <c r="BCT51" s="242"/>
      <c r="BCU51" s="243"/>
      <c r="BCV51" s="242"/>
      <c r="BCW51" s="242"/>
      <c r="BCX51" s="242"/>
      <c r="BCY51" s="242"/>
      <c r="BCZ51" s="242"/>
      <c r="BDA51" s="244"/>
      <c r="BDB51" s="242"/>
      <c r="BDC51" s="242"/>
      <c r="BDD51" s="242"/>
      <c r="BDE51" s="242"/>
      <c r="BDF51" s="242"/>
      <c r="BDG51" s="245"/>
      <c r="BDH51" s="242"/>
      <c r="BDI51" s="242"/>
      <c r="BDJ51" s="242"/>
      <c r="BDK51" s="242"/>
      <c r="BDL51" s="242"/>
      <c r="BDM51" s="244"/>
      <c r="BDN51" s="242"/>
      <c r="BDO51" s="242"/>
      <c r="BDP51" s="242"/>
      <c r="BDQ51" s="242"/>
      <c r="BDR51" s="242"/>
      <c r="BDS51" s="245"/>
      <c r="BDT51" s="242"/>
      <c r="BDU51" s="242"/>
      <c r="BDV51" s="242"/>
      <c r="BDW51" s="242"/>
      <c r="BDX51" s="242"/>
      <c r="BDY51" s="244"/>
      <c r="BDZ51" s="242"/>
      <c r="BEA51" s="242"/>
      <c r="BEB51" s="242"/>
      <c r="BEC51" s="242"/>
      <c r="BED51" s="242"/>
      <c r="BEE51" s="245"/>
      <c r="BEF51" s="242"/>
      <c r="BEG51" s="242"/>
      <c r="BEH51" s="242"/>
      <c r="BEI51" s="242"/>
      <c r="BEJ51" s="242"/>
      <c r="BEK51" s="244"/>
      <c r="BEL51" s="242"/>
      <c r="BEM51" s="242"/>
      <c r="BEN51" s="242"/>
      <c r="BEO51" s="242"/>
      <c r="BEP51" s="242"/>
      <c r="BEQ51" s="245"/>
      <c r="BER51" s="242"/>
      <c r="BES51" s="242"/>
      <c r="BET51" s="242"/>
      <c r="BEU51" s="242"/>
      <c r="BEV51" s="242"/>
      <c r="BEW51" s="246"/>
      <c r="BEX51" s="241"/>
      <c r="BEY51" s="242"/>
      <c r="BEZ51" s="242"/>
      <c r="BFA51" s="242"/>
      <c r="BFB51" s="242"/>
      <c r="BFC51" s="243"/>
      <c r="BFD51" s="242"/>
      <c r="BFE51" s="242"/>
      <c r="BFF51" s="242"/>
      <c r="BFG51" s="242"/>
      <c r="BFH51" s="242"/>
      <c r="BFI51" s="244"/>
      <c r="BFJ51" s="242"/>
      <c r="BFK51" s="242"/>
      <c r="BFL51" s="242"/>
      <c r="BFM51" s="242"/>
      <c r="BFN51" s="242"/>
      <c r="BFO51" s="245"/>
      <c r="BFP51" s="242"/>
      <c r="BFQ51" s="242"/>
      <c r="BFR51" s="242"/>
      <c r="BFS51" s="242"/>
      <c r="BFT51" s="242"/>
      <c r="BFU51" s="244"/>
      <c r="BFV51" s="242"/>
      <c r="BFW51" s="242"/>
      <c r="BFX51" s="242"/>
      <c r="BFY51" s="242"/>
      <c r="BFZ51" s="242"/>
      <c r="BGA51" s="245"/>
      <c r="BGB51" s="242"/>
      <c r="BGC51" s="242"/>
      <c r="BGD51" s="242"/>
      <c r="BGE51" s="242"/>
      <c r="BGF51" s="242"/>
      <c r="BGG51" s="244"/>
      <c r="BGH51" s="242"/>
      <c r="BGI51" s="242"/>
      <c r="BGJ51" s="242"/>
      <c r="BGK51" s="242"/>
      <c r="BGL51" s="242"/>
      <c r="BGM51" s="245"/>
      <c r="BGN51" s="242"/>
      <c r="BGO51" s="242"/>
      <c r="BGP51" s="242"/>
      <c r="BGQ51" s="242"/>
      <c r="BGR51" s="242"/>
      <c r="BGS51" s="244"/>
      <c r="BGT51" s="242"/>
      <c r="BGU51" s="242"/>
      <c r="BGV51" s="242"/>
      <c r="BGW51" s="242"/>
      <c r="BGX51" s="242"/>
      <c r="BGY51" s="245"/>
      <c r="BGZ51" s="242"/>
      <c r="BHA51" s="242"/>
      <c r="BHB51" s="242"/>
      <c r="BHC51" s="242"/>
      <c r="BHD51" s="242"/>
      <c r="BHE51" s="246"/>
      <c r="BHF51" s="241"/>
      <c r="BHG51" s="242"/>
      <c r="BHH51" s="242"/>
      <c r="BHI51" s="242"/>
      <c r="BHJ51" s="242"/>
      <c r="BHK51" s="243"/>
      <c r="BHL51" s="242"/>
      <c r="BHM51" s="242"/>
      <c r="BHN51" s="242"/>
      <c r="BHO51" s="242"/>
      <c r="BHP51" s="242"/>
      <c r="BHQ51" s="244"/>
      <c r="BHR51" s="242"/>
      <c r="BHS51" s="242"/>
      <c r="BHT51" s="242"/>
      <c r="BHU51" s="242"/>
      <c r="BHV51" s="242"/>
      <c r="BHW51" s="245"/>
      <c r="BHX51" s="242"/>
      <c r="BHY51" s="242"/>
      <c r="BHZ51" s="242"/>
      <c r="BIA51" s="242"/>
      <c r="BIB51" s="242"/>
      <c r="BIC51" s="244"/>
      <c r="BID51" s="242"/>
      <c r="BIE51" s="242"/>
      <c r="BIF51" s="242"/>
      <c r="BIG51" s="242"/>
      <c r="BIH51" s="242"/>
      <c r="BII51" s="245"/>
      <c r="BIJ51" s="242"/>
      <c r="BIK51" s="242"/>
      <c r="BIL51" s="242"/>
      <c r="BIM51" s="242"/>
      <c r="BIN51" s="242"/>
      <c r="BIO51" s="244"/>
      <c r="BIP51" s="242"/>
      <c r="BIQ51" s="242"/>
      <c r="BIR51" s="242"/>
      <c r="BIS51" s="242"/>
      <c r="BIT51" s="242"/>
      <c r="BIU51" s="245"/>
      <c r="BIV51" s="242"/>
      <c r="BIW51" s="242"/>
      <c r="BIX51" s="242"/>
      <c r="BIY51" s="242"/>
      <c r="BIZ51" s="242"/>
      <c r="BJA51" s="244"/>
      <c r="BJB51" s="242"/>
      <c r="BJC51" s="242"/>
      <c r="BJD51" s="242"/>
      <c r="BJE51" s="242"/>
      <c r="BJF51" s="242"/>
      <c r="BJG51" s="245"/>
      <c r="BJH51" s="242"/>
      <c r="BJI51" s="242"/>
      <c r="BJJ51" s="242"/>
      <c r="BJK51" s="242"/>
      <c r="BJL51" s="242"/>
      <c r="BJM51" s="246"/>
      <c r="BJN51" s="233"/>
      <c r="BJO51" s="234"/>
      <c r="BJP51" s="234"/>
      <c r="BJQ51" s="234"/>
      <c r="BJR51" s="234"/>
      <c r="BJS51" s="234"/>
      <c r="BJT51" s="234"/>
      <c r="BJU51" s="234"/>
      <c r="BJV51" s="234"/>
      <c r="BJW51" s="234"/>
      <c r="BJX51" s="234"/>
      <c r="BJY51" s="234"/>
      <c r="BJZ51" s="234"/>
      <c r="BKA51" s="234"/>
      <c r="BKB51" s="234"/>
      <c r="BKC51" s="234"/>
      <c r="BKD51" s="234"/>
      <c r="BKE51" s="234"/>
      <c r="BKF51" s="234"/>
      <c r="BKG51" s="234"/>
      <c r="BKH51" s="234"/>
      <c r="BKI51" s="234"/>
      <c r="BKJ51" s="234"/>
      <c r="BKK51" s="234"/>
      <c r="BKL51" s="234"/>
      <c r="BKM51" s="234"/>
      <c r="BKN51" s="234"/>
    </row>
    <row r="52" spans="1:1652" ht="20.100000000000001" customHeight="1" x14ac:dyDescent="0.25">
      <c r="A52" s="84" t="s">
        <v>20</v>
      </c>
      <c r="B52" s="53" t="str">
        <f>IF(LEN(C89)=0,"",C89)</f>
        <v/>
      </c>
      <c r="C52" s="178"/>
      <c r="D52" s="130" t="str">
        <f t="shared" si="0"/>
        <v>1h20min</v>
      </c>
      <c r="E52" s="22">
        <v>16</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161"/>
      <c r="YW52" s="161"/>
      <c r="YX52" s="161"/>
      <c r="YY52" s="161"/>
      <c r="YZ52" s="161"/>
      <c r="ZA52" s="163"/>
      <c r="ZB52" s="161"/>
      <c r="ZC52" s="161"/>
      <c r="ZD52" s="161"/>
      <c r="ZE52" s="161"/>
      <c r="ZF52" s="161"/>
      <c r="ZG52" s="169"/>
      <c r="ZH52" s="161"/>
      <c r="ZI52" s="161"/>
      <c r="ZJ52" s="161"/>
      <c r="ZK52" s="161"/>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174"/>
      <c r="BJO52" s="4"/>
      <c r="BJP52" s="4"/>
      <c r="BJQ52" s="4"/>
      <c r="BJR52" s="4"/>
      <c r="BJS52" s="4"/>
      <c r="BJT52" s="4"/>
      <c r="BJU52" s="4"/>
      <c r="BJV52" s="4"/>
      <c r="BJW52" s="4"/>
      <c r="BJX52" s="4"/>
      <c r="BJY52" s="4"/>
      <c r="BJZ52" s="4"/>
      <c r="BKA52" s="4"/>
      <c r="BKB52" s="4"/>
      <c r="BKC52" s="4"/>
      <c r="BKD52" s="4"/>
      <c r="BKE52" s="4"/>
      <c r="BKF52" s="4"/>
      <c r="BKG52" s="4"/>
      <c r="BKH52" s="4"/>
      <c r="BKI52" s="4"/>
      <c r="BKJ52" s="4"/>
      <c r="BKK52" s="4"/>
      <c r="BKL52" s="4"/>
      <c r="BKM52" s="4"/>
      <c r="BKN52" s="4"/>
    </row>
    <row r="53" spans="1:1652" ht="20.100000000000001" customHeight="1" x14ac:dyDescent="0.25">
      <c r="A53" s="84" t="s">
        <v>19</v>
      </c>
      <c r="B53" s="53" t="str">
        <f>IF(LEN(C91)=0,"",C91)</f>
        <v/>
      </c>
      <c r="C53" s="177"/>
      <c r="D53" s="129" t="str">
        <f t="shared" si="0"/>
        <v>0h</v>
      </c>
      <c r="E53" s="26">
        <v>0</v>
      </c>
      <c r="F53" s="235"/>
      <c r="G53" s="236"/>
      <c r="H53" s="236"/>
      <c r="I53" s="236"/>
      <c r="J53" s="236"/>
      <c r="K53" s="237"/>
      <c r="L53" s="236"/>
      <c r="M53" s="236"/>
      <c r="N53" s="236"/>
      <c r="O53" s="236"/>
      <c r="P53" s="236"/>
      <c r="Q53" s="238"/>
      <c r="R53" s="236"/>
      <c r="S53" s="236"/>
      <c r="T53" s="236"/>
      <c r="U53" s="236"/>
      <c r="V53" s="236"/>
      <c r="W53" s="239"/>
      <c r="X53" s="236"/>
      <c r="Y53" s="236"/>
      <c r="Z53" s="236"/>
      <c r="AA53" s="236"/>
      <c r="AB53" s="236"/>
      <c r="AC53" s="238"/>
      <c r="AD53" s="236"/>
      <c r="AE53" s="236"/>
      <c r="AF53" s="236"/>
      <c r="AG53" s="236"/>
      <c r="AH53" s="236"/>
      <c r="AI53" s="239"/>
      <c r="AJ53" s="236"/>
      <c r="AK53" s="236"/>
      <c r="AL53" s="236"/>
      <c r="AM53" s="236"/>
      <c r="AN53" s="236"/>
      <c r="AO53" s="238"/>
      <c r="AP53" s="236"/>
      <c r="AQ53" s="236"/>
      <c r="AR53" s="236"/>
      <c r="AS53" s="236"/>
      <c r="AT53" s="236"/>
      <c r="AU53" s="239"/>
      <c r="AV53" s="236"/>
      <c r="AW53" s="236"/>
      <c r="AX53" s="236"/>
      <c r="AY53" s="236"/>
      <c r="AZ53" s="236"/>
      <c r="BA53" s="238"/>
      <c r="BB53" s="236"/>
      <c r="BC53" s="236"/>
      <c r="BD53" s="236"/>
      <c r="BE53" s="236"/>
      <c r="BF53" s="236"/>
      <c r="BG53" s="239"/>
      <c r="BH53" s="236"/>
      <c r="BI53" s="236"/>
      <c r="BJ53" s="236"/>
      <c r="BK53" s="236"/>
      <c r="BL53" s="236"/>
      <c r="BM53" s="240"/>
      <c r="BN53" s="235"/>
      <c r="BO53" s="236"/>
      <c r="BP53" s="236"/>
      <c r="BQ53" s="236"/>
      <c r="BR53" s="236"/>
      <c r="BS53" s="237"/>
      <c r="BT53" s="236"/>
      <c r="BU53" s="236"/>
      <c r="BV53" s="236"/>
      <c r="BW53" s="236"/>
      <c r="BX53" s="236"/>
      <c r="BY53" s="238"/>
      <c r="BZ53" s="236"/>
      <c r="CA53" s="236"/>
      <c r="CB53" s="236"/>
      <c r="CC53" s="236"/>
      <c r="CD53" s="236"/>
      <c r="CE53" s="239"/>
      <c r="CF53" s="236"/>
      <c r="CG53" s="236"/>
      <c r="CH53" s="236"/>
      <c r="CI53" s="236"/>
      <c r="CJ53" s="236"/>
      <c r="CK53" s="238"/>
      <c r="CL53" s="236"/>
      <c r="CM53" s="236"/>
      <c r="CN53" s="236"/>
      <c r="CO53" s="236"/>
      <c r="CP53" s="236"/>
      <c r="CQ53" s="239"/>
      <c r="CR53" s="236"/>
      <c r="CS53" s="236"/>
      <c r="CT53" s="236"/>
      <c r="CU53" s="236"/>
      <c r="CV53" s="236"/>
      <c r="CW53" s="238"/>
      <c r="CX53" s="236"/>
      <c r="CY53" s="236"/>
      <c r="CZ53" s="236"/>
      <c r="DA53" s="236"/>
      <c r="DB53" s="236"/>
      <c r="DC53" s="239"/>
      <c r="DD53" s="236"/>
      <c r="DE53" s="236"/>
      <c r="DF53" s="236"/>
      <c r="DG53" s="236"/>
      <c r="DH53" s="236"/>
      <c r="DI53" s="238"/>
      <c r="DJ53" s="236"/>
      <c r="DK53" s="236"/>
      <c r="DL53" s="236"/>
      <c r="DM53" s="236"/>
      <c r="DN53" s="236"/>
      <c r="DO53" s="239"/>
      <c r="DP53" s="236"/>
      <c r="DQ53" s="236"/>
      <c r="DR53" s="236"/>
      <c r="DS53" s="236"/>
      <c r="DT53" s="236"/>
      <c r="DU53" s="240"/>
      <c r="DV53" s="235"/>
      <c r="DW53" s="236"/>
      <c r="DX53" s="236"/>
      <c r="DY53" s="236"/>
      <c r="DZ53" s="236"/>
      <c r="EA53" s="237"/>
      <c r="EB53" s="236"/>
      <c r="EC53" s="236"/>
      <c r="ED53" s="236"/>
      <c r="EE53" s="236"/>
      <c r="EF53" s="236"/>
      <c r="EG53" s="238"/>
      <c r="EH53" s="236"/>
      <c r="EI53" s="236"/>
      <c r="EJ53" s="236"/>
      <c r="EK53" s="236"/>
      <c r="EL53" s="236"/>
      <c r="EM53" s="239"/>
      <c r="EN53" s="236"/>
      <c r="EO53" s="236"/>
      <c r="EP53" s="236"/>
      <c r="EQ53" s="236"/>
      <c r="ER53" s="236"/>
      <c r="ES53" s="238"/>
      <c r="ET53" s="236"/>
      <c r="EU53" s="236"/>
      <c r="EV53" s="236"/>
      <c r="EW53" s="236"/>
      <c r="EX53" s="236"/>
      <c r="EY53" s="239"/>
      <c r="EZ53" s="236"/>
      <c r="FA53" s="236"/>
      <c r="FB53" s="236"/>
      <c r="FC53" s="236"/>
      <c r="FD53" s="236"/>
      <c r="FE53" s="238"/>
      <c r="FF53" s="236"/>
      <c r="FG53" s="236"/>
      <c r="FH53" s="236"/>
      <c r="FI53" s="236"/>
      <c r="FJ53" s="236"/>
      <c r="FK53" s="239"/>
      <c r="FL53" s="236"/>
      <c r="FM53" s="236"/>
      <c r="FN53" s="236"/>
      <c r="FO53" s="236"/>
      <c r="FP53" s="236"/>
      <c r="FQ53" s="238"/>
      <c r="FR53" s="236"/>
      <c r="FS53" s="236"/>
      <c r="FT53" s="236"/>
      <c r="FU53" s="236"/>
      <c r="FV53" s="236"/>
      <c r="FW53" s="239"/>
      <c r="FX53" s="236"/>
      <c r="FY53" s="236"/>
      <c r="FZ53" s="236"/>
      <c r="GA53" s="236"/>
      <c r="GB53" s="236"/>
      <c r="GC53" s="240"/>
      <c r="GD53" s="235"/>
      <c r="GE53" s="236"/>
      <c r="GF53" s="236"/>
      <c r="GG53" s="236"/>
      <c r="GH53" s="236"/>
      <c r="GI53" s="237"/>
      <c r="GJ53" s="236"/>
      <c r="GK53" s="236"/>
      <c r="GL53" s="236"/>
      <c r="GM53" s="236"/>
      <c r="GN53" s="236"/>
      <c r="GO53" s="238"/>
      <c r="GP53" s="236"/>
      <c r="GQ53" s="236"/>
      <c r="GR53" s="236"/>
      <c r="GS53" s="236"/>
      <c r="GT53" s="236"/>
      <c r="GU53" s="239"/>
      <c r="GV53" s="236"/>
      <c r="GW53" s="236"/>
      <c r="GX53" s="236"/>
      <c r="GY53" s="236"/>
      <c r="GZ53" s="236"/>
      <c r="HA53" s="238"/>
      <c r="HB53" s="236"/>
      <c r="HC53" s="236"/>
      <c r="HD53" s="236"/>
      <c r="HE53" s="236"/>
      <c r="HF53" s="236"/>
      <c r="HG53" s="239"/>
      <c r="HH53" s="236"/>
      <c r="HI53" s="236"/>
      <c r="HJ53" s="236"/>
      <c r="HK53" s="236"/>
      <c r="HL53" s="236"/>
      <c r="HM53" s="238"/>
      <c r="HN53" s="236"/>
      <c r="HO53" s="236"/>
      <c r="HP53" s="236"/>
      <c r="HQ53" s="236"/>
      <c r="HR53" s="236"/>
      <c r="HS53" s="239"/>
      <c r="HT53" s="236"/>
      <c r="HU53" s="236"/>
      <c r="HV53" s="236"/>
      <c r="HW53" s="236"/>
      <c r="HX53" s="236"/>
      <c r="HY53" s="238"/>
      <c r="HZ53" s="236"/>
      <c r="IA53" s="236"/>
      <c r="IB53" s="236"/>
      <c r="IC53" s="236"/>
      <c r="ID53" s="236"/>
      <c r="IE53" s="239"/>
      <c r="IF53" s="236"/>
      <c r="IG53" s="236"/>
      <c r="IH53" s="236"/>
      <c r="II53" s="236"/>
      <c r="IJ53" s="236"/>
      <c r="IK53" s="240"/>
      <c r="IL53" s="235"/>
      <c r="IM53" s="236"/>
      <c r="IN53" s="236"/>
      <c r="IO53" s="236"/>
      <c r="IP53" s="236"/>
      <c r="IQ53" s="237"/>
      <c r="IR53" s="236"/>
      <c r="IS53" s="236"/>
      <c r="IT53" s="236"/>
      <c r="IU53" s="236"/>
      <c r="IV53" s="236"/>
      <c r="IW53" s="238"/>
      <c r="IX53" s="236"/>
      <c r="IY53" s="236"/>
      <c r="IZ53" s="236"/>
      <c r="JA53" s="236"/>
      <c r="JB53" s="236"/>
      <c r="JC53" s="239"/>
      <c r="JD53" s="236"/>
      <c r="JE53" s="236"/>
      <c r="JF53" s="236"/>
      <c r="JG53" s="236"/>
      <c r="JH53" s="236"/>
      <c r="JI53" s="238"/>
      <c r="JJ53" s="236"/>
      <c r="JK53" s="236"/>
      <c r="JL53" s="236"/>
      <c r="JM53" s="236"/>
      <c r="JN53" s="236"/>
      <c r="JO53" s="239"/>
      <c r="JP53" s="236"/>
      <c r="JQ53" s="236"/>
      <c r="JR53" s="236"/>
      <c r="JS53" s="236"/>
      <c r="JT53" s="236"/>
      <c r="JU53" s="238"/>
      <c r="JV53" s="236"/>
      <c r="JW53" s="236"/>
      <c r="JX53" s="236"/>
      <c r="JY53" s="236"/>
      <c r="JZ53" s="236"/>
      <c r="KA53" s="239"/>
      <c r="KB53" s="236"/>
      <c r="KC53" s="236"/>
      <c r="KD53" s="236"/>
      <c r="KE53" s="236"/>
      <c r="KF53" s="236"/>
      <c r="KG53" s="238"/>
      <c r="KH53" s="236"/>
      <c r="KI53" s="236"/>
      <c r="KJ53" s="236"/>
      <c r="KK53" s="236"/>
      <c r="KL53" s="236"/>
      <c r="KM53" s="239"/>
      <c r="KN53" s="236"/>
      <c r="KO53" s="236"/>
      <c r="KP53" s="236"/>
      <c r="KQ53" s="236"/>
      <c r="KR53" s="236"/>
      <c r="KS53" s="240"/>
      <c r="KT53" s="235"/>
      <c r="KU53" s="236"/>
      <c r="KV53" s="236"/>
      <c r="KW53" s="236"/>
      <c r="KX53" s="236"/>
      <c r="KY53" s="237"/>
      <c r="KZ53" s="236"/>
      <c r="LA53" s="236"/>
      <c r="LB53" s="236"/>
      <c r="LC53" s="236"/>
      <c r="LD53" s="236"/>
      <c r="LE53" s="238"/>
      <c r="LF53" s="236"/>
      <c r="LG53" s="236"/>
      <c r="LH53" s="236"/>
      <c r="LI53" s="236"/>
      <c r="LJ53" s="236"/>
      <c r="LK53" s="239"/>
      <c r="LL53" s="236"/>
      <c r="LM53" s="236"/>
      <c r="LN53" s="236"/>
      <c r="LO53" s="236"/>
      <c r="LP53" s="236"/>
      <c r="LQ53" s="238"/>
      <c r="LR53" s="236"/>
      <c r="LS53" s="236"/>
      <c r="LT53" s="236"/>
      <c r="LU53" s="236"/>
      <c r="LV53" s="236"/>
      <c r="LW53" s="239"/>
      <c r="LX53" s="236"/>
      <c r="LY53" s="236"/>
      <c r="LZ53" s="236"/>
      <c r="MA53" s="236"/>
      <c r="MB53" s="236"/>
      <c r="MC53" s="238"/>
      <c r="MD53" s="236"/>
      <c r="ME53" s="236"/>
      <c r="MF53" s="236"/>
      <c r="MG53" s="236"/>
      <c r="MH53" s="236"/>
      <c r="MI53" s="239"/>
      <c r="MJ53" s="236"/>
      <c r="MK53" s="236"/>
      <c r="ML53" s="236"/>
      <c r="MM53" s="236"/>
      <c r="MN53" s="236"/>
      <c r="MO53" s="238"/>
      <c r="MP53" s="236"/>
      <c r="MQ53" s="236"/>
      <c r="MR53" s="236"/>
      <c r="MS53" s="236"/>
      <c r="MT53" s="236"/>
      <c r="MU53" s="239"/>
      <c r="MV53" s="236"/>
      <c r="MW53" s="236"/>
      <c r="MX53" s="236"/>
      <c r="MY53" s="236"/>
      <c r="MZ53" s="236"/>
      <c r="NA53" s="240"/>
      <c r="NB53" s="235"/>
      <c r="NC53" s="236"/>
      <c r="ND53" s="236"/>
      <c r="NE53" s="236"/>
      <c r="NF53" s="236"/>
      <c r="NG53" s="237"/>
      <c r="NH53" s="236"/>
      <c r="NI53" s="236"/>
      <c r="NJ53" s="236"/>
      <c r="NK53" s="236"/>
      <c r="NL53" s="236"/>
      <c r="NM53" s="238"/>
      <c r="NN53" s="236"/>
      <c r="NO53" s="236"/>
      <c r="NP53" s="236"/>
      <c r="NQ53" s="236"/>
      <c r="NR53" s="236"/>
      <c r="NS53" s="239"/>
      <c r="NT53" s="236"/>
      <c r="NU53" s="236"/>
      <c r="NV53" s="236"/>
      <c r="NW53" s="236"/>
      <c r="NX53" s="236"/>
      <c r="NY53" s="238"/>
      <c r="NZ53" s="236"/>
      <c r="OA53" s="236"/>
      <c r="OB53" s="236"/>
      <c r="OC53" s="236"/>
      <c r="OD53" s="236"/>
      <c r="OE53" s="239"/>
      <c r="OF53" s="236"/>
      <c r="OG53" s="236"/>
      <c r="OH53" s="236"/>
      <c r="OI53" s="236"/>
      <c r="OJ53" s="236"/>
      <c r="OK53" s="238"/>
      <c r="OL53" s="236"/>
      <c r="OM53" s="236"/>
      <c r="ON53" s="236"/>
      <c r="OO53" s="236"/>
      <c r="OP53" s="236"/>
      <c r="OQ53" s="239"/>
      <c r="OR53" s="236"/>
      <c r="OS53" s="236"/>
      <c r="OT53" s="236"/>
      <c r="OU53" s="236"/>
      <c r="OV53" s="236"/>
      <c r="OW53" s="238"/>
      <c r="OX53" s="236"/>
      <c r="OY53" s="236"/>
      <c r="OZ53" s="236"/>
      <c r="PA53" s="236"/>
      <c r="PB53" s="236"/>
      <c r="PC53" s="239"/>
      <c r="PD53" s="236"/>
      <c r="PE53" s="236"/>
      <c r="PF53" s="236"/>
      <c r="PG53" s="236"/>
      <c r="PH53" s="236"/>
      <c r="PI53" s="240"/>
      <c r="PJ53" s="235"/>
      <c r="PK53" s="236"/>
      <c r="PL53" s="236"/>
      <c r="PM53" s="236"/>
      <c r="PN53" s="236"/>
      <c r="PO53" s="237"/>
      <c r="PP53" s="236"/>
      <c r="PQ53" s="236"/>
      <c r="PR53" s="236"/>
      <c r="PS53" s="236"/>
      <c r="PT53" s="236"/>
      <c r="PU53" s="238"/>
      <c r="PV53" s="236"/>
      <c r="PW53" s="236"/>
      <c r="PX53" s="236"/>
      <c r="PY53" s="236"/>
      <c r="PZ53" s="236"/>
      <c r="QA53" s="239"/>
      <c r="QB53" s="236"/>
      <c r="QC53" s="236"/>
      <c r="QD53" s="236"/>
      <c r="QE53" s="236"/>
      <c r="QF53" s="236"/>
      <c r="QG53" s="238"/>
      <c r="QH53" s="236"/>
      <c r="QI53" s="236"/>
      <c r="QJ53" s="236"/>
      <c r="QK53" s="236"/>
      <c r="QL53" s="236"/>
      <c r="QM53" s="239"/>
      <c r="QN53" s="236"/>
      <c r="QO53" s="236"/>
      <c r="QP53" s="236"/>
      <c r="QQ53" s="236"/>
      <c r="QR53" s="236"/>
      <c r="QS53" s="238"/>
      <c r="QT53" s="236"/>
      <c r="QU53" s="236"/>
      <c r="QV53" s="236"/>
      <c r="QW53" s="236"/>
      <c r="QX53" s="236"/>
      <c r="QY53" s="239"/>
      <c r="QZ53" s="236"/>
      <c r="RA53" s="236"/>
      <c r="RB53" s="236"/>
      <c r="RC53" s="236"/>
      <c r="RD53" s="236"/>
      <c r="RE53" s="238"/>
      <c r="RF53" s="236"/>
      <c r="RG53" s="236"/>
      <c r="RH53" s="236"/>
      <c r="RI53" s="236"/>
      <c r="RJ53" s="236"/>
      <c r="RK53" s="239"/>
      <c r="RL53" s="236"/>
      <c r="RM53" s="236"/>
      <c r="RN53" s="236"/>
      <c r="RO53" s="236"/>
      <c r="RP53" s="236"/>
      <c r="RQ53" s="240"/>
      <c r="RR53" s="235"/>
      <c r="RS53" s="236"/>
      <c r="RT53" s="236"/>
      <c r="RU53" s="236"/>
      <c r="RV53" s="236"/>
      <c r="RW53" s="237"/>
      <c r="RX53" s="236"/>
      <c r="RY53" s="236"/>
      <c r="RZ53" s="236"/>
      <c r="SA53" s="236"/>
      <c r="SB53" s="236"/>
      <c r="SC53" s="238"/>
      <c r="SD53" s="236"/>
      <c r="SE53" s="236"/>
      <c r="SF53" s="236"/>
      <c r="SG53" s="236"/>
      <c r="SH53" s="236"/>
      <c r="SI53" s="239"/>
      <c r="SJ53" s="236"/>
      <c r="SK53" s="236"/>
      <c r="SL53" s="236"/>
      <c r="SM53" s="236"/>
      <c r="SN53" s="236"/>
      <c r="SO53" s="238"/>
      <c r="SP53" s="236"/>
      <c r="SQ53" s="236"/>
      <c r="SR53" s="236"/>
      <c r="SS53" s="236"/>
      <c r="ST53" s="236"/>
      <c r="SU53" s="239"/>
      <c r="SV53" s="236"/>
      <c r="SW53" s="236"/>
      <c r="SX53" s="236"/>
      <c r="SY53" s="236"/>
      <c r="SZ53" s="236"/>
      <c r="TA53" s="238"/>
      <c r="TB53" s="236"/>
      <c r="TC53" s="236"/>
      <c r="TD53" s="236"/>
      <c r="TE53" s="236"/>
      <c r="TF53" s="236"/>
      <c r="TG53" s="239"/>
      <c r="TH53" s="236"/>
      <c r="TI53" s="236"/>
      <c r="TJ53" s="236"/>
      <c r="TK53" s="236"/>
      <c r="TL53" s="236"/>
      <c r="TM53" s="238"/>
      <c r="TN53" s="236"/>
      <c r="TO53" s="236"/>
      <c r="TP53" s="236"/>
      <c r="TQ53" s="236"/>
      <c r="TR53" s="236"/>
      <c r="TS53" s="239"/>
      <c r="TT53" s="236"/>
      <c r="TU53" s="236"/>
      <c r="TV53" s="236"/>
      <c r="TW53" s="236"/>
      <c r="TX53" s="236"/>
      <c r="TY53" s="240"/>
      <c r="TZ53" s="235"/>
      <c r="UA53" s="236"/>
      <c r="UB53" s="236"/>
      <c r="UC53" s="236"/>
      <c r="UD53" s="236"/>
      <c r="UE53" s="237"/>
      <c r="UF53" s="236"/>
      <c r="UG53" s="236"/>
      <c r="UH53" s="236"/>
      <c r="UI53" s="236"/>
      <c r="UJ53" s="236"/>
      <c r="UK53" s="238"/>
      <c r="UL53" s="236"/>
      <c r="UM53" s="236"/>
      <c r="UN53" s="236"/>
      <c r="UO53" s="236"/>
      <c r="UP53" s="236"/>
      <c r="UQ53" s="239"/>
      <c r="UR53" s="236"/>
      <c r="US53" s="236"/>
      <c r="UT53" s="236"/>
      <c r="UU53" s="236"/>
      <c r="UV53" s="236"/>
      <c r="UW53" s="238"/>
      <c r="UX53" s="236"/>
      <c r="UY53" s="236"/>
      <c r="UZ53" s="236"/>
      <c r="VA53" s="236"/>
      <c r="VB53" s="236"/>
      <c r="VC53" s="239"/>
      <c r="VD53" s="236"/>
      <c r="VE53" s="236"/>
      <c r="VF53" s="236"/>
      <c r="VG53" s="236"/>
      <c r="VH53" s="236"/>
      <c r="VI53" s="238"/>
      <c r="VJ53" s="236"/>
      <c r="VK53" s="236"/>
      <c r="VL53" s="236"/>
      <c r="VM53" s="236"/>
      <c r="VN53" s="236"/>
      <c r="VO53" s="239"/>
      <c r="VP53" s="236"/>
      <c r="VQ53" s="236"/>
      <c r="VR53" s="236"/>
      <c r="VS53" s="236"/>
      <c r="VT53" s="236"/>
      <c r="VU53" s="238"/>
      <c r="VV53" s="236"/>
      <c r="VW53" s="236"/>
      <c r="VX53" s="236"/>
      <c r="VY53" s="236"/>
      <c r="VZ53" s="236"/>
      <c r="WA53" s="239"/>
      <c r="WB53" s="236"/>
      <c r="WC53" s="236"/>
      <c r="WD53" s="236"/>
      <c r="WE53" s="236"/>
      <c r="WF53" s="236"/>
      <c r="WG53" s="240"/>
      <c r="WH53" s="235"/>
      <c r="WI53" s="236"/>
      <c r="WJ53" s="236"/>
      <c r="WK53" s="236"/>
      <c r="WL53" s="236"/>
      <c r="WM53" s="237"/>
      <c r="WN53" s="236"/>
      <c r="WO53" s="236"/>
      <c r="WP53" s="236"/>
      <c r="WQ53" s="236"/>
      <c r="WR53" s="236"/>
      <c r="WS53" s="238"/>
      <c r="WT53" s="236"/>
      <c r="WU53" s="236"/>
      <c r="WV53" s="236"/>
      <c r="WW53" s="236"/>
      <c r="WX53" s="236"/>
      <c r="WY53" s="239"/>
      <c r="WZ53" s="236"/>
      <c r="XA53" s="236"/>
      <c r="XB53" s="236"/>
      <c r="XC53" s="236"/>
      <c r="XD53" s="236"/>
      <c r="XE53" s="238"/>
      <c r="XF53" s="236"/>
      <c r="XG53" s="236"/>
      <c r="XH53" s="236"/>
      <c r="XI53" s="236"/>
      <c r="XJ53" s="236"/>
      <c r="XK53" s="239"/>
      <c r="XL53" s="236"/>
      <c r="XM53" s="236"/>
      <c r="XN53" s="236"/>
      <c r="XO53" s="236"/>
      <c r="XP53" s="236"/>
      <c r="XQ53" s="238"/>
      <c r="XR53" s="236"/>
      <c r="XS53" s="236"/>
      <c r="XT53" s="236"/>
      <c r="XU53" s="236"/>
      <c r="XV53" s="236"/>
      <c r="XW53" s="239"/>
      <c r="XX53" s="236"/>
      <c r="XY53" s="236"/>
      <c r="XZ53" s="236"/>
      <c r="YA53" s="236"/>
      <c r="YB53" s="236"/>
      <c r="YC53" s="238"/>
      <c r="YD53" s="236"/>
      <c r="YE53" s="236"/>
      <c r="YF53" s="236"/>
      <c r="YG53" s="236"/>
      <c r="YH53" s="236"/>
      <c r="YI53" s="239"/>
      <c r="YJ53" s="236"/>
      <c r="YK53" s="236"/>
      <c r="YL53" s="236"/>
      <c r="YM53" s="236"/>
      <c r="YN53" s="236"/>
      <c r="YO53" s="240"/>
      <c r="YP53" s="235"/>
      <c r="YQ53" s="236"/>
      <c r="YR53" s="236"/>
      <c r="YS53" s="236"/>
      <c r="YT53" s="236"/>
      <c r="YU53" s="237"/>
      <c r="YV53" s="236"/>
      <c r="YW53" s="236"/>
      <c r="YX53" s="236"/>
      <c r="YY53" s="236"/>
      <c r="YZ53" s="236"/>
      <c r="ZA53" s="238"/>
      <c r="ZB53" s="236"/>
      <c r="ZC53" s="236"/>
      <c r="ZD53" s="236"/>
      <c r="ZE53" s="236"/>
      <c r="ZF53" s="236"/>
      <c r="ZG53" s="239"/>
      <c r="ZH53" s="236"/>
      <c r="ZI53" s="236"/>
      <c r="ZJ53" s="236"/>
      <c r="ZK53" s="236"/>
      <c r="ZL53" s="236"/>
      <c r="ZM53" s="238"/>
      <c r="ZN53" s="236"/>
      <c r="ZO53" s="236"/>
      <c r="ZP53" s="236"/>
      <c r="ZQ53" s="236"/>
      <c r="ZR53" s="236"/>
      <c r="ZS53" s="239"/>
      <c r="ZT53" s="236"/>
      <c r="ZU53" s="236"/>
      <c r="ZV53" s="236"/>
      <c r="ZW53" s="236"/>
      <c r="ZX53" s="236"/>
      <c r="ZY53" s="238"/>
      <c r="ZZ53" s="236"/>
      <c r="AAA53" s="236"/>
      <c r="AAB53" s="236"/>
      <c r="AAC53" s="236"/>
      <c r="AAD53" s="236"/>
      <c r="AAE53" s="239"/>
      <c r="AAF53" s="236"/>
      <c r="AAG53" s="236"/>
      <c r="AAH53" s="236"/>
      <c r="AAI53" s="236"/>
      <c r="AAJ53" s="236"/>
      <c r="AAK53" s="238"/>
      <c r="AAL53" s="236"/>
      <c r="AAM53" s="236"/>
      <c r="AAN53" s="236"/>
      <c r="AAO53" s="236"/>
      <c r="AAP53" s="236"/>
      <c r="AAQ53" s="239"/>
      <c r="AAR53" s="236"/>
      <c r="AAS53" s="236"/>
      <c r="AAT53" s="236"/>
      <c r="AAU53" s="236"/>
      <c r="AAV53" s="236"/>
      <c r="AAW53" s="240"/>
      <c r="AAX53" s="235"/>
      <c r="AAY53" s="236"/>
      <c r="AAZ53" s="236"/>
      <c r="ABA53" s="236"/>
      <c r="ABB53" s="236"/>
      <c r="ABC53" s="237"/>
      <c r="ABD53" s="236"/>
      <c r="ABE53" s="236"/>
      <c r="ABF53" s="236"/>
      <c r="ABG53" s="236"/>
      <c r="ABH53" s="236"/>
      <c r="ABI53" s="238"/>
      <c r="ABJ53" s="236"/>
      <c r="ABK53" s="236"/>
      <c r="ABL53" s="236"/>
      <c r="ABM53" s="236"/>
      <c r="ABN53" s="236"/>
      <c r="ABO53" s="239"/>
      <c r="ABP53" s="236"/>
      <c r="ABQ53" s="236"/>
      <c r="ABR53" s="236"/>
      <c r="ABS53" s="236"/>
      <c r="ABT53" s="236"/>
      <c r="ABU53" s="238"/>
      <c r="ABV53" s="236"/>
      <c r="ABW53" s="236"/>
      <c r="ABX53" s="236"/>
      <c r="ABY53" s="236"/>
      <c r="ABZ53" s="236"/>
      <c r="ACA53" s="239"/>
      <c r="ACB53" s="236"/>
      <c r="ACC53" s="236"/>
      <c r="ACD53" s="236"/>
      <c r="ACE53" s="236"/>
      <c r="ACF53" s="236"/>
      <c r="ACG53" s="238"/>
      <c r="ACH53" s="236"/>
      <c r="ACI53" s="236"/>
      <c r="ACJ53" s="236"/>
      <c r="ACK53" s="236"/>
      <c r="ACL53" s="236"/>
      <c r="ACM53" s="239"/>
      <c r="ACN53" s="236"/>
      <c r="ACO53" s="236"/>
      <c r="ACP53" s="236"/>
      <c r="ACQ53" s="236"/>
      <c r="ACR53" s="236"/>
      <c r="ACS53" s="238"/>
      <c r="ACT53" s="236"/>
      <c r="ACU53" s="236"/>
      <c r="ACV53" s="236"/>
      <c r="ACW53" s="236"/>
      <c r="ACX53" s="236"/>
      <c r="ACY53" s="239"/>
      <c r="ACZ53" s="236"/>
      <c r="ADA53" s="236"/>
      <c r="ADB53" s="236"/>
      <c r="ADC53" s="236"/>
      <c r="ADD53" s="236"/>
      <c r="ADE53" s="240"/>
      <c r="ADF53" s="235"/>
      <c r="ADG53" s="236"/>
      <c r="ADH53" s="236"/>
      <c r="ADI53" s="236"/>
      <c r="ADJ53" s="236"/>
      <c r="ADK53" s="237"/>
      <c r="ADL53" s="236"/>
      <c r="ADM53" s="236"/>
      <c r="ADN53" s="236"/>
      <c r="ADO53" s="236"/>
      <c r="ADP53" s="236"/>
      <c r="ADQ53" s="238"/>
      <c r="ADR53" s="236"/>
      <c r="ADS53" s="236"/>
      <c r="ADT53" s="236"/>
      <c r="ADU53" s="236"/>
      <c r="ADV53" s="236"/>
      <c r="ADW53" s="239"/>
      <c r="ADX53" s="236"/>
      <c r="ADY53" s="236"/>
      <c r="ADZ53" s="236"/>
      <c r="AEA53" s="236"/>
      <c r="AEB53" s="236"/>
      <c r="AEC53" s="238"/>
      <c r="AED53" s="236"/>
      <c r="AEE53" s="236"/>
      <c r="AEF53" s="236"/>
      <c r="AEG53" s="236"/>
      <c r="AEH53" s="236"/>
      <c r="AEI53" s="239"/>
      <c r="AEJ53" s="236"/>
      <c r="AEK53" s="236"/>
      <c r="AEL53" s="236"/>
      <c r="AEM53" s="236"/>
      <c r="AEN53" s="236"/>
      <c r="AEO53" s="238"/>
      <c r="AEP53" s="236"/>
      <c r="AEQ53" s="236"/>
      <c r="AER53" s="236"/>
      <c r="AES53" s="236"/>
      <c r="AET53" s="236"/>
      <c r="AEU53" s="239"/>
      <c r="AEV53" s="236"/>
      <c r="AEW53" s="236"/>
      <c r="AEX53" s="236"/>
      <c r="AEY53" s="236"/>
      <c r="AEZ53" s="236"/>
      <c r="AFA53" s="238"/>
      <c r="AFB53" s="236"/>
      <c r="AFC53" s="236"/>
      <c r="AFD53" s="236"/>
      <c r="AFE53" s="236"/>
      <c r="AFF53" s="236"/>
      <c r="AFG53" s="239"/>
      <c r="AFH53" s="236"/>
      <c r="AFI53" s="236"/>
      <c r="AFJ53" s="236"/>
      <c r="AFK53" s="236"/>
      <c r="AFL53" s="236"/>
      <c r="AFM53" s="240"/>
      <c r="AFN53" s="235"/>
      <c r="AFO53" s="236"/>
      <c r="AFP53" s="236"/>
      <c r="AFQ53" s="236"/>
      <c r="AFR53" s="236"/>
      <c r="AFS53" s="237"/>
      <c r="AFT53" s="236"/>
      <c r="AFU53" s="236"/>
      <c r="AFV53" s="236"/>
      <c r="AFW53" s="236"/>
      <c r="AFX53" s="236"/>
      <c r="AFY53" s="238"/>
      <c r="AFZ53" s="236"/>
      <c r="AGA53" s="236"/>
      <c r="AGB53" s="236"/>
      <c r="AGC53" s="236"/>
      <c r="AGD53" s="236"/>
      <c r="AGE53" s="239"/>
      <c r="AGF53" s="236"/>
      <c r="AGG53" s="236"/>
      <c r="AGH53" s="236"/>
      <c r="AGI53" s="236"/>
      <c r="AGJ53" s="236"/>
      <c r="AGK53" s="238"/>
      <c r="AGL53" s="236"/>
      <c r="AGM53" s="236"/>
      <c r="AGN53" s="236"/>
      <c r="AGO53" s="236"/>
      <c r="AGP53" s="236"/>
      <c r="AGQ53" s="239"/>
      <c r="AGR53" s="236"/>
      <c r="AGS53" s="236"/>
      <c r="AGT53" s="236"/>
      <c r="AGU53" s="236"/>
      <c r="AGV53" s="236"/>
      <c r="AGW53" s="238"/>
      <c r="AGX53" s="236"/>
      <c r="AGY53" s="236"/>
      <c r="AGZ53" s="236"/>
      <c r="AHA53" s="236"/>
      <c r="AHB53" s="236"/>
      <c r="AHC53" s="239"/>
      <c r="AHD53" s="236"/>
      <c r="AHE53" s="236"/>
      <c r="AHF53" s="236"/>
      <c r="AHG53" s="236"/>
      <c r="AHH53" s="236"/>
      <c r="AHI53" s="238"/>
      <c r="AHJ53" s="236"/>
      <c r="AHK53" s="236"/>
      <c r="AHL53" s="236"/>
      <c r="AHM53" s="236"/>
      <c r="AHN53" s="236"/>
      <c r="AHO53" s="239"/>
      <c r="AHP53" s="236"/>
      <c r="AHQ53" s="236"/>
      <c r="AHR53" s="236"/>
      <c r="AHS53" s="236"/>
      <c r="AHT53" s="236"/>
      <c r="AHU53" s="240"/>
      <c r="AHV53" s="235"/>
      <c r="AHW53" s="236"/>
      <c r="AHX53" s="236"/>
      <c r="AHY53" s="236"/>
      <c r="AHZ53" s="236"/>
      <c r="AIA53" s="237"/>
      <c r="AIB53" s="236"/>
      <c r="AIC53" s="236"/>
      <c r="AID53" s="236"/>
      <c r="AIE53" s="236"/>
      <c r="AIF53" s="236"/>
      <c r="AIG53" s="238"/>
      <c r="AIH53" s="236"/>
      <c r="AII53" s="236"/>
      <c r="AIJ53" s="236"/>
      <c r="AIK53" s="236"/>
      <c r="AIL53" s="236"/>
      <c r="AIM53" s="239"/>
      <c r="AIN53" s="236"/>
      <c r="AIO53" s="236"/>
      <c r="AIP53" s="236"/>
      <c r="AIQ53" s="236"/>
      <c r="AIR53" s="236"/>
      <c r="AIS53" s="238"/>
      <c r="AIT53" s="236"/>
      <c r="AIU53" s="236"/>
      <c r="AIV53" s="236"/>
      <c r="AIW53" s="236"/>
      <c r="AIX53" s="236"/>
      <c r="AIY53" s="239"/>
      <c r="AIZ53" s="236"/>
      <c r="AJA53" s="236"/>
      <c r="AJB53" s="236"/>
      <c r="AJC53" s="236"/>
      <c r="AJD53" s="236"/>
      <c r="AJE53" s="238"/>
      <c r="AJF53" s="236"/>
      <c r="AJG53" s="236"/>
      <c r="AJH53" s="236"/>
      <c r="AJI53" s="236"/>
      <c r="AJJ53" s="236"/>
      <c r="AJK53" s="239"/>
      <c r="AJL53" s="236"/>
      <c r="AJM53" s="236"/>
      <c r="AJN53" s="236"/>
      <c r="AJO53" s="236"/>
      <c r="AJP53" s="236"/>
      <c r="AJQ53" s="238"/>
      <c r="AJR53" s="236"/>
      <c r="AJS53" s="236"/>
      <c r="AJT53" s="236"/>
      <c r="AJU53" s="236"/>
      <c r="AJV53" s="236"/>
      <c r="AJW53" s="239"/>
      <c r="AJX53" s="236"/>
      <c r="AJY53" s="236"/>
      <c r="AJZ53" s="236"/>
      <c r="AKA53" s="236"/>
      <c r="AKB53" s="236"/>
      <c r="AKC53" s="240"/>
      <c r="AKD53" s="235"/>
      <c r="AKE53" s="236"/>
      <c r="AKF53" s="236"/>
      <c r="AKG53" s="236"/>
      <c r="AKH53" s="236"/>
      <c r="AKI53" s="237"/>
      <c r="AKJ53" s="236"/>
      <c r="AKK53" s="236"/>
      <c r="AKL53" s="236"/>
      <c r="AKM53" s="236"/>
      <c r="AKN53" s="236"/>
      <c r="AKO53" s="238"/>
      <c r="AKP53" s="236"/>
      <c r="AKQ53" s="236"/>
      <c r="AKR53" s="236"/>
      <c r="AKS53" s="236"/>
      <c r="AKT53" s="236"/>
      <c r="AKU53" s="239"/>
      <c r="AKV53" s="236"/>
      <c r="AKW53" s="236"/>
      <c r="AKX53" s="236"/>
      <c r="AKY53" s="236"/>
      <c r="AKZ53" s="236"/>
      <c r="ALA53" s="238"/>
      <c r="ALB53" s="236"/>
      <c r="ALC53" s="236"/>
      <c r="ALD53" s="236"/>
      <c r="ALE53" s="236"/>
      <c r="ALF53" s="236"/>
      <c r="ALG53" s="239"/>
      <c r="ALH53" s="236"/>
      <c r="ALI53" s="236"/>
      <c r="ALJ53" s="236"/>
      <c r="ALK53" s="236"/>
      <c r="ALL53" s="236"/>
      <c r="ALM53" s="238"/>
      <c r="ALN53" s="236"/>
      <c r="ALO53" s="236"/>
      <c r="ALP53" s="236"/>
      <c r="ALQ53" s="236"/>
      <c r="ALR53" s="236"/>
      <c r="ALS53" s="239"/>
      <c r="ALT53" s="236"/>
      <c r="ALU53" s="236"/>
      <c r="ALV53" s="236"/>
      <c r="ALW53" s="236"/>
      <c r="ALX53" s="236"/>
      <c r="ALY53" s="238"/>
      <c r="ALZ53" s="236"/>
      <c r="AMA53" s="236"/>
      <c r="AMB53" s="236"/>
      <c r="AMC53" s="236"/>
      <c r="AMD53" s="236"/>
      <c r="AME53" s="239"/>
      <c r="AMF53" s="236"/>
      <c r="AMG53" s="236"/>
      <c r="AMH53" s="236"/>
      <c r="AMI53" s="236"/>
      <c r="AMJ53" s="236"/>
      <c r="AMK53" s="240"/>
      <c r="AML53" s="235"/>
      <c r="AMM53" s="236"/>
      <c r="AMN53" s="236"/>
      <c r="AMO53" s="236"/>
      <c r="AMP53" s="236"/>
      <c r="AMQ53" s="237"/>
      <c r="AMR53" s="236"/>
      <c r="AMS53" s="236"/>
      <c r="AMT53" s="236"/>
      <c r="AMU53" s="236"/>
      <c r="AMV53" s="236"/>
      <c r="AMW53" s="238"/>
      <c r="AMX53" s="236"/>
      <c r="AMY53" s="236"/>
      <c r="AMZ53" s="236"/>
      <c r="ANA53" s="236"/>
      <c r="ANB53" s="236"/>
      <c r="ANC53" s="239"/>
      <c r="AND53" s="236"/>
      <c r="ANE53" s="236"/>
      <c r="ANF53" s="236"/>
      <c r="ANG53" s="236"/>
      <c r="ANH53" s="236"/>
      <c r="ANI53" s="238"/>
      <c r="ANJ53" s="236"/>
      <c r="ANK53" s="236"/>
      <c r="ANL53" s="236"/>
      <c r="ANM53" s="236"/>
      <c r="ANN53" s="236"/>
      <c r="ANO53" s="239"/>
      <c r="ANP53" s="236"/>
      <c r="ANQ53" s="236"/>
      <c r="ANR53" s="236"/>
      <c r="ANS53" s="236"/>
      <c r="ANT53" s="236"/>
      <c r="ANU53" s="238"/>
      <c r="ANV53" s="236"/>
      <c r="ANW53" s="236"/>
      <c r="ANX53" s="236"/>
      <c r="ANY53" s="236"/>
      <c r="ANZ53" s="236"/>
      <c r="AOA53" s="239"/>
      <c r="AOB53" s="236"/>
      <c r="AOC53" s="236"/>
      <c r="AOD53" s="236"/>
      <c r="AOE53" s="236"/>
      <c r="AOF53" s="236"/>
      <c r="AOG53" s="238"/>
      <c r="AOH53" s="236"/>
      <c r="AOI53" s="236"/>
      <c r="AOJ53" s="236"/>
      <c r="AOK53" s="236"/>
      <c r="AOL53" s="236"/>
      <c r="AOM53" s="239"/>
      <c r="AON53" s="236"/>
      <c r="AOO53" s="236"/>
      <c r="AOP53" s="236"/>
      <c r="AOQ53" s="236"/>
      <c r="AOR53" s="236"/>
      <c r="AOS53" s="240"/>
      <c r="AOT53" s="235"/>
      <c r="AOU53" s="236"/>
      <c r="AOV53" s="236"/>
      <c r="AOW53" s="236"/>
      <c r="AOX53" s="236"/>
      <c r="AOY53" s="237"/>
      <c r="AOZ53" s="236"/>
      <c r="APA53" s="236"/>
      <c r="APB53" s="236"/>
      <c r="APC53" s="236"/>
      <c r="APD53" s="236"/>
      <c r="APE53" s="238"/>
      <c r="APF53" s="236"/>
      <c r="APG53" s="236"/>
      <c r="APH53" s="236"/>
      <c r="API53" s="236"/>
      <c r="APJ53" s="236"/>
      <c r="APK53" s="239"/>
      <c r="APL53" s="236"/>
      <c r="APM53" s="236"/>
      <c r="APN53" s="236"/>
      <c r="APO53" s="236"/>
      <c r="APP53" s="236"/>
      <c r="APQ53" s="238"/>
      <c r="APR53" s="236"/>
      <c r="APS53" s="236"/>
      <c r="APT53" s="236"/>
      <c r="APU53" s="236"/>
      <c r="APV53" s="236"/>
      <c r="APW53" s="239"/>
      <c r="APX53" s="236"/>
      <c r="APY53" s="236"/>
      <c r="APZ53" s="236"/>
      <c r="AQA53" s="236"/>
      <c r="AQB53" s="236"/>
      <c r="AQC53" s="238"/>
      <c r="AQD53" s="236"/>
      <c r="AQE53" s="236"/>
      <c r="AQF53" s="236"/>
      <c r="AQG53" s="236"/>
      <c r="AQH53" s="236"/>
      <c r="AQI53" s="239"/>
      <c r="AQJ53" s="236"/>
      <c r="AQK53" s="236"/>
      <c r="AQL53" s="236"/>
      <c r="AQM53" s="236"/>
      <c r="AQN53" s="236"/>
      <c r="AQO53" s="238"/>
      <c r="AQP53" s="236"/>
      <c r="AQQ53" s="236"/>
      <c r="AQR53" s="236"/>
      <c r="AQS53" s="236"/>
      <c r="AQT53" s="236"/>
      <c r="AQU53" s="239"/>
      <c r="AQV53" s="236"/>
      <c r="AQW53" s="236"/>
      <c r="AQX53" s="236"/>
      <c r="AQY53" s="236"/>
      <c r="AQZ53" s="236"/>
      <c r="ARA53" s="240"/>
      <c r="ARB53" s="235"/>
      <c r="ARC53" s="236"/>
      <c r="ARD53" s="236"/>
      <c r="ARE53" s="236"/>
      <c r="ARF53" s="236"/>
      <c r="ARG53" s="237"/>
      <c r="ARH53" s="236"/>
      <c r="ARI53" s="236"/>
      <c r="ARJ53" s="236"/>
      <c r="ARK53" s="236"/>
      <c r="ARL53" s="236"/>
      <c r="ARM53" s="238"/>
      <c r="ARN53" s="236"/>
      <c r="ARO53" s="236"/>
      <c r="ARP53" s="236"/>
      <c r="ARQ53" s="236"/>
      <c r="ARR53" s="236"/>
      <c r="ARS53" s="239"/>
      <c r="ART53" s="236"/>
      <c r="ARU53" s="236"/>
      <c r="ARV53" s="236"/>
      <c r="ARW53" s="236"/>
      <c r="ARX53" s="236"/>
      <c r="ARY53" s="238"/>
      <c r="ARZ53" s="236"/>
      <c r="ASA53" s="236"/>
      <c r="ASB53" s="236"/>
      <c r="ASC53" s="236"/>
      <c r="ASD53" s="236"/>
      <c r="ASE53" s="239"/>
      <c r="ASF53" s="236"/>
      <c r="ASG53" s="236"/>
      <c r="ASH53" s="236"/>
      <c r="ASI53" s="236"/>
      <c r="ASJ53" s="236"/>
      <c r="ASK53" s="238"/>
      <c r="ASL53" s="236"/>
      <c r="ASM53" s="236"/>
      <c r="ASN53" s="236"/>
      <c r="ASO53" s="236"/>
      <c r="ASP53" s="236"/>
      <c r="ASQ53" s="239"/>
      <c r="ASR53" s="236"/>
      <c r="ASS53" s="236"/>
      <c r="AST53" s="236"/>
      <c r="ASU53" s="236"/>
      <c r="ASV53" s="236"/>
      <c r="ASW53" s="238"/>
      <c r="ASX53" s="236"/>
      <c r="ASY53" s="236"/>
      <c r="ASZ53" s="236"/>
      <c r="ATA53" s="236"/>
      <c r="ATB53" s="236"/>
      <c r="ATC53" s="239"/>
      <c r="ATD53" s="236"/>
      <c r="ATE53" s="236"/>
      <c r="ATF53" s="236"/>
      <c r="ATG53" s="236"/>
      <c r="ATH53" s="236"/>
      <c r="ATI53" s="240"/>
      <c r="ATJ53" s="235"/>
      <c r="ATK53" s="236"/>
      <c r="ATL53" s="236"/>
      <c r="ATM53" s="236"/>
      <c r="ATN53" s="236"/>
      <c r="ATO53" s="237"/>
      <c r="ATP53" s="236"/>
      <c r="ATQ53" s="236"/>
      <c r="ATR53" s="236"/>
      <c r="ATS53" s="236"/>
      <c r="ATT53" s="236"/>
      <c r="ATU53" s="238"/>
      <c r="ATV53" s="236"/>
      <c r="ATW53" s="236"/>
      <c r="ATX53" s="236"/>
      <c r="ATY53" s="236"/>
      <c r="ATZ53" s="236"/>
      <c r="AUA53" s="239"/>
      <c r="AUB53" s="236"/>
      <c r="AUC53" s="236"/>
      <c r="AUD53" s="236"/>
      <c r="AUE53" s="236"/>
      <c r="AUF53" s="236"/>
      <c r="AUG53" s="238"/>
      <c r="AUH53" s="236"/>
      <c r="AUI53" s="236"/>
      <c r="AUJ53" s="236"/>
      <c r="AUK53" s="236"/>
      <c r="AUL53" s="236"/>
      <c r="AUM53" s="239"/>
      <c r="AUN53" s="236"/>
      <c r="AUO53" s="236"/>
      <c r="AUP53" s="236"/>
      <c r="AUQ53" s="236"/>
      <c r="AUR53" s="236"/>
      <c r="AUS53" s="238"/>
      <c r="AUT53" s="236"/>
      <c r="AUU53" s="236"/>
      <c r="AUV53" s="236"/>
      <c r="AUW53" s="236"/>
      <c r="AUX53" s="236"/>
      <c r="AUY53" s="239"/>
      <c r="AUZ53" s="236"/>
      <c r="AVA53" s="236"/>
      <c r="AVB53" s="236"/>
      <c r="AVC53" s="236"/>
      <c r="AVD53" s="236"/>
      <c r="AVE53" s="238"/>
      <c r="AVF53" s="236"/>
      <c r="AVG53" s="236"/>
      <c r="AVH53" s="236"/>
      <c r="AVI53" s="236"/>
      <c r="AVJ53" s="236"/>
      <c r="AVK53" s="239"/>
      <c r="AVL53" s="236"/>
      <c r="AVM53" s="236"/>
      <c r="AVN53" s="236"/>
      <c r="AVO53" s="236"/>
      <c r="AVP53" s="236"/>
      <c r="AVQ53" s="240"/>
      <c r="AVR53" s="235"/>
      <c r="AVS53" s="236"/>
      <c r="AVT53" s="236"/>
      <c r="AVU53" s="236"/>
      <c r="AVV53" s="236"/>
      <c r="AVW53" s="237"/>
      <c r="AVX53" s="236"/>
      <c r="AVY53" s="236"/>
      <c r="AVZ53" s="236"/>
      <c r="AWA53" s="236"/>
      <c r="AWB53" s="236"/>
      <c r="AWC53" s="238"/>
      <c r="AWD53" s="236"/>
      <c r="AWE53" s="236"/>
      <c r="AWF53" s="236"/>
      <c r="AWG53" s="236"/>
      <c r="AWH53" s="236"/>
      <c r="AWI53" s="239"/>
      <c r="AWJ53" s="236"/>
      <c r="AWK53" s="236"/>
      <c r="AWL53" s="236"/>
      <c r="AWM53" s="236"/>
      <c r="AWN53" s="236"/>
      <c r="AWO53" s="238"/>
      <c r="AWP53" s="236"/>
      <c r="AWQ53" s="236"/>
      <c r="AWR53" s="236"/>
      <c r="AWS53" s="236"/>
      <c r="AWT53" s="236"/>
      <c r="AWU53" s="239"/>
      <c r="AWV53" s="236"/>
      <c r="AWW53" s="236"/>
      <c r="AWX53" s="236"/>
      <c r="AWY53" s="236"/>
      <c r="AWZ53" s="236"/>
      <c r="AXA53" s="238"/>
      <c r="AXB53" s="236"/>
      <c r="AXC53" s="236"/>
      <c r="AXD53" s="236"/>
      <c r="AXE53" s="236"/>
      <c r="AXF53" s="236"/>
      <c r="AXG53" s="239"/>
      <c r="AXH53" s="236"/>
      <c r="AXI53" s="236"/>
      <c r="AXJ53" s="236"/>
      <c r="AXK53" s="236"/>
      <c r="AXL53" s="236"/>
      <c r="AXM53" s="238"/>
      <c r="AXN53" s="236"/>
      <c r="AXO53" s="236"/>
      <c r="AXP53" s="236"/>
      <c r="AXQ53" s="236"/>
      <c r="AXR53" s="236"/>
      <c r="AXS53" s="239"/>
      <c r="AXT53" s="236"/>
      <c r="AXU53" s="236"/>
      <c r="AXV53" s="236"/>
      <c r="AXW53" s="236"/>
      <c r="AXX53" s="236"/>
      <c r="AXY53" s="240"/>
      <c r="AXZ53" s="235"/>
      <c r="AYA53" s="236"/>
      <c r="AYB53" s="236"/>
      <c r="AYC53" s="236"/>
      <c r="AYD53" s="236"/>
      <c r="AYE53" s="237"/>
      <c r="AYF53" s="236"/>
      <c r="AYG53" s="236"/>
      <c r="AYH53" s="236"/>
      <c r="AYI53" s="236"/>
      <c r="AYJ53" s="236"/>
      <c r="AYK53" s="238"/>
      <c r="AYL53" s="236"/>
      <c r="AYM53" s="236"/>
      <c r="AYN53" s="236"/>
      <c r="AYO53" s="236"/>
      <c r="AYP53" s="236"/>
      <c r="AYQ53" s="239"/>
      <c r="AYR53" s="236"/>
      <c r="AYS53" s="236"/>
      <c r="AYT53" s="236"/>
      <c r="AYU53" s="236"/>
      <c r="AYV53" s="236"/>
      <c r="AYW53" s="238"/>
      <c r="AYX53" s="236"/>
      <c r="AYY53" s="236"/>
      <c r="AYZ53" s="236"/>
      <c r="AZA53" s="236"/>
      <c r="AZB53" s="236"/>
      <c r="AZC53" s="239"/>
      <c r="AZD53" s="236"/>
      <c r="AZE53" s="236"/>
      <c r="AZF53" s="236"/>
      <c r="AZG53" s="236"/>
      <c r="AZH53" s="236"/>
      <c r="AZI53" s="238"/>
      <c r="AZJ53" s="236"/>
      <c r="AZK53" s="236"/>
      <c r="AZL53" s="236"/>
      <c r="AZM53" s="236"/>
      <c r="AZN53" s="236"/>
      <c r="AZO53" s="239"/>
      <c r="AZP53" s="236"/>
      <c r="AZQ53" s="236"/>
      <c r="AZR53" s="236"/>
      <c r="AZS53" s="236"/>
      <c r="AZT53" s="236"/>
      <c r="AZU53" s="238"/>
      <c r="AZV53" s="236"/>
      <c r="AZW53" s="236"/>
      <c r="AZX53" s="236"/>
      <c r="AZY53" s="236"/>
      <c r="AZZ53" s="236"/>
      <c r="BAA53" s="239"/>
      <c r="BAB53" s="236"/>
      <c r="BAC53" s="236"/>
      <c r="BAD53" s="236"/>
      <c r="BAE53" s="236"/>
      <c r="BAF53" s="236"/>
      <c r="BAG53" s="240"/>
      <c r="BAH53" s="235"/>
      <c r="BAI53" s="236"/>
      <c r="BAJ53" s="236"/>
      <c r="BAK53" s="236"/>
      <c r="BAL53" s="236"/>
      <c r="BAM53" s="237"/>
      <c r="BAN53" s="236"/>
      <c r="BAO53" s="236"/>
      <c r="BAP53" s="236"/>
      <c r="BAQ53" s="236"/>
      <c r="BAR53" s="236"/>
      <c r="BAS53" s="238"/>
      <c r="BAT53" s="236"/>
      <c r="BAU53" s="236"/>
      <c r="BAV53" s="236"/>
      <c r="BAW53" s="236"/>
      <c r="BAX53" s="236"/>
      <c r="BAY53" s="239"/>
      <c r="BAZ53" s="236"/>
      <c r="BBA53" s="236"/>
      <c r="BBB53" s="236"/>
      <c r="BBC53" s="236"/>
      <c r="BBD53" s="236"/>
      <c r="BBE53" s="238"/>
      <c r="BBF53" s="236"/>
      <c r="BBG53" s="236"/>
      <c r="BBH53" s="236"/>
      <c r="BBI53" s="236"/>
      <c r="BBJ53" s="236"/>
      <c r="BBK53" s="239"/>
      <c r="BBL53" s="236"/>
      <c r="BBM53" s="236"/>
      <c r="BBN53" s="236"/>
      <c r="BBO53" s="236"/>
      <c r="BBP53" s="236"/>
      <c r="BBQ53" s="238"/>
      <c r="BBR53" s="236"/>
      <c r="BBS53" s="236"/>
      <c r="BBT53" s="236"/>
      <c r="BBU53" s="236"/>
      <c r="BBV53" s="236"/>
      <c r="BBW53" s="239"/>
      <c r="BBX53" s="236"/>
      <c r="BBY53" s="236"/>
      <c r="BBZ53" s="236"/>
      <c r="BCA53" s="236"/>
      <c r="BCB53" s="236"/>
      <c r="BCC53" s="238"/>
      <c r="BCD53" s="236"/>
      <c r="BCE53" s="236"/>
      <c r="BCF53" s="236"/>
      <c r="BCG53" s="236"/>
      <c r="BCH53" s="236"/>
      <c r="BCI53" s="239"/>
      <c r="BCJ53" s="236"/>
      <c r="BCK53" s="236"/>
      <c r="BCL53" s="236"/>
      <c r="BCM53" s="236"/>
      <c r="BCN53" s="236"/>
      <c r="BCO53" s="240"/>
      <c r="BCP53" s="235"/>
      <c r="BCQ53" s="236"/>
      <c r="BCR53" s="236"/>
      <c r="BCS53" s="236"/>
      <c r="BCT53" s="236"/>
      <c r="BCU53" s="237"/>
      <c r="BCV53" s="236"/>
      <c r="BCW53" s="236"/>
      <c r="BCX53" s="236"/>
      <c r="BCY53" s="236"/>
      <c r="BCZ53" s="236"/>
      <c r="BDA53" s="238"/>
      <c r="BDB53" s="236"/>
      <c r="BDC53" s="236"/>
      <c r="BDD53" s="236"/>
      <c r="BDE53" s="236"/>
      <c r="BDF53" s="236"/>
      <c r="BDG53" s="239"/>
      <c r="BDH53" s="236"/>
      <c r="BDI53" s="236"/>
      <c r="BDJ53" s="236"/>
      <c r="BDK53" s="236"/>
      <c r="BDL53" s="236"/>
      <c r="BDM53" s="238"/>
      <c r="BDN53" s="236"/>
      <c r="BDO53" s="236"/>
      <c r="BDP53" s="236"/>
      <c r="BDQ53" s="236"/>
      <c r="BDR53" s="236"/>
      <c r="BDS53" s="239"/>
      <c r="BDT53" s="236"/>
      <c r="BDU53" s="236"/>
      <c r="BDV53" s="236"/>
      <c r="BDW53" s="236"/>
      <c r="BDX53" s="236"/>
      <c r="BDY53" s="238"/>
      <c r="BDZ53" s="236"/>
      <c r="BEA53" s="236"/>
      <c r="BEB53" s="236"/>
      <c r="BEC53" s="236"/>
      <c r="BED53" s="236"/>
      <c r="BEE53" s="239"/>
      <c r="BEF53" s="236"/>
      <c r="BEG53" s="236"/>
      <c r="BEH53" s="236"/>
      <c r="BEI53" s="236"/>
      <c r="BEJ53" s="236"/>
      <c r="BEK53" s="238"/>
      <c r="BEL53" s="236"/>
      <c r="BEM53" s="236"/>
      <c r="BEN53" s="236"/>
      <c r="BEO53" s="236"/>
      <c r="BEP53" s="236"/>
      <c r="BEQ53" s="239"/>
      <c r="BER53" s="236"/>
      <c r="BES53" s="236"/>
      <c r="BET53" s="236"/>
      <c r="BEU53" s="236"/>
      <c r="BEV53" s="236"/>
      <c r="BEW53" s="240"/>
      <c r="BEX53" s="235"/>
      <c r="BEY53" s="236"/>
      <c r="BEZ53" s="236"/>
      <c r="BFA53" s="236"/>
      <c r="BFB53" s="236"/>
      <c r="BFC53" s="237"/>
      <c r="BFD53" s="236"/>
      <c r="BFE53" s="236"/>
      <c r="BFF53" s="236"/>
      <c r="BFG53" s="236"/>
      <c r="BFH53" s="236"/>
      <c r="BFI53" s="238"/>
      <c r="BFJ53" s="236"/>
      <c r="BFK53" s="236"/>
      <c r="BFL53" s="236"/>
      <c r="BFM53" s="236"/>
      <c r="BFN53" s="236"/>
      <c r="BFO53" s="239"/>
      <c r="BFP53" s="236"/>
      <c r="BFQ53" s="236"/>
      <c r="BFR53" s="236"/>
      <c r="BFS53" s="236"/>
      <c r="BFT53" s="236"/>
      <c r="BFU53" s="238"/>
      <c r="BFV53" s="236"/>
      <c r="BFW53" s="236"/>
      <c r="BFX53" s="236"/>
      <c r="BFY53" s="236"/>
      <c r="BFZ53" s="236"/>
      <c r="BGA53" s="239"/>
      <c r="BGB53" s="236"/>
      <c r="BGC53" s="236"/>
      <c r="BGD53" s="236"/>
      <c r="BGE53" s="236"/>
      <c r="BGF53" s="236"/>
      <c r="BGG53" s="238"/>
      <c r="BGH53" s="236"/>
      <c r="BGI53" s="236"/>
      <c r="BGJ53" s="236"/>
      <c r="BGK53" s="236"/>
      <c r="BGL53" s="236"/>
      <c r="BGM53" s="239"/>
      <c r="BGN53" s="236"/>
      <c r="BGO53" s="236"/>
      <c r="BGP53" s="236"/>
      <c r="BGQ53" s="236"/>
      <c r="BGR53" s="236"/>
      <c r="BGS53" s="238"/>
      <c r="BGT53" s="236"/>
      <c r="BGU53" s="236"/>
      <c r="BGV53" s="236"/>
      <c r="BGW53" s="236"/>
      <c r="BGX53" s="236"/>
      <c r="BGY53" s="239"/>
      <c r="BGZ53" s="236"/>
      <c r="BHA53" s="236"/>
      <c r="BHB53" s="236"/>
      <c r="BHC53" s="236"/>
      <c r="BHD53" s="236"/>
      <c r="BHE53" s="240"/>
      <c r="BHF53" s="235"/>
      <c r="BHG53" s="236"/>
      <c r="BHH53" s="236"/>
      <c r="BHI53" s="236"/>
      <c r="BHJ53" s="236"/>
      <c r="BHK53" s="237"/>
      <c r="BHL53" s="236"/>
      <c r="BHM53" s="236"/>
      <c r="BHN53" s="236"/>
      <c r="BHO53" s="236"/>
      <c r="BHP53" s="236"/>
      <c r="BHQ53" s="238"/>
      <c r="BHR53" s="236"/>
      <c r="BHS53" s="236"/>
      <c r="BHT53" s="236"/>
      <c r="BHU53" s="236"/>
      <c r="BHV53" s="236"/>
      <c r="BHW53" s="239"/>
      <c r="BHX53" s="236"/>
      <c r="BHY53" s="236"/>
      <c r="BHZ53" s="236"/>
      <c r="BIA53" s="236"/>
      <c r="BIB53" s="236"/>
      <c r="BIC53" s="238"/>
      <c r="BID53" s="236"/>
      <c r="BIE53" s="236"/>
      <c r="BIF53" s="236"/>
      <c r="BIG53" s="236"/>
      <c r="BIH53" s="236"/>
      <c r="BII53" s="239"/>
      <c r="BIJ53" s="236"/>
      <c r="BIK53" s="236"/>
      <c r="BIL53" s="236"/>
      <c r="BIM53" s="236"/>
      <c r="BIN53" s="236"/>
      <c r="BIO53" s="238"/>
      <c r="BIP53" s="236"/>
      <c r="BIQ53" s="236"/>
      <c r="BIR53" s="236"/>
      <c r="BIS53" s="236"/>
      <c r="BIT53" s="236"/>
      <c r="BIU53" s="239"/>
      <c r="BIV53" s="236"/>
      <c r="BIW53" s="236"/>
      <c r="BIX53" s="236"/>
      <c r="BIY53" s="236"/>
      <c r="BIZ53" s="236"/>
      <c r="BJA53" s="238"/>
      <c r="BJB53" s="236"/>
      <c r="BJC53" s="236"/>
      <c r="BJD53" s="236"/>
      <c r="BJE53" s="236"/>
      <c r="BJF53" s="236"/>
      <c r="BJG53" s="239"/>
      <c r="BJH53" s="236"/>
      <c r="BJI53" s="236"/>
      <c r="BJJ53" s="236"/>
      <c r="BJK53" s="236"/>
      <c r="BJL53" s="236"/>
      <c r="BJM53" s="240"/>
      <c r="BJN53" s="233"/>
      <c r="BJO53" s="234"/>
      <c r="BJP53" s="234"/>
      <c r="BJQ53" s="234"/>
      <c r="BJR53" s="234"/>
      <c r="BJS53" s="234"/>
      <c r="BJT53" s="234"/>
      <c r="BJU53" s="234"/>
      <c r="BJV53" s="234"/>
      <c r="BJW53" s="234"/>
      <c r="BJX53" s="234"/>
      <c r="BJY53" s="234"/>
      <c r="BJZ53" s="234"/>
      <c r="BKA53" s="234"/>
      <c r="BKB53" s="234"/>
      <c r="BKC53" s="234"/>
      <c r="BKD53" s="234"/>
      <c r="BKE53" s="234"/>
      <c r="BKF53" s="234"/>
      <c r="BKG53" s="234"/>
      <c r="BKH53" s="234"/>
      <c r="BKI53" s="234"/>
      <c r="BKJ53" s="234"/>
      <c r="BKK53" s="234"/>
      <c r="BKL53" s="234"/>
      <c r="BKM53" s="234"/>
      <c r="BKN53" s="234"/>
    </row>
    <row r="54" spans="1:1652" ht="20.100000000000001" customHeight="1" x14ac:dyDescent="0.3">
      <c r="A54" s="84" t="s">
        <v>20</v>
      </c>
      <c r="B54" s="53" t="str">
        <f>IF(LEN(C93)=0,"",C93)</f>
        <v/>
      </c>
      <c r="C54" s="189"/>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174"/>
      <c r="BJO54" s="4"/>
      <c r="BJP54" s="4"/>
      <c r="BJQ54" s="4"/>
      <c r="BJR54" s="4"/>
      <c r="BJS54" s="4"/>
      <c r="BJT54" s="4"/>
      <c r="BJU54" s="4"/>
      <c r="BJV54" s="4"/>
      <c r="BJW54" s="4"/>
      <c r="BJX54" s="4"/>
      <c r="BJY54" s="4"/>
      <c r="BJZ54" s="4"/>
      <c r="BKA54" s="4"/>
      <c r="BKB54" s="4"/>
      <c r="BKC54" s="4"/>
      <c r="BKD54" s="4"/>
      <c r="BKE54" s="4"/>
      <c r="BKF54" s="4"/>
      <c r="BKG54" s="4"/>
      <c r="BKH54" s="4"/>
      <c r="BKI54" s="4"/>
      <c r="BKJ54" s="4"/>
      <c r="BKK54" s="4"/>
      <c r="BKL54" s="4"/>
      <c r="BKM54" s="4"/>
      <c r="BKN54" s="4"/>
    </row>
    <row r="55" spans="1:1652" ht="20.100000000000001" customHeight="1" x14ac:dyDescent="0.25">
      <c r="A55" s="84" t="s">
        <v>19</v>
      </c>
      <c r="B55" s="53"/>
      <c r="C55" s="177"/>
      <c r="D55" s="129" t="str">
        <f t="shared" si="0"/>
        <v>0h</v>
      </c>
      <c r="E55" s="34">
        <v>0</v>
      </c>
      <c r="F55" s="241"/>
      <c r="G55" s="242"/>
      <c r="H55" s="242"/>
      <c r="I55" s="242"/>
      <c r="J55" s="242"/>
      <c r="K55" s="243"/>
      <c r="L55" s="242"/>
      <c r="M55" s="242"/>
      <c r="N55" s="242"/>
      <c r="O55" s="242"/>
      <c r="P55" s="242"/>
      <c r="Q55" s="244"/>
      <c r="R55" s="242"/>
      <c r="S55" s="242"/>
      <c r="T55" s="242"/>
      <c r="U55" s="242"/>
      <c r="V55" s="242"/>
      <c r="W55" s="245"/>
      <c r="X55" s="242"/>
      <c r="Y55" s="242"/>
      <c r="Z55" s="242"/>
      <c r="AA55" s="242"/>
      <c r="AB55" s="242"/>
      <c r="AC55" s="244"/>
      <c r="AD55" s="242"/>
      <c r="AE55" s="242"/>
      <c r="AF55" s="242"/>
      <c r="AG55" s="242"/>
      <c r="AH55" s="242"/>
      <c r="AI55" s="245"/>
      <c r="AJ55" s="242"/>
      <c r="AK55" s="242"/>
      <c r="AL55" s="242"/>
      <c r="AM55" s="242"/>
      <c r="AN55" s="242"/>
      <c r="AO55" s="244"/>
      <c r="AP55" s="242"/>
      <c r="AQ55" s="242"/>
      <c r="AR55" s="242"/>
      <c r="AS55" s="242"/>
      <c r="AT55" s="242"/>
      <c r="AU55" s="245"/>
      <c r="AV55" s="242"/>
      <c r="AW55" s="242"/>
      <c r="AX55" s="242"/>
      <c r="AY55" s="242"/>
      <c r="AZ55" s="242"/>
      <c r="BA55" s="244"/>
      <c r="BB55" s="242"/>
      <c r="BC55" s="242"/>
      <c r="BD55" s="242"/>
      <c r="BE55" s="242"/>
      <c r="BF55" s="242"/>
      <c r="BG55" s="245"/>
      <c r="BH55" s="242"/>
      <c r="BI55" s="242"/>
      <c r="BJ55" s="242"/>
      <c r="BK55" s="242"/>
      <c r="BL55" s="242"/>
      <c r="BM55" s="246"/>
      <c r="BN55" s="241"/>
      <c r="BO55" s="242"/>
      <c r="BP55" s="242"/>
      <c r="BQ55" s="242"/>
      <c r="BR55" s="242"/>
      <c r="BS55" s="243"/>
      <c r="BT55" s="242"/>
      <c r="BU55" s="242"/>
      <c r="BV55" s="242"/>
      <c r="BW55" s="242"/>
      <c r="BX55" s="242"/>
      <c r="BY55" s="244"/>
      <c r="BZ55" s="242"/>
      <c r="CA55" s="242"/>
      <c r="CB55" s="242"/>
      <c r="CC55" s="242"/>
      <c r="CD55" s="242"/>
      <c r="CE55" s="245"/>
      <c r="CF55" s="242"/>
      <c r="CG55" s="242"/>
      <c r="CH55" s="242"/>
      <c r="CI55" s="242"/>
      <c r="CJ55" s="242"/>
      <c r="CK55" s="244"/>
      <c r="CL55" s="242"/>
      <c r="CM55" s="242"/>
      <c r="CN55" s="242"/>
      <c r="CO55" s="242"/>
      <c r="CP55" s="242"/>
      <c r="CQ55" s="245"/>
      <c r="CR55" s="242"/>
      <c r="CS55" s="242"/>
      <c r="CT55" s="242"/>
      <c r="CU55" s="242"/>
      <c r="CV55" s="242"/>
      <c r="CW55" s="244"/>
      <c r="CX55" s="242"/>
      <c r="CY55" s="242"/>
      <c r="CZ55" s="242"/>
      <c r="DA55" s="242"/>
      <c r="DB55" s="242"/>
      <c r="DC55" s="245"/>
      <c r="DD55" s="242"/>
      <c r="DE55" s="242"/>
      <c r="DF55" s="242"/>
      <c r="DG55" s="242"/>
      <c r="DH55" s="242"/>
      <c r="DI55" s="244"/>
      <c r="DJ55" s="242"/>
      <c r="DK55" s="242"/>
      <c r="DL55" s="242"/>
      <c r="DM55" s="242"/>
      <c r="DN55" s="242"/>
      <c r="DO55" s="245"/>
      <c r="DP55" s="242"/>
      <c r="DQ55" s="242"/>
      <c r="DR55" s="242"/>
      <c r="DS55" s="242"/>
      <c r="DT55" s="242"/>
      <c r="DU55" s="246"/>
      <c r="DV55" s="241"/>
      <c r="DW55" s="242"/>
      <c r="DX55" s="242"/>
      <c r="DY55" s="242"/>
      <c r="DZ55" s="242"/>
      <c r="EA55" s="243"/>
      <c r="EB55" s="242"/>
      <c r="EC55" s="242"/>
      <c r="ED55" s="242"/>
      <c r="EE55" s="242"/>
      <c r="EF55" s="242"/>
      <c r="EG55" s="244"/>
      <c r="EH55" s="242"/>
      <c r="EI55" s="242"/>
      <c r="EJ55" s="242"/>
      <c r="EK55" s="242"/>
      <c r="EL55" s="242"/>
      <c r="EM55" s="245"/>
      <c r="EN55" s="242"/>
      <c r="EO55" s="242"/>
      <c r="EP55" s="242"/>
      <c r="EQ55" s="242"/>
      <c r="ER55" s="242"/>
      <c r="ES55" s="244"/>
      <c r="ET55" s="242"/>
      <c r="EU55" s="242"/>
      <c r="EV55" s="242"/>
      <c r="EW55" s="242"/>
      <c r="EX55" s="242"/>
      <c r="EY55" s="245"/>
      <c r="EZ55" s="242"/>
      <c r="FA55" s="242"/>
      <c r="FB55" s="242"/>
      <c r="FC55" s="242"/>
      <c r="FD55" s="242"/>
      <c r="FE55" s="244"/>
      <c r="FF55" s="242"/>
      <c r="FG55" s="242"/>
      <c r="FH55" s="242"/>
      <c r="FI55" s="242"/>
      <c r="FJ55" s="242"/>
      <c r="FK55" s="245"/>
      <c r="FL55" s="242"/>
      <c r="FM55" s="242"/>
      <c r="FN55" s="242"/>
      <c r="FO55" s="242"/>
      <c r="FP55" s="242"/>
      <c r="FQ55" s="244"/>
      <c r="FR55" s="242"/>
      <c r="FS55" s="242"/>
      <c r="FT55" s="242"/>
      <c r="FU55" s="242"/>
      <c r="FV55" s="242"/>
      <c r="FW55" s="245"/>
      <c r="FX55" s="242"/>
      <c r="FY55" s="242"/>
      <c r="FZ55" s="242"/>
      <c r="GA55" s="242"/>
      <c r="GB55" s="242"/>
      <c r="GC55" s="246"/>
      <c r="GD55" s="241"/>
      <c r="GE55" s="242"/>
      <c r="GF55" s="242"/>
      <c r="GG55" s="242"/>
      <c r="GH55" s="242"/>
      <c r="GI55" s="243"/>
      <c r="GJ55" s="242"/>
      <c r="GK55" s="242"/>
      <c r="GL55" s="242"/>
      <c r="GM55" s="242"/>
      <c r="GN55" s="242"/>
      <c r="GO55" s="244"/>
      <c r="GP55" s="242"/>
      <c r="GQ55" s="242"/>
      <c r="GR55" s="242"/>
      <c r="GS55" s="242"/>
      <c r="GT55" s="242"/>
      <c r="GU55" s="245"/>
      <c r="GV55" s="242"/>
      <c r="GW55" s="242"/>
      <c r="GX55" s="242"/>
      <c r="GY55" s="242"/>
      <c r="GZ55" s="242"/>
      <c r="HA55" s="244"/>
      <c r="HB55" s="242"/>
      <c r="HC55" s="242"/>
      <c r="HD55" s="242"/>
      <c r="HE55" s="242"/>
      <c r="HF55" s="242"/>
      <c r="HG55" s="245"/>
      <c r="HH55" s="242"/>
      <c r="HI55" s="242"/>
      <c r="HJ55" s="242"/>
      <c r="HK55" s="242"/>
      <c r="HL55" s="242"/>
      <c r="HM55" s="244"/>
      <c r="HN55" s="242"/>
      <c r="HO55" s="242"/>
      <c r="HP55" s="242"/>
      <c r="HQ55" s="242"/>
      <c r="HR55" s="242"/>
      <c r="HS55" s="245"/>
      <c r="HT55" s="242"/>
      <c r="HU55" s="242"/>
      <c r="HV55" s="242"/>
      <c r="HW55" s="242"/>
      <c r="HX55" s="242"/>
      <c r="HY55" s="244"/>
      <c r="HZ55" s="242"/>
      <c r="IA55" s="242"/>
      <c r="IB55" s="242"/>
      <c r="IC55" s="242"/>
      <c r="ID55" s="242"/>
      <c r="IE55" s="245"/>
      <c r="IF55" s="242"/>
      <c r="IG55" s="242"/>
      <c r="IH55" s="242"/>
      <c r="II55" s="242"/>
      <c r="IJ55" s="242"/>
      <c r="IK55" s="246"/>
      <c r="IL55" s="241"/>
      <c r="IM55" s="242"/>
      <c r="IN55" s="242"/>
      <c r="IO55" s="242"/>
      <c r="IP55" s="242"/>
      <c r="IQ55" s="243"/>
      <c r="IR55" s="242"/>
      <c r="IS55" s="242"/>
      <c r="IT55" s="242"/>
      <c r="IU55" s="242"/>
      <c r="IV55" s="242"/>
      <c r="IW55" s="244"/>
      <c r="IX55" s="242"/>
      <c r="IY55" s="242"/>
      <c r="IZ55" s="242"/>
      <c r="JA55" s="242"/>
      <c r="JB55" s="242"/>
      <c r="JC55" s="245"/>
      <c r="JD55" s="242"/>
      <c r="JE55" s="242"/>
      <c r="JF55" s="242"/>
      <c r="JG55" s="242"/>
      <c r="JH55" s="242"/>
      <c r="JI55" s="244"/>
      <c r="JJ55" s="242"/>
      <c r="JK55" s="242"/>
      <c r="JL55" s="242"/>
      <c r="JM55" s="242"/>
      <c r="JN55" s="242"/>
      <c r="JO55" s="245"/>
      <c r="JP55" s="242"/>
      <c r="JQ55" s="242"/>
      <c r="JR55" s="242"/>
      <c r="JS55" s="242"/>
      <c r="JT55" s="242"/>
      <c r="JU55" s="244"/>
      <c r="JV55" s="242"/>
      <c r="JW55" s="242"/>
      <c r="JX55" s="242"/>
      <c r="JY55" s="242"/>
      <c r="JZ55" s="242"/>
      <c r="KA55" s="245"/>
      <c r="KB55" s="242"/>
      <c r="KC55" s="242"/>
      <c r="KD55" s="242"/>
      <c r="KE55" s="242"/>
      <c r="KF55" s="242"/>
      <c r="KG55" s="244"/>
      <c r="KH55" s="242"/>
      <c r="KI55" s="242"/>
      <c r="KJ55" s="242"/>
      <c r="KK55" s="242"/>
      <c r="KL55" s="242"/>
      <c r="KM55" s="245"/>
      <c r="KN55" s="242"/>
      <c r="KO55" s="242"/>
      <c r="KP55" s="242"/>
      <c r="KQ55" s="242"/>
      <c r="KR55" s="242"/>
      <c r="KS55" s="246"/>
      <c r="KT55" s="241"/>
      <c r="KU55" s="242"/>
      <c r="KV55" s="242"/>
      <c r="KW55" s="242"/>
      <c r="KX55" s="242"/>
      <c r="KY55" s="243"/>
      <c r="KZ55" s="242"/>
      <c r="LA55" s="242"/>
      <c r="LB55" s="242"/>
      <c r="LC55" s="242"/>
      <c r="LD55" s="242"/>
      <c r="LE55" s="244"/>
      <c r="LF55" s="242"/>
      <c r="LG55" s="242"/>
      <c r="LH55" s="242"/>
      <c r="LI55" s="242"/>
      <c r="LJ55" s="242"/>
      <c r="LK55" s="245"/>
      <c r="LL55" s="242"/>
      <c r="LM55" s="242"/>
      <c r="LN55" s="242"/>
      <c r="LO55" s="242"/>
      <c r="LP55" s="242"/>
      <c r="LQ55" s="244"/>
      <c r="LR55" s="242"/>
      <c r="LS55" s="242"/>
      <c r="LT55" s="242"/>
      <c r="LU55" s="242"/>
      <c r="LV55" s="242"/>
      <c r="LW55" s="245"/>
      <c r="LX55" s="242"/>
      <c r="LY55" s="242"/>
      <c r="LZ55" s="242"/>
      <c r="MA55" s="242"/>
      <c r="MB55" s="242"/>
      <c r="MC55" s="244"/>
      <c r="MD55" s="242"/>
      <c r="ME55" s="242"/>
      <c r="MF55" s="242"/>
      <c r="MG55" s="242"/>
      <c r="MH55" s="242"/>
      <c r="MI55" s="245"/>
      <c r="MJ55" s="242"/>
      <c r="MK55" s="242"/>
      <c r="ML55" s="242"/>
      <c r="MM55" s="242"/>
      <c r="MN55" s="242"/>
      <c r="MO55" s="244"/>
      <c r="MP55" s="242"/>
      <c r="MQ55" s="242"/>
      <c r="MR55" s="242"/>
      <c r="MS55" s="242"/>
      <c r="MT55" s="242"/>
      <c r="MU55" s="245"/>
      <c r="MV55" s="242"/>
      <c r="MW55" s="242"/>
      <c r="MX55" s="242"/>
      <c r="MY55" s="242"/>
      <c r="MZ55" s="242"/>
      <c r="NA55" s="246"/>
      <c r="NB55" s="241"/>
      <c r="NC55" s="242"/>
      <c r="ND55" s="242"/>
      <c r="NE55" s="242"/>
      <c r="NF55" s="242"/>
      <c r="NG55" s="243"/>
      <c r="NH55" s="242"/>
      <c r="NI55" s="242"/>
      <c r="NJ55" s="242"/>
      <c r="NK55" s="242"/>
      <c r="NL55" s="242"/>
      <c r="NM55" s="244"/>
      <c r="NN55" s="242"/>
      <c r="NO55" s="242"/>
      <c r="NP55" s="242"/>
      <c r="NQ55" s="242"/>
      <c r="NR55" s="242"/>
      <c r="NS55" s="245"/>
      <c r="NT55" s="242"/>
      <c r="NU55" s="242"/>
      <c r="NV55" s="242"/>
      <c r="NW55" s="242"/>
      <c r="NX55" s="242"/>
      <c r="NY55" s="244"/>
      <c r="NZ55" s="242"/>
      <c r="OA55" s="242"/>
      <c r="OB55" s="242"/>
      <c r="OC55" s="242"/>
      <c r="OD55" s="242"/>
      <c r="OE55" s="245"/>
      <c r="OF55" s="242"/>
      <c r="OG55" s="242"/>
      <c r="OH55" s="242"/>
      <c r="OI55" s="242"/>
      <c r="OJ55" s="242"/>
      <c r="OK55" s="244"/>
      <c r="OL55" s="242"/>
      <c r="OM55" s="242"/>
      <c r="ON55" s="242"/>
      <c r="OO55" s="242"/>
      <c r="OP55" s="242"/>
      <c r="OQ55" s="245"/>
      <c r="OR55" s="242"/>
      <c r="OS55" s="242"/>
      <c r="OT55" s="242"/>
      <c r="OU55" s="242"/>
      <c r="OV55" s="242"/>
      <c r="OW55" s="244"/>
      <c r="OX55" s="242"/>
      <c r="OY55" s="242"/>
      <c r="OZ55" s="242"/>
      <c r="PA55" s="242"/>
      <c r="PB55" s="242"/>
      <c r="PC55" s="245"/>
      <c r="PD55" s="242"/>
      <c r="PE55" s="242"/>
      <c r="PF55" s="242"/>
      <c r="PG55" s="242"/>
      <c r="PH55" s="242"/>
      <c r="PI55" s="246"/>
      <c r="PJ55" s="241"/>
      <c r="PK55" s="242"/>
      <c r="PL55" s="242"/>
      <c r="PM55" s="242"/>
      <c r="PN55" s="242"/>
      <c r="PO55" s="243"/>
      <c r="PP55" s="242"/>
      <c r="PQ55" s="242"/>
      <c r="PR55" s="242"/>
      <c r="PS55" s="242"/>
      <c r="PT55" s="242"/>
      <c r="PU55" s="244"/>
      <c r="PV55" s="242"/>
      <c r="PW55" s="242"/>
      <c r="PX55" s="242"/>
      <c r="PY55" s="242"/>
      <c r="PZ55" s="242"/>
      <c r="QA55" s="245"/>
      <c r="QB55" s="242"/>
      <c r="QC55" s="242"/>
      <c r="QD55" s="242"/>
      <c r="QE55" s="242"/>
      <c r="QF55" s="242"/>
      <c r="QG55" s="244"/>
      <c r="QH55" s="242"/>
      <c r="QI55" s="242"/>
      <c r="QJ55" s="242"/>
      <c r="QK55" s="242"/>
      <c r="QL55" s="242"/>
      <c r="QM55" s="245"/>
      <c r="QN55" s="242"/>
      <c r="QO55" s="242"/>
      <c r="QP55" s="242"/>
      <c r="QQ55" s="242"/>
      <c r="QR55" s="242"/>
      <c r="QS55" s="244"/>
      <c r="QT55" s="242"/>
      <c r="QU55" s="242"/>
      <c r="QV55" s="242"/>
      <c r="QW55" s="242"/>
      <c r="QX55" s="242"/>
      <c r="QY55" s="245"/>
      <c r="QZ55" s="242"/>
      <c r="RA55" s="242"/>
      <c r="RB55" s="242"/>
      <c r="RC55" s="242"/>
      <c r="RD55" s="242"/>
      <c r="RE55" s="244"/>
      <c r="RF55" s="242"/>
      <c r="RG55" s="242"/>
      <c r="RH55" s="242"/>
      <c r="RI55" s="242"/>
      <c r="RJ55" s="242"/>
      <c r="RK55" s="245"/>
      <c r="RL55" s="242"/>
      <c r="RM55" s="242"/>
      <c r="RN55" s="242"/>
      <c r="RO55" s="242"/>
      <c r="RP55" s="242"/>
      <c r="RQ55" s="246"/>
      <c r="RR55" s="241"/>
      <c r="RS55" s="242"/>
      <c r="RT55" s="242"/>
      <c r="RU55" s="242"/>
      <c r="RV55" s="242"/>
      <c r="RW55" s="243"/>
      <c r="RX55" s="242"/>
      <c r="RY55" s="242"/>
      <c r="RZ55" s="242"/>
      <c r="SA55" s="242"/>
      <c r="SB55" s="242"/>
      <c r="SC55" s="244"/>
      <c r="SD55" s="242"/>
      <c r="SE55" s="242"/>
      <c r="SF55" s="242"/>
      <c r="SG55" s="242"/>
      <c r="SH55" s="242"/>
      <c r="SI55" s="245"/>
      <c r="SJ55" s="242"/>
      <c r="SK55" s="242"/>
      <c r="SL55" s="242"/>
      <c r="SM55" s="242"/>
      <c r="SN55" s="242"/>
      <c r="SO55" s="244"/>
      <c r="SP55" s="242"/>
      <c r="SQ55" s="242"/>
      <c r="SR55" s="242"/>
      <c r="SS55" s="242"/>
      <c r="ST55" s="242"/>
      <c r="SU55" s="245"/>
      <c r="SV55" s="242"/>
      <c r="SW55" s="242"/>
      <c r="SX55" s="242"/>
      <c r="SY55" s="242"/>
      <c r="SZ55" s="242"/>
      <c r="TA55" s="244"/>
      <c r="TB55" s="242"/>
      <c r="TC55" s="242"/>
      <c r="TD55" s="242"/>
      <c r="TE55" s="242"/>
      <c r="TF55" s="242"/>
      <c r="TG55" s="245"/>
      <c r="TH55" s="242"/>
      <c r="TI55" s="242"/>
      <c r="TJ55" s="242"/>
      <c r="TK55" s="242"/>
      <c r="TL55" s="242"/>
      <c r="TM55" s="244"/>
      <c r="TN55" s="242"/>
      <c r="TO55" s="242"/>
      <c r="TP55" s="242"/>
      <c r="TQ55" s="242"/>
      <c r="TR55" s="242"/>
      <c r="TS55" s="245"/>
      <c r="TT55" s="242"/>
      <c r="TU55" s="242"/>
      <c r="TV55" s="242"/>
      <c r="TW55" s="242"/>
      <c r="TX55" s="242"/>
      <c r="TY55" s="246"/>
      <c r="TZ55" s="241"/>
      <c r="UA55" s="242"/>
      <c r="UB55" s="242"/>
      <c r="UC55" s="242"/>
      <c r="UD55" s="242"/>
      <c r="UE55" s="243"/>
      <c r="UF55" s="242"/>
      <c r="UG55" s="242"/>
      <c r="UH55" s="242"/>
      <c r="UI55" s="242"/>
      <c r="UJ55" s="242"/>
      <c r="UK55" s="244"/>
      <c r="UL55" s="242"/>
      <c r="UM55" s="242"/>
      <c r="UN55" s="242"/>
      <c r="UO55" s="242"/>
      <c r="UP55" s="242"/>
      <c r="UQ55" s="245"/>
      <c r="UR55" s="242"/>
      <c r="US55" s="242"/>
      <c r="UT55" s="242"/>
      <c r="UU55" s="242"/>
      <c r="UV55" s="242"/>
      <c r="UW55" s="244"/>
      <c r="UX55" s="242"/>
      <c r="UY55" s="242"/>
      <c r="UZ55" s="242"/>
      <c r="VA55" s="242"/>
      <c r="VB55" s="242"/>
      <c r="VC55" s="245"/>
      <c r="VD55" s="242"/>
      <c r="VE55" s="242"/>
      <c r="VF55" s="242"/>
      <c r="VG55" s="242"/>
      <c r="VH55" s="242"/>
      <c r="VI55" s="244"/>
      <c r="VJ55" s="242"/>
      <c r="VK55" s="242"/>
      <c r="VL55" s="242"/>
      <c r="VM55" s="242"/>
      <c r="VN55" s="242"/>
      <c r="VO55" s="245"/>
      <c r="VP55" s="242"/>
      <c r="VQ55" s="242"/>
      <c r="VR55" s="242"/>
      <c r="VS55" s="242"/>
      <c r="VT55" s="242"/>
      <c r="VU55" s="244"/>
      <c r="VV55" s="242"/>
      <c r="VW55" s="242"/>
      <c r="VX55" s="242"/>
      <c r="VY55" s="242"/>
      <c r="VZ55" s="242"/>
      <c r="WA55" s="245"/>
      <c r="WB55" s="242"/>
      <c r="WC55" s="242"/>
      <c r="WD55" s="242"/>
      <c r="WE55" s="242"/>
      <c r="WF55" s="242"/>
      <c r="WG55" s="246"/>
      <c r="WH55" s="241"/>
      <c r="WI55" s="242"/>
      <c r="WJ55" s="242"/>
      <c r="WK55" s="242"/>
      <c r="WL55" s="242"/>
      <c r="WM55" s="243"/>
      <c r="WN55" s="242"/>
      <c r="WO55" s="242"/>
      <c r="WP55" s="242"/>
      <c r="WQ55" s="242"/>
      <c r="WR55" s="242"/>
      <c r="WS55" s="244"/>
      <c r="WT55" s="242"/>
      <c r="WU55" s="242"/>
      <c r="WV55" s="242"/>
      <c r="WW55" s="242"/>
      <c r="WX55" s="242"/>
      <c r="WY55" s="245"/>
      <c r="WZ55" s="242"/>
      <c r="XA55" s="242"/>
      <c r="XB55" s="242"/>
      <c r="XC55" s="242"/>
      <c r="XD55" s="242"/>
      <c r="XE55" s="244"/>
      <c r="XF55" s="242"/>
      <c r="XG55" s="242"/>
      <c r="XH55" s="242"/>
      <c r="XI55" s="242"/>
      <c r="XJ55" s="242"/>
      <c r="XK55" s="245"/>
      <c r="XL55" s="242"/>
      <c r="XM55" s="242"/>
      <c r="XN55" s="242"/>
      <c r="XO55" s="242"/>
      <c r="XP55" s="242"/>
      <c r="XQ55" s="244"/>
      <c r="XR55" s="242"/>
      <c r="XS55" s="242"/>
      <c r="XT55" s="242"/>
      <c r="XU55" s="242"/>
      <c r="XV55" s="242"/>
      <c r="XW55" s="245"/>
      <c r="XX55" s="242"/>
      <c r="XY55" s="242"/>
      <c r="XZ55" s="242"/>
      <c r="YA55" s="242"/>
      <c r="YB55" s="242"/>
      <c r="YC55" s="244"/>
      <c r="YD55" s="242"/>
      <c r="YE55" s="242"/>
      <c r="YF55" s="242"/>
      <c r="YG55" s="242"/>
      <c r="YH55" s="242"/>
      <c r="YI55" s="245"/>
      <c r="YJ55" s="242"/>
      <c r="YK55" s="242"/>
      <c r="YL55" s="242"/>
      <c r="YM55" s="242"/>
      <c r="YN55" s="242"/>
      <c r="YO55" s="246"/>
      <c r="YP55" s="241"/>
      <c r="YQ55" s="242"/>
      <c r="YR55" s="242"/>
      <c r="YS55" s="242"/>
      <c r="YT55" s="242"/>
      <c r="YU55" s="243"/>
      <c r="YV55" s="242"/>
      <c r="YW55" s="242"/>
      <c r="YX55" s="242"/>
      <c r="YY55" s="242"/>
      <c r="YZ55" s="242"/>
      <c r="ZA55" s="244"/>
      <c r="ZB55" s="242"/>
      <c r="ZC55" s="242"/>
      <c r="ZD55" s="242"/>
      <c r="ZE55" s="242"/>
      <c r="ZF55" s="242"/>
      <c r="ZG55" s="245"/>
      <c r="ZH55" s="242"/>
      <c r="ZI55" s="242"/>
      <c r="ZJ55" s="242"/>
      <c r="ZK55" s="242"/>
      <c r="ZL55" s="242"/>
      <c r="ZM55" s="244"/>
      <c r="ZN55" s="242"/>
      <c r="ZO55" s="242"/>
      <c r="ZP55" s="242"/>
      <c r="ZQ55" s="242"/>
      <c r="ZR55" s="242"/>
      <c r="ZS55" s="245"/>
      <c r="ZT55" s="242"/>
      <c r="ZU55" s="242"/>
      <c r="ZV55" s="242"/>
      <c r="ZW55" s="242"/>
      <c r="ZX55" s="242"/>
      <c r="ZY55" s="244"/>
      <c r="ZZ55" s="242"/>
      <c r="AAA55" s="242"/>
      <c r="AAB55" s="242"/>
      <c r="AAC55" s="242"/>
      <c r="AAD55" s="242"/>
      <c r="AAE55" s="245"/>
      <c r="AAF55" s="242"/>
      <c r="AAG55" s="242"/>
      <c r="AAH55" s="242"/>
      <c r="AAI55" s="242"/>
      <c r="AAJ55" s="242"/>
      <c r="AAK55" s="244"/>
      <c r="AAL55" s="242"/>
      <c r="AAM55" s="242"/>
      <c r="AAN55" s="242"/>
      <c r="AAO55" s="242"/>
      <c r="AAP55" s="242"/>
      <c r="AAQ55" s="245"/>
      <c r="AAR55" s="242"/>
      <c r="AAS55" s="242"/>
      <c r="AAT55" s="242"/>
      <c r="AAU55" s="242"/>
      <c r="AAV55" s="242"/>
      <c r="AAW55" s="246"/>
      <c r="AAX55" s="241"/>
      <c r="AAY55" s="242"/>
      <c r="AAZ55" s="242"/>
      <c r="ABA55" s="242"/>
      <c r="ABB55" s="242"/>
      <c r="ABC55" s="243"/>
      <c r="ABD55" s="242"/>
      <c r="ABE55" s="242"/>
      <c r="ABF55" s="242"/>
      <c r="ABG55" s="242"/>
      <c r="ABH55" s="242"/>
      <c r="ABI55" s="244"/>
      <c r="ABJ55" s="242"/>
      <c r="ABK55" s="242"/>
      <c r="ABL55" s="242"/>
      <c r="ABM55" s="242"/>
      <c r="ABN55" s="242"/>
      <c r="ABO55" s="245"/>
      <c r="ABP55" s="242"/>
      <c r="ABQ55" s="242"/>
      <c r="ABR55" s="242"/>
      <c r="ABS55" s="242"/>
      <c r="ABT55" s="242"/>
      <c r="ABU55" s="244"/>
      <c r="ABV55" s="242"/>
      <c r="ABW55" s="242"/>
      <c r="ABX55" s="242"/>
      <c r="ABY55" s="242"/>
      <c r="ABZ55" s="242"/>
      <c r="ACA55" s="245"/>
      <c r="ACB55" s="242"/>
      <c r="ACC55" s="242"/>
      <c r="ACD55" s="242"/>
      <c r="ACE55" s="242"/>
      <c r="ACF55" s="242"/>
      <c r="ACG55" s="244"/>
      <c r="ACH55" s="242"/>
      <c r="ACI55" s="242"/>
      <c r="ACJ55" s="242"/>
      <c r="ACK55" s="242"/>
      <c r="ACL55" s="242"/>
      <c r="ACM55" s="245"/>
      <c r="ACN55" s="242"/>
      <c r="ACO55" s="242"/>
      <c r="ACP55" s="242"/>
      <c r="ACQ55" s="242"/>
      <c r="ACR55" s="242"/>
      <c r="ACS55" s="244"/>
      <c r="ACT55" s="242"/>
      <c r="ACU55" s="242"/>
      <c r="ACV55" s="242"/>
      <c r="ACW55" s="242"/>
      <c r="ACX55" s="242"/>
      <c r="ACY55" s="245"/>
      <c r="ACZ55" s="242"/>
      <c r="ADA55" s="242"/>
      <c r="ADB55" s="242"/>
      <c r="ADC55" s="242"/>
      <c r="ADD55" s="242"/>
      <c r="ADE55" s="246"/>
      <c r="ADF55" s="241"/>
      <c r="ADG55" s="242"/>
      <c r="ADH55" s="242"/>
      <c r="ADI55" s="242"/>
      <c r="ADJ55" s="242"/>
      <c r="ADK55" s="243"/>
      <c r="ADL55" s="242"/>
      <c r="ADM55" s="242"/>
      <c r="ADN55" s="242"/>
      <c r="ADO55" s="242"/>
      <c r="ADP55" s="242"/>
      <c r="ADQ55" s="244"/>
      <c r="ADR55" s="242"/>
      <c r="ADS55" s="242"/>
      <c r="ADT55" s="242"/>
      <c r="ADU55" s="242"/>
      <c r="ADV55" s="242"/>
      <c r="ADW55" s="245"/>
      <c r="ADX55" s="242"/>
      <c r="ADY55" s="242"/>
      <c r="ADZ55" s="242"/>
      <c r="AEA55" s="242"/>
      <c r="AEB55" s="242"/>
      <c r="AEC55" s="244"/>
      <c r="AED55" s="242"/>
      <c r="AEE55" s="242"/>
      <c r="AEF55" s="242"/>
      <c r="AEG55" s="242"/>
      <c r="AEH55" s="242"/>
      <c r="AEI55" s="245"/>
      <c r="AEJ55" s="242"/>
      <c r="AEK55" s="242"/>
      <c r="AEL55" s="242"/>
      <c r="AEM55" s="242"/>
      <c r="AEN55" s="242"/>
      <c r="AEO55" s="244"/>
      <c r="AEP55" s="242"/>
      <c r="AEQ55" s="242"/>
      <c r="AER55" s="242"/>
      <c r="AES55" s="242"/>
      <c r="AET55" s="242"/>
      <c r="AEU55" s="245"/>
      <c r="AEV55" s="242"/>
      <c r="AEW55" s="242"/>
      <c r="AEX55" s="242"/>
      <c r="AEY55" s="242"/>
      <c r="AEZ55" s="242"/>
      <c r="AFA55" s="244"/>
      <c r="AFB55" s="242"/>
      <c r="AFC55" s="242"/>
      <c r="AFD55" s="242"/>
      <c r="AFE55" s="242"/>
      <c r="AFF55" s="242"/>
      <c r="AFG55" s="245"/>
      <c r="AFH55" s="242"/>
      <c r="AFI55" s="242"/>
      <c r="AFJ55" s="242"/>
      <c r="AFK55" s="242"/>
      <c r="AFL55" s="242"/>
      <c r="AFM55" s="246"/>
      <c r="AFN55" s="241"/>
      <c r="AFO55" s="242"/>
      <c r="AFP55" s="242"/>
      <c r="AFQ55" s="242"/>
      <c r="AFR55" s="242"/>
      <c r="AFS55" s="243"/>
      <c r="AFT55" s="242"/>
      <c r="AFU55" s="242"/>
      <c r="AFV55" s="242"/>
      <c r="AFW55" s="242"/>
      <c r="AFX55" s="242"/>
      <c r="AFY55" s="244"/>
      <c r="AFZ55" s="242"/>
      <c r="AGA55" s="242"/>
      <c r="AGB55" s="242"/>
      <c r="AGC55" s="242"/>
      <c r="AGD55" s="242"/>
      <c r="AGE55" s="245"/>
      <c r="AGF55" s="242"/>
      <c r="AGG55" s="242"/>
      <c r="AGH55" s="242"/>
      <c r="AGI55" s="242"/>
      <c r="AGJ55" s="242"/>
      <c r="AGK55" s="244"/>
      <c r="AGL55" s="242"/>
      <c r="AGM55" s="242"/>
      <c r="AGN55" s="242"/>
      <c r="AGO55" s="242"/>
      <c r="AGP55" s="242"/>
      <c r="AGQ55" s="245"/>
      <c r="AGR55" s="242"/>
      <c r="AGS55" s="242"/>
      <c r="AGT55" s="242"/>
      <c r="AGU55" s="242"/>
      <c r="AGV55" s="242"/>
      <c r="AGW55" s="244"/>
      <c r="AGX55" s="242"/>
      <c r="AGY55" s="242"/>
      <c r="AGZ55" s="242"/>
      <c r="AHA55" s="242"/>
      <c r="AHB55" s="242"/>
      <c r="AHC55" s="245"/>
      <c r="AHD55" s="242"/>
      <c r="AHE55" s="242"/>
      <c r="AHF55" s="242"/>
      <c r="AHG55" s="242"/>
      <c r="AHH55" s="242"/>
      <c r="AHI55" s="244"/>
      <c r="AHJ55" s="242"/>
      <c r="AHK55" s="242"/>
      <c r="AHL55" s="242"/>
      <c r="AHM55" s="242"/>
      <c r="AHN55" s="242"/>
      <c r="AHO55" s="245"/>
      <c r="AHP55" s="242"/>
      <c r="AHQ55" s="242"/>
      <c r="AHR55" s="242"/>
      <c r="AHS55" s="242"/>
      <c r="AHT55" s="242"/>
      <c r="AHU55" s="246"/>
      <c r="AHV55" s="241"/>
      <c r="AHW55" s="242"/>
      <c r="AHX55" s="242"/>
      <c r="AHY55" s="242"/>
      <c r="AHZ55" s="242"/>
      <c r="AIA55" s="243"/>
      <c r="AIB55" s="242"/>
      <c r="AIC55" s="242"/>
      <c r="AID55" s="242"/>
      <c r="AIE55" s="242"/>
      <c r="AIF55" s="242"/>
      <c r="AIG55" s="244"/>
      <c r="AIH55" s="242"/>
      <c r="AII55" s="242"/>
      <c r="AIJ55" s="242"/>
      <c r="AIK55" s="242"/>
      <c r="AIL55" s="242"/>
      <c r="AIM55" s="245"/>
      <c r="AIN55" s="242"/>
      <c r="AIO55" s="242"/>
      <c r="AIP55" s="242"/>
      <c r="AIQ55" s="242"/>
      <c r="AIR55" s="242"/>
      <c r="AIS55" s="244"/>
      <c r="AIT55" s="242"/>
      <c r="AIU55" s="242"/>
      <c r="AIV55" s="242"/>
      <c r="AIW55" s="242"/>
      <c r="AIX55" s="242"/>
      <c r="AIY55" s="245"/>
      <c r="AIZ55" s="242"/>
      <c r="AJA55" s="242"/>
      <c r="AJB55" s="242"/>
      <c r="AJC55" s="242"/>
      <c r="AJD55" s="242"/>
      <c r="AJE55" s="244"/>
      <c r="AJF55" s="242"/>
      <c r="AJG55" s="242"/>
      <c r="AJH55" s="242"/>
      <c r="AJI55" s="242"/>
      <c r="AJJ55" s="242"/>
      <c r="AJK55" s="245"/>
      <c r="AJL55" s="242"/>
      <c r="AJM55" s="242"/>
      <c r="AJN55" s="242"/>
      <c r="AJO55" s="242"/>
      <c r="AJP55" s="242"/>
      <c r="AJQ55" s="244"/>
      <c r="AJR55" s="242"/>
      <c r="AJS55" s="242"/>
      <c r="AJT55" s="242"/>
      <c r="AJU55" s="242"/>
      <c r="AJV55" s="242"/>
      <c r="AJW55" s="245"/>
      <c r="AJX55" s="242"/>
      <c r="AJY55" s="242"/>
      <c r="AJZ55" s="242"/>
      <c r="AKA55" s="242"/>
      <c r="AKB55" s="242"/>
      <c r="AKC55" s="246"/>
      <c r="AKD55" s="241"/>
      <c r="AKE55" s="242"/>
      <c r="AKF55" s="242"/>
      <c r="AKG55" s="242"/>
      <c r="AKH55" s="242"/>
      <c r="AKI55" s="243"/>
      <c r="AKJ55" s="242"/>
      <c r="AKK55" s="242"/>
      <c r="AKL55" s="242"/>
      <c r="AKM55" s="242"/>
      <c r="AKN55" s="242"/>
      <c r="AKO55" s="244"/>
      <c r="AKP55" s="242"/>
      <c r="AKQ55" s="242"/>
      <c r="AKR55" s="242"/>
      <c r="AKS55" s="242"/>
      <c r="AKT55" s="242"/>
      <c r="AKU55" s="245"/>
      <c r="AKV55" s="242"/>
      <c r="AKW55" s="242"/>
      <c r="AKX55" s="242"/>
      <c r="AKY55" s="242"/>
      <c r="AKZ55" s="242"/>
      <c r="ALA55" s="244"/>
      <c r="ALB55" s="242"/>
      <c r="ALC55" s="242"/>
      <c r="ALD55" s="242"/>
      <c r="ALE55" s="242"/>
      <c r="ALF55" s="242"/>
      <c r="ALG55" s="245"/>
      <c r="ALH55" s="242"/>
      <c r="ALI55" s="242"/>
      <c r="ALJ55" s="242"/>
      <c r="ALK55" s="242"/>
      <c r="ALL55" s="242"/>
      <c r="ALM55" s="244"/>
      <c r="ALN55" s="242"/>
      <c r="ALO55" s="242"/>
      <c r="ALP55" s="242"/>
      <c r="ALQ55" s="242"/>
      <c r="ALR55" s="242"/>
      <c r="ALS55" s="245"/>
      <c r="ALT55" s="242"/>
      <c r="ALU55" s="242"/>
      <c r="ALV55" s="242"/>
      <c r="ALW55" s="242"/>
      <c r="ALX55" s="242"/>
      <c r="ALY55" s="244"/>
      <c r="ALZ55" s="242"/>
      <c r="AMA55" s="242"/>
      <c r="AMB55" s="242"/>
      <c r="AMC55" s="242"/>
      <c r="AMD55" s="242"/>
      <c r="AME55" s="245"/>
      <c r="AMF55" s="242"/>
      <c r="AMG55" s="242"/>
      <c r="AMH55" s="242"/>
      <c r="AMI55" s="242"/>
      <c r="AMJ55" s="242"/>
      <c r="AMK55" s="246"/>
      <c r="AML55" s="241"/>
      <c r="AMM55" s="242"/>
      <c r="AMN55" s="242"/>
      <c r="AMO55" s="242"/>
      <c r="AMP55" s="242"/>
      <c r="AMQ55" s="243"/>
      <c r="AMR55" s="242"/>
      <c r="AMS55" s="242"/>
      <c r="AMT55" s="242"/>
      <c r="AMU55" s="242"/>
      <c r="AMV55" s="242"/>
      <c r="AMW55" s="244"/>
      <c r="AMX55" s="242"/>
      <c r="AMY55" s="242"/>
      <c r="AMZ55" s="242"/>
      <c r="ANA55" s="242"/>
      <c r="ANB55" s="242"/>
      <c r="ANC55" s="245"/>
      <c r="AND55" s="242"/>
      <c r="ANE55" s="242"/>
      <c r="ANF55" s="242"/>
      <c r="ANG55" s="242"/>
      <c r="ANH55" s="242"/>
      <c r="ANI55" s="244"/>
      <c r="ANJ55" s="242"/>
      <c r="ANK55" s="242"/>
      <c r="ANL55" s="242"/>
      <c r="ANM55" s="242"/>
      <c r="ANN55" s="242"/>
      <c r="ANO55" s="245"/>
      <c r="ANP55" s="242"/>
      <c r="ANQ55" s="242"/>
      <c r="ANR55" s="242"/>
      <c r="ANS55" s="242"/>
      <c r="ANT55" s="242"/>
      <c r="ANU55" s="244"/>
      <c r="ANV55" s="242"/>
      <c r="ANW55" s="242"/>
      <c r="ANX55" s="242"/>
      <c r="ANY55" s="242"/>
      <c r="ANZ55" s="242"/>
      <c r="AOA55" s="245"/>
      <c r="AOB55" s="242"/>
      <c r="AOC55" s="242"/>
      <c r="AOD55" s="242"/>
      <c r="AOE55" s="242"/>
      <c r="AOF55" s="242"/>
      <c r="AOG55" s="244"/>
      <c r="AOH55" s="242"/>
      <c r="AOI55" s="242"/>
      <c r="AOJ55" s="242"/>
      <c r="AOK55" s="242"/>
      <c r="AOL55" s="242"/>
      <c r="AOM55" s="245"/>
      <c r="AON55" s="242"/>
      <c r="AOO55" s="242"/>
      <c r="AOP55" s="242"/>
      <c r="AOQ55" s="242"/>
      <c r="AOR55" s="242"/>
      <c r="AOS55" s="246"/>
      <c r="AOT55" s="241"/>
      <c r="AOU55" s="242"/>
      <c r="AOV55" s="242"/>
      <c r="AOW55" s="242"/>
      <c r="AOX55" s="242"/>
      <c r="AOY55" s="243"/>
      <c r="AOZ55" s="242"/>
      <c r="APA55" s="242"/>
      <c r="APB55" s="242"/>
      <c r="APC55" s="242"/>
      <c r="APD55" s="242"/>
      <c r="APE55" s="244"/>
      <c r="APF55" s="242"/>
      <c r="APG55" s="242"/>
      <c r="APH55" s="242"/>
      <c r="API55" s="242"/>
      <c r="APJ55" s="242"/>
      <c r="APK55" s="245"/>
      <c r="APL55" s="242"/>
      <c r="APM55" s="242"/>
      <c r="APN55" s="242"/>
      <c r="APO55" s="242"/>
      <c r="APP55" s="242"/>
      <c r="APQ55" s="244"/>
      <c r="APR55" s="242"/>
      <c r="APS55" s="242"/>
      <c r="APT55" s="242"/>
      <c r="APU55" s="242"/>
      <c r="APV55" s="242"/>
      <c r="APW55" s="245"/>
      <c r="APX55" s="242"/>
      <c r="APY55" s="242"/>
      <c r="APZ55" s="242"/>
      <c r="AQA55" s="242"/>
      <c r="AQB55" s="242"/>
      <c r="AQC55" s="244"/>
      <c r="AQD55" s="242"/>
      <c r="AQE55" s="242"/>
      <c r="AQF55" s="242"/>
      <c r="AQG55" s="242"/>
      <c r="AQH55" s="242"/>
      <c r="AQI55" s="245"/>
      <c r="AQJ55" s="242"/>
      <c r="AQK55" s="242"/>
      <c r="AQL55" s="242"/>
      <c r="AQM55" s="242"/>
      <c r="AQN55" s="242"/>
      <c r="AQO55" s="244"/>
      <c r="AQP55" s="242"/>
      <c r="AQQ55" s="242"/>
      <c r="AQR55" s="242"/>
      <c r="AQS55" s="242"/>
      <c r="AQT55" s="242"/>
      <c r="AQU55" s="245"/>
      <c r="AQV55" s="242"/>
      <c r="AQW55" s="242"/>
      <c r="AQX55" s="242"/>
      <c r="AQY55" s="242"/>
      <c r="AQZ55" s="242"/>
      <c r="ARA55" s="246"/>
      <c r="ARB55" s="241"/>
      <c r="ARC55" s="242"/>
      <c r="ARD55" s="242"/>
      <c r="ARE55" s="242"/>
      <c r="ARF55" s="242"/>
      <c r="ARG55" s="243"/>
      <c r="ARH55" s="242"/>
      <c r="ARI55" s="242"/>
      <c r="ARJ55" s="242"/>
      <c r="ARK55" s="242"/>
      <c r="ARL55" s="242"/>
      <c r="ARM55" s="244"/>
      <c r="ARN55" s="242"/>
      <c r="ARO55" s="242"/>
      <c r="ARP55" s="242"/>
      <c r="ARQ55" s="242"/>
      <c r="ARR55" s="242"/>
      <c r="ARS55" s="245"/>
      <c r="ART55" s="242"/>
      <c r="ARU55" s="242"/>
      <c r="ARV55" s="242"/>
      <c r="ARW55" s="242"/>
      <c r="ARX55" s="242"/>
      <c r="ARY55" s="244"/>
      <c r="ARZ55" s="242"/>
      <c r="ASA55" s="242"/>
      <c r="ASB55" s="242"/>
      <c r="ASC55" s="242"/>
      <c r="ASD55" s="242"/>
      <c r="ASE55" s="245"/>
      <c r="ASF55" s="242"/>
      <c r="ASG55" s="242"/>
      <c r="ASH55" s="242"/>
      <c r="ASI55" s="242"/>
      <c r="ASJ55" s="242"/>
      <c r="ASK55" s="244"/>
      <c r="ASL55" s="242"/>
      <c r="ASM55" s="242"/>
      <c r="ASN55" s="242"/>
      <c r="ASO55" s="242"/>
      <c r="ASP55" s="242"/>
      <c r="ASQ55" s="245"/>
      <c r="ASR55" s="242"/>
      <c r="ASS55" s="242"/>
      <c r="AST55" s="242"/>
      <c r="ASU55" s="242"/>
      <c r="ASV55" s="242"/>
      <c r="ASW55" s="244"/>
      <c r="ASX55" s="242"/>
      <c r="ASY55" s="242"/>
      <c r="ASZ55" s="242"/>
      <c r="ATA55" s="242"/>
      <c r="ATB55" s="242"/>
      <c r="ATC55" s="245"/>
      <c r="ATD55" s="242"/>
      <c r="ATE55" s="242"/>
      <c r="ATF55" s="242"/>
      <c r="ATG55" s="242"/>
      <c r="ATH55" s="242"/>
      <c r="ATI55" s="246"/>
      <c r="ATJ55" s="241"/>
      <c r="ATK55" s="242"/>
      <c r="ATL55" s="242"/>
      <c r="ATM55" s="242"/>
      <c r="ATN55" s="242"/>
      <c r="ATO55" s="243"/>
      <c r="ATP55" s="242"/>
      <c r="ATQ55" s="242"/>
      <c r="ATR55" s="242"/>
      <c r="ATS55" s="242"/>
      <c r="ATT55" s="242"/>
      <c r="ATU55" s="244"/>
      <c r="ATV55" s="242"/>
      <c r="ATW55" s="242"/>
      <c r="ATX55" s="242"/>
      <c r="ATY55" s="242"/>
      <c r="ATZ55" s="242"/>
      <c r="AUA55" s="245"/>
      <c r="AUB55" s="242"/>
      <c r="AUC55" s="242"/>
      <c r="AUD55" s="242"/>
      <c r="AUE55" s="242"/>
      <c r="AUF55" s="242"/>
      <c r="AUG55" s="244"/>
      <c r="AUH55" s="242"/>
      <c r="AUI55" s="242"/>
      <c r="AUJ55" s="242"/>
      <c r="AUK55" s="242"/>
      <c r="AUL55" s="242"/>
      <c r="AUM55" s="245"/>
      <c r="AUN55" s="242"/>
      <c r="AUO55" s="242"/>
      <c r="AUP55" s="242"/>
      <c r="AUQ55" s="242"/>
      <c r="AUR55" s="242"/>
      <c r="AUS55" s="244"/>
      <c r="AUT55" s="242"/>
      <c r="AUU55" s="242"/>
      <c r="AUV55" s="242"/>
      <c r="AUW55" s="242"/>
      <c r="AUX55" s="242"/>
      <c r="AUY55" s="245"/>
      <c r="AUZ55" s="242"/>
      <c r="AVA55" s="242"/>
      <c r="AVB55" s="242"/>
      <c r="AVC55" s="242"/>
      <c r="AVD55" s="242"/>
      <c r="AVE55" s="244"/>
      <c r="AVF55" s="242"/>
      <c r="AVG55" s="242"/>
      <c r="AVH55" s="242"/>
      <c r="AVI55" s="242"/>
      <c r="AVJ55" s="242"/>
      <c r="AVK55" s="245"/>
      <c r="AVL55" s="242"/>
      <c r="AVM55" s="242"/>
      <c r="AVN55" s="242"/>
      <c r="AVO55" s="242"/>
      <c r="AVP55" s="242"/>
      <c r="AVQ55" s="246"/>
      <c r="AVR55" s="241"/>
      <c r="AVS55" s="242"/>
      <c r="AVT55" s="242"/>
      <c r="AVU55" s="242"/>
      <c r="AVV55" s="242"/>
      <c r="AVW55" s="243"/>
      <c r="AVX55" s="242"/>
      <c r="AVY55" s="242"/>
      <c r="AVZ55" s="242"/>
      <c r="AWA55" s="242"/>
      <c r="AWB55" s="242"/>
      <c r="AWC55" s="244"/>
      <c r="AWD55" s="242"/>
      <c r="AWE55" s="242"/>
      <c r="AWF55" s="242"/>
      <c r="AWG55" s="242"/>
      <c r="AWH55" s="242"/>
      <c r="AWI55" s="245"/>
      <c r="AWJ55" s="242"/>
      <c r="AWK55" s="242"/>
      <c r="AWL55" s="242"/>
      <c r="AWM55" s="242"/>
      <c r="AWN55" s="242"/>
      <c r="AWO55" s="244"/>
      <c r="AWP55" s="242"/>
      <c r="AWQ55" s="242"/>
      <c r="AWR55" s="242"/>
      <c r="AWS55" s="242"/>
      <c r="AWT55" s="242"/>
      <c r="AWU55" s="245"/>
      <c r="AWV55" s="242"/>
      <c r="AWW55" s="242"/>
      <c r="AWX55" s="242"/>
      <c r="AWY55" s="242"/>
      <c r="AWZ55" s="242"/>
      <c r="AXA55" s="244"/>
      <c r="AXB55" s="242"/>
      <c r="AXC55" s="242"/>
      <c r="AXD55" s="242"/>
      <c r="AXE55" s="242"/>
      <c r="AXF55" s="242"/>
      <c r="AXG55" s="245"/>
      <c r="AXH55" s="242"/>
      <c r="AXI55" s="242"/>
      <c r="AXJ55" s="242"/>
      <c r="AXK55" s="242"/>
      <c r="AXL55" s="242"/>
      <c r="AXM55" s="244"/>
      <c r="AXN55" s="242"/>
      <c r="AXO55" s="242"/>
      <c r="AXP55" s="242"/>
      <c r="AXQ55" s="242"/>
      <c r="AXR55" s="242"/>
      <c r="AXS55" s="245"/>
      <c r="AXT55" s="242"/>
      <c r="AXU55" s="242"/>
      <c r="AXV55" s="242"/>
      <c r="AXW55" s="242"/>
      <c r="AXX55" s="242"/>
      <c r="AXY55" s="246"/>
      <c r="AXZ55" s="241"/>
      <c r="AYA55" s="242"/>
      <c r="AYB55" s="242"/>
      <c r="AYC55" s="242"/>
      <c r="AYD55" s="242"/>
      <c r="AYE55" s="243"/>
      <c r="AYF55" s="242"/>
      <c r="AYG55" s="242"/>
      <c r="AYH55" s="242"/>
      <c r="AYI55" s="242"/>
      <c r="AYJ55" s="242"/>
      <c r="AYK55" s="244"/>
      <c r="AYL55" s="242"/>
      <c r="AYM55" s="242"/>
      <c r="AYN55" s="242"/>
      <c r="AYO55" s="242"/>
      <c r="AYP55" s="242"/>
      <c r="AYQ55" s="245"/>
      <c r="AYR55" s="242"/>
      <c r="AYS55" s="242"/>
      <c r="AYT55" s="242"/>
      <c r="AYU55" s="242"/>
      <c r="AYV55" s="242"/>
      <c r="AYW55" s="244"/>
      <c r="AYX55" s="242"/>
      <c r="AYY55" s="242"/>
      <c r="AYZ55" s="242"/>
      <c r="AZA55" s="242"/>
      <c r="AZB55" s="242"/>
      <c r="AZC55" s="245"/>
      <c r="AZD55" s="242"/>
      <c r="AZE55" s="242"/>
      <c r="AZF55" s="242"/>
      <c r="AZG55" s="242"/>
      <c r="AZH55" s="242"/>
      <c r="AZI55" s="244"/>
      <c r="AZJ55" s="242"/>
      <c r="AZK55" s="242"/>
      <c r="AZL55" s="242"/>
      <c r="AZM55" s="242"/>
      <c r="AZN55" s="242"/>
      <c r="AZO55" s="245"/>
      <c r="AZP55" s="242"/>
      <c r="AZQ55" s="242"/>
      <c r="AZR55" s="242"/>
      <c r="AZS55" s="242"/>
      <c r="AZT55" s="242"/>
      <c r="AZU55" s="244"/>
      <c r="AZV55" s="242"/>
      <c r="AZW55" s="242"/>
      <c r="AZX55" s="242"/>
      <c r="AZY55" s="242"/>
      <c r="AZZ55" s="242"/>
      <c r="BAA55" s="245"/>
      <c r="BAB55" s="242"/>
      <c r="BAC55" s="242"/>
      <c r="BAD55" s="242"/>
      <c r="BAE55" s="242"/>
      <c r="BAF55" s="242"/>
      <c r="BAG55" s="246"/>
      <c r="BAH55" s="241"/>
      <c r="BAI55" s="242"/>
      <c r="BAJ55" s="242"/>
      <c r="BAK55" s="242"/>
      <c r="BAL55" s="242"/>
      <c r="BAM55" s="243"/>
      <c r="BAN55" s="242"/>
      <c r="BAO55" s="242"/>
      <c r="BAP55" s="242"/>
      <c r="BAQ55" s="242"/>
      <c r="BAR55" s="242"/>
      <c r="BAS55" s="244"/>
      <c r="BAT55" s="242"/>
      <c r="BAU55" s="242"/>
      <c r="BAV55" s="242"/>
      <c r="BAW55" s="242"/>
      <c r="BAX55" s="242"/>
      <c r="BAY55" s="245"/>
      <c r="BAZ55" s="242"/>
      <c r="BBA55" s="242"/>
      <c r="BBB55" s="242"/>
      <c r="BBC55" s="242"/>
      <c r="BBD55" s="242"/>
      <c r="BBE55" s="244"/>
      <c r="BBF55" s="242"/>
      <c r="BBG55" s="242"/>
      <c r="BBH55" s="242"/>
      <c r="BBI55" s="242"/>
      <c r="BBJ55" s="242"/>
      <c r="BBK55" s="245"/>
      <c r="BBL55" s="242"/>
      <c r="BBM55" s="242"/>
      <c r="BBN55" s="242"/>
      <c r="BBO55" s="242"/>
      <c r="BBP55" s="242"/>
      <c r="BBQ55" s="244"/>
      <c r="BBR55" s="242"/>
      <c r="BBS55" s="242"/>
      <c r="BBT55" s="242"/>
      <c r="BBU55" s="242"/>
      <c r="BBV55" s="242"/>
      <c r="BBW55" s="245"/>
      <c r="BBX55" s="242"/>
      <c r="BBY55" s="242"/>
      <c r="BBZ55" s="242"/>
      <c r="BCA55" s="242"/>
      <c r="BCB55" s="242"/>
      <c r="BCC55" s="244"/>
      <c r="BCD55" s="242"/>
      <c r="BCE55" s="242"/>
      <c r="BCF55" s="242"/>
      <c r="BCG55" s="242"/>
      <c r="BCH55" s="242"/>
      <c r="BCI55" s="245"/>
      <c r="BCJ55" s="242"/>
      <c r="BCK55" s="242"/>
      <c r="BCL55" s="242"/>
      <c r="BCM55" s="242"/>
      <c r="BCN55" s="242"/>
      <c r="BCO55" s="246"/>
      <c r="BCP55" s="241"/>
      <c r="BCQ55" s="242"/>
      <c r="BCR55" s="242"/>
      <c r="BCS55" s="242"/>
      <c r="BCT55" s="242"/>
      <c r="BCU55" s="243"/>
      <c r="BCV55" s="242"/>
      <c r="BCW55" s="242"/>
      <c r="BCX55" s="242"/>
      <c r="BCY55" s="242"/>
      <c r="BCZ55" s="242"/>
      <c r="BDA55" s="244"/>
      <c r="BDB55" s="242"/>
      <c r="BDC55" s="242"/>
      <c r="BDD55" s="242"/>
      <c r="BDE55" s="242"/>
      <c r="BDF55" s="242"/>
      <c r="BDG55" s="245"/>
      <c r="BDH55" s="242"/>
      <c r="BDI55" s="242"/>
      <c r="BDJ55" s="242"/>
      <c r="BDK55" s="242"/>
      <c r="BDL55" s="242"/>
      <c r="BDM55" s="244"/>
      <c r="BDN55" s="242"/>
      <c r="BDO55" s="242"/>
      <c r="BDP55" s="242"/>
      <c r="BDQ55" s="242"/>
      <c r="BDR55" s="242"/>
      <c r="BDS55" s="245"/>
      <c r="BDT55" s="242"/>
      <c r="BDU55" s="242"/>
      <c r="BDV55" s="242"/>
      <c r="BDW55" s="242"/>
      <c r="BDX55" s="242"/>
      <c r="BDY55" s="244"/>
      <c r="BDZ55" s="242"/>
      <c r="BEA55" s="242"/>
      <c r="BEB55" s="242"/>
      <c r="BEC55" s="242"/>
      <c r="BED55" s="242"/>
      <c r="BEE55" s="245"/>
      <c r="BEF55" s="242"/>
      <c r="BEG55" s="242"/>
      <c r="BEH55" s="242"/>
      <c r="BEI55" s="242"/>
      <c r="BEJ55" s="242"/>
      <c r="BEK55" s="244"/>
      <c r="BEL55" s="242"/>
      <c r="BEM55" s="242"/>
      <c r="BEN55" s="242"/>
      <c r="BEO55" s="242"/>
      <c r="BEP55" s="242"/>
      <c r="BEQ55" s="245"/>
      <c r="BER55" s="242"/>
      <c r="BES55" s="242"/>
      <c r="BET55" s="242"/>
      <c r="BEU55" s="242"/>
      <c r="BEV55" s="242"/>
      <c r="BEW55" s="246"/>
      <c r="BEX55" s="241"/>
      <c r="BEY55" s="242"/>
      <c r="BEZ55" s="242"/>
      <c r="BFA55" s="242"/>
      <c r="BFB55" s="242"/>
      <c r="BFC55" s="243"/>
      <c r="BFD55" s="242"/>
      <c r="BFE55" s="242"/>
      <c r="BFF55" s="242"/>
      <c r="BFG55" s="242"/>
      <c r="BFH55" s="242"/>
      <c r="BFI55" s="244"/>
      <c r="BFJ55" s="242"/>
      <c r="BFK55" s="242"/>
      <c r="BFL55" s="242"/>
      <c r="BFM55" s="242"/>
      <c r="BFN55" s="242"/>
      <c r="BFO55" s="245"/>
      <c r="BFP55" s="242"/>
      <c r="BFQ55" s="242"/>
      <c r="BFR55" s="242"/>
      <c r="BFS55" s="242"/>
      <c r="BFT55" s="242"/>
      <c r="BFU55" s="244"/>
      <c r="BFV55" s="242"/>
      <c r="BFW55" s="242"/>
      <c r="BFX55" s="242"/>
      <c r="BFY55" s="242"/>
      <c r="BFZ55" s="242"/>
      <c r="BGA55" s="245"/>
      <c r="BGB55" s="242"/>
      <c r="BGC55" s="242"/>
      <c r="BGD55" s="242"/>
      <c r="BGE55" s="242"/>
      <c r="BGF55" s="242"/>
      <c r="BGG55" s="244"/>
      <c r="BGH55" s="242"/>
      <c r="BGI55" s="242"/>
      <c r="BGJ55" s="242"/>
      <c r="BGK55" s="242"/>
      <c r="BGL55" s="242"/>
      <c r="BGM55" s="245"/>
      <c r="BGN55" s="242"/>
      <c r="BGO55" s="242"/>
      <c r="BGP55" s="242"/>
      <c r="BGQ55" s="242"/>
      <c r="BGR55" s="242"/>
      <c r="BGS55" s="244"/>
      <c r="BGT55" s="242"/>
      <c r="BGU55" s="242"/>
      <c r="BGV55" s="242"/>
      <c r="BGW55" s="242"/>
      <c r="BGX55" s="242"/>
      <c r="BGY55" s="245"/>
      <c r="BGZ55" s="242"/>
      <c r="BHA55" s="242"/>
      <c r="BHB55" s="242"/>
      <c r="BHC55" s="242"/>
      <c r="BHD55" s="242"/>
      <c r="BHE55" s="246"/>
      <c r="BHF55" s="241"/>
      <c r="BHG55" s="242"/>
      <c r="BHH55" s="242"/>
      <c r="BHI55" s="242"/>
      <c r="BHJ55" s="242"/>
      <c r="BHK55" s="243"/>
      <c r="BHL55" s="242"/>
      <c r="BHM55" s="242"/>
      <c r="BHN55" s="242"/>
      <c r="BHO55" s="242"/>
      <c r="BHP55" s="242"/>
      <c r="BHQ55" s="244"/>
      <c r="BHR55" s="242"/>
      <c r="BHS55" s="242"/>
      <c r="BHT55" s="242"/>
      <c r="BHU55" s="242"/>
      <c r="BHV55" s="242"/>
      <c r="BHW55" s="245"/>
      <c r="BHX55" s="242"/>
      <c r="BHY55" s="242"/>
      <c r="BHZ55" s="242"/>
      <c r="BIA55" s="242"/>
      <c r="BIB55" s="242"/>
      <c r="BIC55" s="244"/>
      <c r="BID55" s="242"/>
      <c r="BIE55" s="242"/>
      <c r="BIF55" s="242"/>
      <c r="BIG55" s="242"/>
      <c r="BIH55" s="242"/>
      <c r="BII55" s="245"/>
      <c r="BIJ55" s="242"/>
      <c r="BIK55" s="242"/>
      <c r="BIL55" s="242"/>
      <c r="BIM55" s="242"/>
      <c r="BIN55" s="242"/>
      <c r="BIO55" s="244"/>
      <c r="BIP55" s="242"/>
      <c r="BIQ55" s="242"/>
      <c r="BIR55" s="242"/>
      <c r="BIS55" s="242"/>
      <c r="BIT55" s="242"/>
      <c r="BIU55" s="245"/>
      <c r="BIV55" s="242"/>
      <c r="BIW55" s="242"/>
      <c r="BIX55" s="242"/>
      <c r="BIY55" s="242"/>
      <c r="BIZ55" s="242"/>
      <c r="BJA55" s="244"/>
      <c r="BJB55" s="242"/>
      <c r="BJC55" s="242"/>
      <c r="BJD55" s="242"/>
      <c r="BJE55" s="242"/>
      <c r="BJF55" s="242"/>
      <c r="BJG55" s="245"/>
      <c r="BJH55" s="242"/>
      <c r="BJI55" s="242"/>
      <c r="BJJ55" s="242"/>
      <c r="BJK55" s="242"/>
      <c r="BJL55" s="242"/>
      <c r="BJM55" s="246"/>
      <c r="BJN55" s="233"/>
      <c r="BJO55" s="234"/>
      <c r="BJP55" s="234"/>
      <c r="BJQ55" s="234"/>
      <c r="BJR55" s="234"/>
      <c r="BJS55" s="234"/>
      <c r="BJT55" s="234"/>
      <c r="BJU55" s="234"/>
      <c r="BJV55" s="234"/>
      <c r="BJW55" s="234"/>
      <c r="BJX55" s="234"/>
      <c r="BJY55" s="234"/>
      <c r="BJZ55" s="234"/>
      <c r="BKA55" s="234"/>
      <c r="BKB55" s="234"/>
      <c r="BKC55" s="234"/>
      <c r="BKD55" s="234"/>
      <c r="BKE55" s="234"/>
      <c r="BKF55" s="234"/>
      <c r="BKG55" s="234"/>
      <c r="BKH55" s="234"/>
      <c r="BKI55" s="234"/>
      <c r="BKJ55" s="234"/>
      <c r="BKK55" s="234"/>
      <c r="BKL55" s="234"/>
      <c r="BKM55" s="234"/>
      <c r="BKN55" s="234"/>
    </row>
    <row r="56" spans="1:1652" ht="20.100000000000001" customHeight="1" x14ac:dyDescent="0.25">
      <c r="A56" s="84" t="s">
        <v>20</v>
      </c>
      <c r="B56" s="53"/>
      <c r="C56" s="178"/>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174"/>
      <c r="BJO56" s="4"/>
      <c r="BJP56" s="4"/>
      <c r="BJQ56" s="4"/>
      <c r="BJR56" s="4"/>
      <c r="BJS56" s="4"/>
      <c r="BJT56" s="4"/>
      <c r="BJU56" s="4"/>
      <c r="BJV56" s="4"/>
      <c r="BJW56" s="4"/>
      <c r="BJX56" s="4"/>
      <c r="BJY56" s="4"/>
      <c r="BJZ56" s="4"/>
      <c r="BKA56" s="4"/>
      <c r="BKB56" s="4"/>
      <c r="BKC56" s="4"/>
      <c r="BKD56" s="4"/>
      <c r="BKE56" s="4"/>
      <c r="BKF56" s="4"/>
      <c r="BKG56" s="4"/>
      <c r="BKH56" s="4"/>
      <c r="BKI56" s="4"/>
      <c r="BKJ56" s="4"/>
      <c r="BKK56" s="4"/>
      <c r="BKL56" s="4"/>
      <c r="BKM56" s="4"/>
      <c r="BKN56" s="4"/>
    </row>
    <row r="57" spans="1:1652" ht="20.100000000000001" customHeight="1" x14ac:dyDescent="0.25">
      <c r="A57" s="84" t="s">
        <v>19</v>
      </c>
      <c r="B57" s="53"/>
      <c r="C57" s="177"/>
      <c r="D57" s="129" t="str">
        <f t="shared" si="0"/>
        <v>0h</v>
      </c>
      <c r="E57" s="26">
        <v>0</v>
      </c>
      <c r="F57" s="235"/>
      <c r="G57" s="236"/>
      <c r="H57" s="236"/>
      <c r="I57" s="236"/>
      <c r="J57" s="236"/>
      <c r="K57" s="237"/>
      <c r="L57" s="236"/>
      <c r="M57" s="236"/>
      <c r="N57" s="236"/>
      <c r="O57" s="236"/>
      <c r="P57" s="236"/>
      <c r="Q57" s="238"/>
      <c r="R57" s="236"/>
      <c r="S57" s="236"/>
      <c r="T57" s="236"/>
      <c r="U57" s="236"/>
      <c r="V57" s="236"/>
      <c r="W57" s="239"/>
      <c r="X57" s="236"/>
      <c r="Y57" s="236"/>
      <c r="Z57" s="236"/>
      <c r="AA57" s="236"/>
      <c r="AB57" s="236"/>
      <c r="AC57" s="238"/>
      <c r="AD57" s="236"/>
      <c r="AE57" s="236"/>
      <c r="AF57" s="236"/>
      <c r="AG57" s="236"/>
      <c r="AH57" s="236"/>
      <c r="AI57" s="239"/>
      <c r="AJ57" s="236"/>
      <c r="AK57" s="236"/>
      <c r="AL57" s="236"/>
      <c r="AM57" s="236"/>
      <c r="AN57" s="236"/>
      <c r="AO57" s="238"/>
      <c r="AP57" s="236"/>
      <c r="AQ57" s="236"/>
      <c r="AR57" s="236"/>
      <c r="AS57" s="236"/>
      <c r="AT57" s="236"/>
      <c r="AU57" s="239"/>
      <c r="AV57" s="236"/>
      <c r="AW57" s="236"/>
      <c r="AX57" s="236"/>
      <c r="AY57" s="236"/>
      <c r="AZ57" s="236"/>
      <c r="BA57" s="238"/>
      <c r="BB57" s="236"/>
      <c r="BC57" s="236"/>
      <c r="BD57" s="236"/>
      <c r="BE57" s="236"/>
      <c r="BF57" s="236"/>
      <c r="BG57" s="239"/>
      <c r="BH57" s="236"/>
      <c r="BI57" s="236"/>
      <c r="BJ57" s="236"/>
      <c r="BK57" s="236"/>
      <c r="BL57" s="236"/>
      <c r="BM57" s="240"/>
      <c r="BN57" s="235"/>
      <c r="BO57" s="236"/>
      <c r="BP57" s="236"/>
      <c r="BQ57" s="236"/>
      <c r="BR57" s="236"/>
      <c r="BS57" s="237"/>
      <c r="BT57" s="236"/>
      <c r="BU57" s="236"/>
      <c r="BV57" s="236"/>
      <c r="BW57" s="236"/>
      <c r="BX57" s="236"/>
      <c r="BY57" s="238"/>
      <c r="BZ57" s="236"/>
      <c r="CA57" s="236"/>
      <c r="CB57" s="236"/>
      <c r="CC57" s="236"/>
      <c r="CD57" s="236"/>
      <c r="CE57" s="239"/>
      <c r="CF57" s="236"/>
      <c r="CG57" s="236"/>
      <c r="CH57" s="236"/>
      <c r="CI57" s="236"/>
      <c r="CJ57" s="236"/>
      <c r="CK57" s="238"/>
      <c r="CL57" s="236"/>
      <c r="CM57" s="236"/>
      <c r="CN57" s="236"/>
      <c r="CO57" s="236"/>
      <c r="CP57" s="236"/>
      <c r="CQ57" s="239"/>
      <c r="CR57" s="236"/>
      <c r="CS57" s="236"/>
      <c r="CT57" s="236"/>
      <c r="CU57" s="236"/>
      <c r="CV57" s="236"/>
      <c r="CW57" s="238"/>
      <c r="CX57" s="236"/>
      <c r="CY57" s="236"/>
      <c r="CZ57" s="236"/>
      <c r="DA57" s="236"/>
      <c r="DB57" s="236"/>
      <c r="DC57" s="239"/>
      <c r="DD57" s="236"/>
      <c r="DE57" s="236"/>
      <c r="DF57" s="236"/>
      <c r="DG57" s="236"/>
      <c r="DH57" s="236"/>
      <c r="DI57" s="238"/>
      <c r="DJ57" s="236"/>
      <c r="DK57" s="236"/>
      <c r="DL57" s="236"/>
      <c r="DM57" s="236"/>
      <c r="DN57" s="236"/>
      <c r="DO57" s="239"/>
      <c r="DP57" s="236"/>
      <c r="DQ57" s="236"/>
      <c r="DR57" s="236"/>
      <c r="DS57" s="236"/>
      <c r="DT57" s="236"/>
      <c r="DU57" s="240"/>
      <c r="DV57" s="235"/>
      <c r="DW57" s="236"/>
      <c r="DX57" s="236"/>
      <c r="DY57" s="236"/>
      <c r="DZ57" s="236"/>
      <c r="EA57" s="237"/>
      <c r="EB57" s="236"/>
      <c r="EC57" s="236"/>
      <c r="ED57" s="236"/>
      <c r="EE57" s="236"/>
      <c r="EF57" s="236"/>
      <c r="EG57" s="238"/>
      <c r="EH57" s="236"/>
      <c r="EI57" s="236"/>
      <c r="EJ57" s="236"/>
      <c r="EK57" s="236"/>
      <c r="EL57" s="236"/>
      <c r="EM57" s="239"/>
      <c r="EN57" s="236"/>
      <c r="EO57" s="236"/>
      <c r="EP57" s="236"/>
      <c r="EQ57" s="236"/>
      <c r="ER57" s="236"/>
      <c r="ES57" s="238"/>
      <c r="ET57" s="236"/>
      <c r="EU57" s="236"/>
      <c r="EV57" s="236"/>
      <c r="EW57" s="236"/>
      <c r="EX57" s="236"/>
      <c r="EY57" s="239"/>
      <c r="EZ57" s="236"/>
      <c r="FA57" s="236"/>
      <c r="FB57" s="236"/>
      <c r="FC57" s="236"/>
      <c r="FD57" s="236"/>
      <c r="FE57" s="238"/>
      <c r="FF57" s="236"/>
      <c r="FG57" s="236"/>
      <c r="FH57" s="236"/>
      <c r="FI57" s="236"/>
      <c r="FJ57" s="236"/>
      <c r="FK57" s="239"/>
      <c r="FL57" s="236"/>
      <c r="FM57" s="236"/>
      <c r="FN57" s="236"/>
      <c r="FO57" s="236"/>
      <c r="FP57" s="236"/>
      <c r="FQ57" s="238"/>
      <c r="FR57" s="236"/>
      <c r="FS57" s="236"/>
      <c r="FT57" s="236"/>
      <c r="FU57" s="236"/>
      <c r="FV57" s="236"/>
      <c r="FW57" s="239"/>
      <c r="FX57" s="236"/>
      <c r="FY57" s="236"/>
      <c r="FZ57" s="236"/>
      <c r="GA57" s="236"/>
      <c r="GB57" s="236"/>
      <c r="GC57" s="240"/>
      <c r="GD57" s="235"/>
      <c r="GE57" s="236"/>
      <c r="GF57" s="236"/>
      <c r="GG57" s="236"/>
      <c r="GH57" s="236"/>
      <c r="GI57" s="237"/>
      <c r="GJ57" s="236"/>
      <c r="GK57" s="236"/>
      <c r="GL57" s="236"/>
      <c r="GM57" s="236"/>
      <c r="GN57" s="236"/>
      <c r="GO57" s="238"/>
      <c r="GP57" s="236"/>
      <c r="GQ57" s="236"/>
      <c r="GR57" s="236"/>
      <c r="GS57" s="236"/>
      <c r="GT57" s="236"/>
      <c r="GU57" s="239"/>
      <c r="GV57" s="236"/>
      <c r="GW57" s="236"/>
      <c r="GX57" s="236"/>
      <c r="GY57" s="236"/>
      <c r="GZ57" s="236"/>
      <c r="HA57" s="238"/>
      <c r="HB57" s="236"/>
      <c r="HC57" s="236"/>
      <c r="HD57" s="236"/>
      <c r="HE57" s="236"/>
      <c r="HF57" s="236"/>
      <c r="HG57" s="239"/>
      <c r="HH57" s="236"/>
      <c r="HI57" s="236"/>
      <c r="HJ57" s="236"/>
      <c r="HK57" s="236"/>
      <c r="HL57" s="236"/>
      <c r="HM57" s="238"/>
      <c r="HN57" s="236"/>
      <c r="HO57" s="236"/>
      <c r="HP57" s="236"/>
      <c r="HQ57" s="236"/>
      <c r="HR57" s="236"/>
      <c r="HS57" s="239"/>
      <c r="HT57" s="236"/>
      <c r="HU57" s="236"/>
      <c r="HV57" s="236"/>
      <c r="HW57" s="236"/>
      <c r="HX57" s="236"/>
      <c r="HY57" s="238"/>
      <c r="HZ57" s="236"/>
      <c r="IA57" s="236"/>
      <c r="IB57" s="236"/>
      <c r="IC57" s="236"/>
      <c r="ID57" s="236"/>
      <c r="IE57" s="239"/>
      <c r="IF57" s="236"/>
      <c r="IG57" s="236"/>
      <c r="IH57" s="236"/>
      <c r="II57" s="236"/>
      <c r="IJ57" s="236"/>
      <c r="IK57" s="240"/>
      <c r="IL57" s="235"/>
      <c r="IM57" s="236"/>
      <c r="IN57" s="236"/>
      <c r="IO57" s="236"/>
      <c r="IP57" s="236"/>
      <c r="IQ57" s="237"/>
      <c r="IR57" s="236"/>
      <c r="IS57" s="236"/>
      <c r="IT57" s="236"/>
      <c r="IU57" s="236"/>
      <c r="IV57" s="236"/>
      <c r="IW57" s="238"/>
      <c r="IX57" s="236"/>
      <c r="IY57" s="236"/>
      <c r="IZ57" s="236"/>
      <c r="JA57" s="236"/>
      <c r="JB57" s="236"/>
      <c r="JC57" s="239"/>
      <c r="JD57" s="236"/>
      <c r="JE57" s="236"/>
      <c r="JF57" s="236"/>
      <c r="JG57" s="236"/>
      <c r="JH57" s="236"/>
      <c r="JI57" s="238"/>
      <c r="JJ57" s="236"/>
      <c r="JK57" s="236"/>
      <c r="JL57" s="236"/>
      <c r="JM57" s="236"/>
      <c r="JN57" s="236"/>
      <c r="JO57" s="239"/>
      <c r="JP57" s="236"/>
      <c r="JQ57" s="236"/>
      <c r="JR57" s="236"/>
      <c r="JS57" s="236"/>
      <c r="JT57" s="236"/>
      <c r="JU57" s="238"/>
      <c r="JV57" s="236"/>
      <c r="JW57" s="236"/>
      <c r="JX57" s="236"/>
      <c r="JY57" s="236"/>
      <c r="JZ57" s="236"/>
      <c r="KA57" s="239"/>
      <c r="KB57" s="236"/>
      <c r="KC57" s="236"/>
      <c r="KD57" s="236"/>
      <c r="KE57" s="236"/>
      <c r="KF57" s="236"/>
      <c r="KG57" s="238"/>
      <c r="KH57" s="236"/>
      <c r="KI57" s="236"/>
      <c r="KJ57" s="236"/>
      <c r="KK57" s="236"/>
      <c r="KL57" s="236"/>
      <c r="KM57" s="239"/>
      <c r="KN57" s="236"/>
      <c r="KO57" s="236"/>
      <c r="KP57" s="236"/>
      <c r="KQ57" s="236"/>
      <c r="KR57" s="236"/>
      <c r="KS57" s="240"/>
      <c r="KT57" s="235"/>
      <c r="KU57" s="236"/>
      <c r="KV57" s="236"/>
      <c r="KW57" s="236"/>
      <c r="KX57" s="236"/>
      <c r="KY57" s="237"/>
      <c r="KZ57" s="236"/>
      <c r="LA57" s="236"/>
      <c r="LB57" s="236"/>
      <c r="LC57" s="236"/>
      <c r="LD57" s="236"/>
      <c r="LE57" s="238"/>
      <c r="LF57" s="236"/>
      <c r="LG57" s="236"/>
      <c r="LH57" s="236"/>
      <c r="LI57" s="236"/>
      <c r="LJ57" s="236"/>
      <c r="LK57" s="239"/>
      <c r="LL57" s="236"/>
      <c r="LM57" s="236"/>
      <c r="LN57" s="236"/>
      <c r="LO57" s="236"/>
      <c r="LP57" s="236"/>
      <c r="LQ57" s="238"/>
      <c r="LR57" s="236"/>
      <c r="LS57" s="236"/>
      <c r="LT57" s="236"/>
      <c r="LU57" s="236"/>
      <c r="LV57" s="236"/>
      <c r="LW57" s="239"/>
      <c r="LX57" s="236"/>
      <c r="LY57" s="236"/>
      <c r="LZ57" s="236"/>
      <c r="MA57" s="236"/>
      <c r="MB57" s="236"/>
      <c r="MC57" s="238"/>
      <c r="MD57" s="236"/>
      <c r="ME57" s="236"/>
      <c r="MF57" s="236"/>
      <c r="MG57" s="236"/>
      <c r="MH57" s="236"/>
      <c r="MI57" s="239"/>
      <c r="MJ57" s="236"/>
      <c r="MK57" s="236"/>
      <c r="ML57" s="236"/>
      <c r="MM57" s="236"/>
      <c r="MN57" s="236"/>
      <c r="MO57" s="238"/>
      <c r="MP57" s="236"/>
      <c r="MQ57" s="236"/>
      <c r="MR57" s="236"/>
      <c r="MS57" s="236"/>
      <c r="MT57" s="236"/>
      <c r="MU57" s="239"/>
      <c r="MV57" s="236"/>
      <c r="MW57" s="236"/>
      <c r="MX57" s="236"/>
      <c r="MY57" s="236"/>
      <c r="MZ57" s="236"/>
      <c r="NA57" s="240"/>
      <c r="NB57" s="235"/>
      <c r="NC57" s="236"/>
      <c r="ND57" s="236"/>
      <c r="NE57" s="236"/>
      <c r="NF57" s="236"/>
      <c r="NG57" s="237"/>
      <c r="NH57" s="236"/>
      <c r="NI57" s="236"/>
      <c r="NJ57" s="236"/>
      <c r="NK57" s="236"/>
      <c r="NL57" s="236"/>
      <c r="NM57" s="238"/>
      <c r="NN57" s="236"/>
      <c r="NO57" s="236"/>
      <c r="NP57" s="236"/>
      <c r="NQ57" s="236"/>
      <c r="NR57" s="236"/>
      <c r="NS57" s="239"/>
      <c r="NT57" s="236"/>
      <c r="NU57" s="236"/>
      <c r="NV57" s="236"/>
      <c r="NW57" s="236"/>
      <c r="NX57" s="236"/>
      <c r="NY57" s="238"/>
      <c r="NZ57" s="236"/>
      <c r="OA57" s="236"/>
      <c r="OB57" s="236"/>
      <c r="OC57" s="236"/>
      <c r="OD57" s="236"/>
      <c r="OE57" s="239"/>
      <c r="OF57" s="236"/>
      <c r="OG57" s="236"/>
      <c r="OH57" s="236"/>
      <c r="OI57" s="236"/>
      <c r="OJ57" s="236"/>
      <c r="OK57" s="238"/>
      <c r="OL57" s="236"/>
      <c r="OM57" s="236"/>
      <c r="ON57" s="236"/>
      <c r="OO57" s="236"/>
      <c r="OP57" s="236"/>
      <c r="OQ57" s="239"/>
      <c r="OR57" s="236"/>
      <c r="OS57" s="236"/>
      <c r="OT57" s="236"/>
      <c r="OU57" s="236"/>
      <c r="OV57" s="236"/>
      <c r="OW57" s="238"/>
      <c r="OX57" s="236"/>
      <c r="OY57" s="236"/>
      <c r="OZ57" s="236"/>
      <c r="PA57" s="236"/>
      <c r="PB57" s="236"/>
      <c r="PC57" s="239"/>
      <c r="PD57" s="236"/>
      <c r="PE57" s="236"/>
      <c r="PF57" s="236"/>
      <c r="PG57" s="236"/>
      <c r="PH57" s="236"/>
      <c r="PI57" s="240"/>
      <c r="PJ57" s="235"/>
      <c r="PK57" s="236"/>
      <c r="PL57" s="236"/>
      <c r="PM57" s="236"/>
      <c r="PN57" s="236"/>
      <c r="PO57" s="237"/>
      <c r="PP57" s="236"/>
      <c r="PQ57" s="236"/>
      <c r="PR57" s="236"/>
      <c r="PS57" s="236"/>
      <c r="PT57" s="236"/>
      <c r="PU57" s="238"/>
      <c r="PV57" s="236"/>
      <c r="PW57" s="236"/>
      <c r="PX57" s="236"/>
      <c r="PY57" s="236"/>
      <c r="PZ57" s="236"/>
      <c r="QA57" s="239"/>
      <c r="QB57" s="236"/>
      <c r="QC57" s="236"/>
      <c r="QD57" s="236"/>
      <c r="QE57" s="236"/>
      <c r="QF57" s="236"/>
      <c r="QG57" s="238"/>
      <c r="QH57" s="236"/>
      <c r="QI57" s="236"/>
      <c r="QJ57" s="236"/>
      <c r="QK57" s="236"/>
      <c r="QL57" s="236"/>
      <c r="QM57" s="239"/>
      <c r="QN57" s="236"/>
      <c r="QO57" s="236"/>
      <c r="QP57" s="236"/>
      <c r="QQ57" s="236"/>
      <c r="QR57" s="236"/>
      <c r="QS57" s="238"/>
      <c r="QT57" s="236"/>
      <c r="QU57" s="236"/>
      <c r="QV57" s="236"/>
      <c r="QW57" s="236"/>
      <c r="QX57" s="236"/>
      <c r="QY57" s="239"/>
      <c r="QZ57" s="236"/>
      <c r="RA57" s="236"/>
      <c r="RB57" s="236"/>
      <c r="RC57" s="236"/>
      <c r="RD57" s="236"/>
      <c r="RE57" s="238"/>
      <c r="RF57" s="236"/>
      <c r="RG57" s="236"/>
      <c r="RH57" s="236"/>
      <c r="RI57" s="236"/>
      <c r="RJ57" s="236"/>
      <c r="RK57" s="239"/>
      <c r="RL57" s="236"/>
      <c r="RM57" s="236"/>
      <c r="RN57" s="236"/>
      <c r="RO57" s="236"/>
      <c r="RP57" s="236"/>
      <c r="RQ57" s="240"/>
      <c r="RR57" s="235"/>
      <c r="RS57" s="236"/>
      <c r="RT57" s="236"/>
      <c r="RU57" s="236"/>
      <c r="RV57" s="236"/>
      <c r="RW57" s="237"/>
      <c r="RX57" s="236"/>
      <c r="RY57" s="236"/>
      <c r="RZ57" s="236"/>
      <c r="SA57" s="236"/>
      <c r="SB57" s="236"/>
      <c r="SC57" s="238"/>
      <c r="SD57" s="236"/>
      <c r="SE57" s="236"/>
      <c r="SF57" s="236"/>
      <c r="SG57" s="236"/>
      <c r="SH57" s="236"/>
      <c r="SI57" s="239"/>
      <c r="SJ57" s="236"/>
      <c r="SK57" s="236"/>
      <c r="SL57" s="236"/>
      <c r="SM57" s="236"/>
      <c r="SN57" s="236"/>
      <c r="SO57" s="238"/>
      <c r="SP57" s="236"/>
      <c r="SQ57" s="236"/>
      <c r="SR57" s="236"/>
      <c r="SS57" s="236"/>
      <c r="ST57" s="236"/>
      <c r="SU57" s="239"/>
      <c r="SV57" s="236"/>
      <c r="SW57" s="236"/>
      <c r="SX57" s="236"/>
      <c r="SY57" s="236"/>
      <c r="SZ57" s="236"/>
      <c r="TA57" s="238"/>
      <c r="TB57" s="236"/>
      <c r="TC57" s="236"/>
      <c r="TD57" s="236"/>
      <c r="TE57" s="236"/>
      <c r="TF57" s="236"/>
      <c r="TG57" s="239"/>
      <c r="TH57" s="236"/>
      <c r="TI57" s="236"/>
      <c r="TJ57" s="236"/>
      <c r="TK57" s="236"/>
      <c r="TL57" s="236"/>
      <c r="TM57" s="238"/>
      <c r="TN57" s="236"/>
      <c r="TO57" s="236"/>
      <c r="TP57" s="236"/>
      <c r="TQ57" s="236"/>
      <c r="TR57" s="236"/>
      <c r="TS57" s="239"/>
      <c r="TT57" s="236"/>
      <c r="TU57" s="236"/>
      <c r="TV57" s="236"/>
      <c r="TW57" s="236"/>
      <c r="TX57" s="236"/>
      <c r="TY57" s="240"/>
      <c r="TZ57" s="235"/>
      <c r="UA57" s="236"/>
      <c r="UB57" s="236"/>
      <c r="UC57" s="236"/>
      <c r="UD57" s="236"/>
      <c r="UE57" s="237"/>
      <c r="UF57" s="236"/>
      <c r="UG57" s="236"/>
      <c r="UH57" s="236"/>
      <c r="UI57" s="236"/>
      <c r="UJ57" s="236"/>
      <c r="UK57" s="238"/>
      <c r="UL57" s="236"/>
      <c r="UM57" s="236"/>
      <c r="UN57" s="236"/>
      <c r="UO57" s="236"/>
      <c r="UP57" s="236"/>
      <c r="UQ57" s="239"/>
      <c r="UR57" s="236"/>
      <c r="US57" s="236"/>
      <c r="UT57" s="236"/>
      <c r="UU57" s="236"/>
      <c r="UV57" s="236"/>
      <c r="UW57" s="238"/>
      <c r="UX57" s="236"/>
      <c r="UY57" s="236"/>
      <c r="UZ57" s="236"/>
      <c r="VA57" s="236"/>
      <c r="VB57" s="236"/>
      <c r="VC57" s="239"/>
      <c r="VD57" s="236"/>
      <c r="VE57" s="236"/>
      <c r="VF57" s="236"/>
      <c r="VG57" s="236"/>
      <c r="VH57" s="236"/>
      <c r="VI57" s="238"/>
      <c r="VJ57" s="236"/>
      <c r="VK57" s="236"/>
      <c r="VL57" s="236"/>
      <c r="VM57" s="236"/>
      <c r="VN57" s="236"/>
      <c r="VO57" s="239"/>
      <c r="VP57" s="236"/>
      <c r="VQ57" s="236"/>
      <c r="VR57" s="236"/>
      <c r="VS57" s="236"/>
      <c r="VT57" s="236"/>
      <c r="VU57" s="238"/>
      <c r="VV57" s="236"/>
      <c r="VW57" s="236"/>
      <c r="VX57" s="236"/>
      <c r="VY57" s="236"/>
      <c r="VZ57" s="236"/>
      <c r="WA57" s="239"/>
      <c r="WB57" s="236"/>
      <c r="WC57" s="236"/>
      <c r="WD57" s="236"/>
      <c r="WE57" s="236"/>
      <c r="WF57" s="236"/>
      <c r="WG57" s="240"/>
      <c r="WH57" s="235"/>
      <c r="WI57" s="236"/>
      <c r="WJ57" s="236"/>
      <c r="WK57" s="236"/>
      <c r="WL57" s="236"/>
      <c r="WM57" s="237"/>
      <c r="WN57" s="236"/>
      <c r="WO57" s="236"/>
      <c r="WP57" s="236"/>
      <c r="WQ57" s="236"/>
      <c r="WR57" s="236"/>
      <c r="WS57" s="238"/>
      <c r="WT57" s="236"/>
      <c r="WU57" s="236"/>
      <c r="WV57" s="236"/>
      <c r="WW57" s="236"/>
      <c r="WX57" s="236"/>
      <c r="WY57" s="239"/>
      <c r="WZ57" s="236"/>
      <c r="XA57" s="236"/>
      <c r="XB57" s="236"/>
      <c r="XC57" s="236"/>
      <c r="XD57" s="236"/>
      <c r="XE57" s="238"/>
      <c r="XF57" s="236"/>
      <c r="XG57" s="236"/>
      <c r="XH57" s="236"/>
      <c r="XI57" s="236"/>
      <c r="XJ57" s="236"/>
      <c r="XK57" s="239"/>
      <c r="XL57" s="236"/>
      <c r="XM57" s="236"/>
      <c r="XN57" s="236"/>
      <c r="XO57" s="236"/>
      <c r="XP57" s="236"/>
      <c r="XQ57" s="238"/>
      <c r="XR57" s="236"/>
      <c r="XS57" s="236"/>
      <c r="XT57" s="236"/>
      <c r="XU57" s="236"/>
      <c r="XV57" s="236"/>
      <c r="XW57" s="239"/>
      <c r="XX57" s="236"/>
      <c r="XY57" s="236"/>
      <c r="XZ57" s="236"/>
      <c r="YA57" s="236"/>
      <c r="YB57" s="236"/>
      <c r="YC57" s="238"/>
      <c r="YD57" s="236"/>
      <c r="YE57" s="236"/>
      <c r="YF57" s="236"/>
      <c r="YG57" s="236"/>
      <c r="YH57" s="236"/>
      <c r="YI57" s="239"/>
      <c r="YJ57" s="236"/>
      <c r="YK57" s="236"/>
      <c r="YL57" s="236"/>
      <c r="YM57" s="236"/>
      <c r="YN57" s="236"/>
      <c r="YO57" s="240"/>
      <c r="YP57" s="235"/>
      <c r="YQ57" s="236"/>
      <c r="YR57" s="236"/>
      <c r="YS57" s="236"/>
      <c r="YT57" s="236"/>
      <c r="YU57" s="237"/>
      <c r="YV57" s="236"/>
      <c r="YW57" s="236"/>
      <c r="YX57" s="236"/>
      <c r="YY57" s="236"/>
      <c r="YZ57" s="236"/>
      <c r="ZA57" s="238"/>
      <c r="ZB57" s="236"/>
      <c r="ZC57" s="236"/>
      <c r="ZD57" s="236"/>
      <c r="ZE57" s="236"/>
      <c r="ZF57" s="236"/>
      <c r="ZG57" s="239"/>
      <c r="ZH57" s="236"/>
      <c r="ZI57" s="236"/>
      <c r="ZJ57" s="236"/>
      <c r="ZK57" s="236"/>
      <c r="ZL57" s="236"/>
      <c r="ZM57" s="238"/>
      <c r="ZN57" s="236"/>
      <c r="ZO57" s="236"/>
      <c r="ZP57" s="236"/>
      <c r="ZQ57" s="236"/>
      <c r="ZR57" s="236"/>
      <c r="ZS57" s="239"/>
      <c r="ZT57" s="236"/>
      <c r="ZU57" s="236"/>
      <c r="ZV57" s="236"/>
      <c r="ZW57" s="236"/>
      <c r="ZX57" s="236"/>
      <c r="ZY57" s="238"/>
      <c r="ZZ57" s="236"/>
      <c r="AAA57" s="236"/>
      <c r="AAB57" s="236"/>
      <c r="AAC57" s="236"/>
      <c r="AAD57" s="236"/>
      <c r="AAE57" s="239"/>
      <c r="AAF57" s="236"/>
      <c r="AAG57" s="236"/>
      <c r="AAH57" s="236"/>
      <c r="AAI57" s="236"/>
      <c r="AAJ57" s="236"/>
      <c r="AAK57" s="238"/>
      <c r="AAL57" s="236"/>
      <c r="AAM57" s="236"/>
      <c r="AAN57" s="236"/>
      <c r="AAO57" s="236"/>
      <c r="AAP57" s="236"/>
      <c r="AAQ57" s="239"/>
      <c r="AAR57" s="236"/>
      <c r="AAS57" s="236"/>
      <c r="AAT57" s="236"/>
      <c r="AAU57" s="236"/>
      <c r="AAV57" s="236"/>
      <c r="AAW57" s="240"/>
      <c r="AAX57" s="235"/>
      <c r="AAY57" s="236"/>
      <c r="AAZ57" s="236"/>
      <c r="ABA57" s="236"/>
      <c r="ABB57" s="236"/>
      <c r="ABC57" s="237"/>
      <c r="ABD57" s="236"/>
      <c r="ABE57" s="236"/>
      <c r="ABF57" s="236"/>
      <c r="ABG57" s="236"/>
      <c r="ABH57" s="236"/>
      <c r="ABI57" s="238"/>
      <c r="ABJ57" s="236"/>
      <c r="ABK57" s="236"/>
      <c r="ABL57" s="236"/>
      <c r="ABM57" s="236"/>
      <c r="ABN57" s="236"/>
      <c r="ABO57" s="239"/>
      <c r="ABP57" s="236"/>
      <c r="ABQ57" s="236"/>
      <c r="ABR57" s="236"/>
      <c r="ABS57" s="236"/>
      <c r="ABT57" s="236"/>
      <c r="ABU57" s="238"/>
      <c r="ABV57" s="236"/>
      <c r="ABW57" s="236"/>
      <c r="ABX57" s="236"/>
      <c r="ABY57" s="236"/>
      <c r="ABZ57" s="236"/>
      <c r="ACA57" s="239"/>
      <c r="ACB57" s="236"/>
      <c r="ACC57" s="236"/>
      <c r="ACD57" s="236"/>
      <c r="ACE57" s="236"/>
      <c r="ACF57" s="236"/>
      <c r="ACG57" s="238"/>
      <c r="ACH57" s="236"/>
      <c r="ACI57" s="236"/>
      <c r="ACJ57" s="236"/>
      <c r="ACK57" s="236"/>
      <c r="ACL57" s="236"/>
      <c r="ACM57" s="239"/>
      <c r="ACN57" s="236"/>
      <c r="ACO57" s="236"/>
      <c r="ACP57" s="236"/>
      <c r="ACQ57" s="236"/>
      <c r="ACR57" s="236"/>
      <c r="ACS57" s="238"/>
      <c r="ACT57" s="236"/>
      <c r="ACU57" s="236"/>
      <c r="ACV57" s="236"/>
      <c r="ACW57" s="236"/>
      <c r="ACX57" s="236"/>
      <c r="ACY57" s="239"/>
      <c r="ACZ57" s="236"/>
      <c r="ADA57" s="236"/>
      <c r="ADB57" s="236"/>
      <c r="ADC57" s="236"/>
      <c r="ADD57" s="236"/>
      <c r="ADE57" s="240"/>
      <c r="ADF57" s="235"/>
      <c r="ADG57" s="236"/>
      <c r="ADH57" s="236"/>
      <c r="ADI57" s="236"/>
      <c r="ADJ57" s="236"/>
      <c r="ADK57" s="237"/>
      <c r="ADL57" s="236"/>
      <c r="ADM57" s="236"/>
      <c r="ADN57" s="236"/>
      <c r="ADO57" s="236"/>
      <c r="ADP57" s="236"/>
      <c r="ADQ57" s="238"/>
      <c r="ADR57" s="236"/>
      <c r="ADS57" s="236"/>
      <c r="ADT57" s="236"/>
      <c r="ADU57" s="236"/>
      <c r="ADV57" s="236"/>
      <c r="ADW57" s="239"/>
      <c r="ADX57" s="236"/>
      <c r="ADY57" s="236"/>
      <c r="ADZ57" s="236"/>
      <c r="AEA57" s="236"/>
      <c r="AEB57" s="236"/>
      <c r="AEC57" s="238"/>
      <c r="AED57" s="236"/>
      <c r="AEE57" s="236"/>
      <c r="AEF57" s="236"/>
      <c r="AEG57" s="236"/>
      <c r="AEH57" s="236"/>
      <c r="AEI57" s="239"/>
      <c r="AEJ57" s="236"/>
      <c r="AEK57" s="236"/>
      <c r="AEL57" s="236"/>
      <c r="AEM57" s="236"/>
      <c r="AEN57" s="236"/>
      <c r="AEO57" s="238"/>
      <c r="AEP57" s="236"/>
      <c r="AEQ57" s="236"/>
      <c r="AER57" s="236"/>
      <c r="AES57" s="236"/>
      <c r="AET57" s="236"/>
      <c r="AEU57" s="239"/>
      <c r="AEV57" s="236"/>
      <c r="AEW57" s="236"/>
      <c r="AEX57" s="236"/>
      <c r="AEY57" s="236"/>
      <c r="AEZ57" s="236"/>
      <c r="AFA57" s="238"/>
      <c r="AFB57" s="236"/>
      <c r="AFC57" s="236"/>
      <c r="AFD57" s="236"/>
      <c r="AFE57" s="236"/>
      <c r="AFF57" s="236"/>
      <c r="AFG57" s="239"/>
      <c r="AFH57" s="236"/>
      <c r="AFI57" s="236"/>
      <c r="AFJ57" s="236"/>
      <c r="AFK57" s="236"/>
      <c r="AFL57" s="236"/>
      <c r="AFM57" s="240"/>
      <c r="AFN57" s="235"/>
      <c r="AFO57" s="236"/>
      <c r="AFP57" s="236"/>
      <c r="AFQ57" s="236"/>
      <c r="AFR57" s="236"/>
      <c r="AFS57" s="237"/>
      <c r="AFT57" s="236"/>
      <c r="AFU57" s="236"/>
      <c r="AFV57" s="236"/>
      <c r="AFW57" s="236"/>
      <c r="AFX57" s="236"/>
      <c r="AFY57" s="238"/>
      <c r="AFZ57" s="236"/>
      <c r="AGA57" s="236"/>
      <c r="AGB57" s="236"/>
      <c r="AGC57" s="236"/>
      <c r="AGD57" s="236"/>
      <c r="AGE57" s="239"/>
      <c r="AGF57" s="236"/>
      <c r="AGG57" s="236"/>
      <c r="AGH57" s="236"/>
      <c r="AGI57" s="236"/>
      <c r="AGJ57" s="236"/>
      <c r="AGK57" s="238"/>
      <c r="AGL57" s="236"/>
      <c r="AGM57" s="236"/>
      <c r="AGN57" s="236"/>
      <c r="AGO57" s="236"/>
      <c r="AGP57" s="236"/>
      <c r="AGQ57" s="239"/>
      <c r="AGR57" s="236"/>
      <c r="AGS57" s="236"/>
      <c r="AGT57" s="236"/>
      <c r="AGU57" s="236"/>
      <c r="AGV57" s="236"/>
      <c r="AGW57" s="238"/>
      <c r="AGX57" s="236"/>
      <c r="AGY57" s="236"/>
      <c r="AGZ57" s="236"/>
      <c r="AHA57" s="236"/>
      <c r="AHB57" s="236"/>
      <c r="AHC57" s="239"/>
      <c r="AHD57" s="236"/>
      <c r="AHE57" s="236"/>
      <c r="AHF57" s="236"/>
      <c r="AHG57" s="236"/>
      <c r="AHH57" s="236"/>
      <c r="AHI57" s="238"/>
      <c r="AHJ57" s="236"/>
      <c r="AHK57" s="236"/>
      <c r="AHL57" s="236"/>
      <c r="AHM57" s="236"/>
      <c r="AHN57" s="236"/>
      <c r="AHO57" s="239"/>
      <c r="AHP57" s="236"/>
      <c r="AHQ57" s="236"/>
      <c r="AHR57" s="236"/>
      <c r="AHS57" s="236"/>
      <c r="AHT57" s="236"/>
      <c r="AHU57" s="240"/>
      <c r="AHV57" s="235"/>
      <c r="AHW57" s="236"/>
      <c r="AHX57" s="236"/>
      <c r="AHY57" s="236"/>
      <c r="AHZ57" s="236"/>
      <c r="AIA57" s="237"/>
      <c r="AIB57" s="236"/>
      <c r="AIC57" s="236"/>
      <c r="AID57" s="236"/>
      <c r="AIE57" s="236"/>
      <c r="AIF57" s="236"/>
      <c r="AIG57" s="238"/>
      <c r="AIH57" s="236"/>
      <c r="AII57" s="236"/>
      <c r="AIJ57" s="236"/>
      <c r="AIK57" s="236"/>
      <c r="AIL57" s="236"/>
      <c r="AIM57" s="239"/>
      <c r="AIN57" s="236"/>
      <c r="AIO57" s="236"/>
      <c r="AIP57" s="236"/>
      <c r="AIQ57" s="236"/>
      <c r="AIR57" s="236"/>
      <c r="AIS57" s="238"/>
      <c r="AIT57" s="236"/>
      <c r="AIU57" s="236"/>
      <c r="AIV57" s="236"/>
      <c r="AIW57" s="236"/>
      <c r="AIX57" s="236"/>
      <c r="AIY57" s="239"/>
      <c r="AIZ57" s="236"/>
      <c r="AJA57" s="236"/>
      <c r="AJB57" s="236"/>
      <c r="AJC57" s="236"/>
      <c r="AJD57" s="236"/>
      <c r="AJE57" s="238"/>
      <c r="AJF57" s="236"/>
      <c r="AJG57" s="236"/>
      <c r="AJH57" s="236"/>
      <c r="AJI57" s="236"/>
      <c r="AJJ57" s="236"/>
      <c r="AJK57" s="239"/>
      <c r="AJL57" s="236"/>
      <c r="AJM57" s="236"/>
      <c r="AJN57" s="236"/>
      <c r="AJO57" s="236"/>
      <c r="AJP57" s="236"/>
      <c r="AJQ57" s="238"/>
      <c r="AJR57" s="236"/>
      <c r="AJS57" s="236"/>
      <c r="AJT57" s="236"/>
      <c r="AJU57" s="236"/>
      <c r="AJV57" s="236"/>
      <c r="AJW57" s="239"/>
      <c r="AJX57" s="236"/>
      <c r="AJY57" s="236"/>
      <c r="AJZ57" s="236"/>
      <c r="AKA57" s="236"/>
      <c r="AKB57" s="236"/>
      <c r="AKC57" s="240"/>
      <c r="AKD57" s="235"/>
      <c r="AKE57" s="236"/>
      <c r="AKF57" s="236"/>
      <c r="AKG57" s="236"/>
      <c r="AKH57" s="236"/>
      <c r="AKI57" s="237"/>
      <c r="AKJ57" s="236"/>
      <c r="AKK57" s="236"/>
      <c r="AKL57" s="236"/>
      <c r="AKM57" s="236"/>
      <c r="AKN57" s="236"/>
      <c r="AKO57" s="238"/>
      <c r="AKP57" s="236"/>
      <c r="AKQ57" s="236"/>
      <c r="AKR57" s="236"/>
      <c r="AKS57" s="236"/>
      <c r="AKT57" s="236"/>
      <c r="AKU57" s="239"/>
      <c r="AKV57" s="236"/>
      <c r="AKW57" s="236"/>
      <c r="AKX57" s="236"/>
      <c r="AKY57" s="236"/>
      <c r="AKZ57" s="236"/>
      <c r="ALA57" s="238"/>
      <c r="ALB57" s="236"/>
      <c r="ALC57" s="236"/>
      <c r="ALD57" s="236"/>
      <c r="ALE57" s="236"/>
      <c r="ALF57" s="236"/>
      <c r="ALG57" s="239"/>
      <c r="ALH57" s="236"/>
      <c r="ALI57" s="236"/>
      <c r="ALJ57" s="236"/>
      <c r="ALK57" s="236"/>
      <c r="ALL57" s="236"/>
      <c r="ALM57" s="238"/>
      <c r="ALN57" s="236"/>
      <c r="ALO57" s="236"/>
      <c r="ALP57" s="236"/>
      <c r="ALQ57" s="236"/>
      <c r="ALR57" s="236"/>
      <c r="ALS57" s="239"/>
      <c r="ALT57" s="236"/>
      <c r="ALU57" s="236"/>
      <c r="ALV57" s="236"/>
      <c r="ALW57" s="236"/>
      <c r="ALX57" s="236"/>
      <c r="ALY57" s="238"/>
      <c r="ALZ57" s="236"/>
      <c r="AMA57" s="236"/>
      <c r="AMB57" s="236"/>
      <c r="AMC57" s="236"/>
      <c r="AMD57" s="236"/>
      <c r="AME57" s="239"/>
      <c r="AMF57" s="236"/>
      <c r="AMG57" s="236"/>
      <c r="AMH57" s="236"/>
      <c r="AMI57" s="236"/>
      <c r="AMJ57" s="236"/>
      <c r="AMK57" s="240"/>
      <c r="AML57" s="235"/>
      <c r="AMM57" s="236"/>
      <c r="AMN57" s="236"/>
      <c r="AMO57" s="236"/>
      <c r="AMP57" s="236"/>
      <c r="AMQ57" s="237"/>
      <c r="AMR57" s="236"/>
      <c r="AMS57" s="236"/>
      <c r="AMT57" s="236"/>
      <c r="AMU57" s="236"/>
      <c r="AMV57" s="236"/>
      <c r="AMW57" s="238"/>
      <c r="AMX57" s="236"/>
      <c r="AMY57" s="236"/>
      <c r="AMZ57" s="236"/>
      <c r="ANA57" s="236"/>
      <c r="ANB57" s="236"/>
      <c r="ANC57" s="239"/>
      <c r="AND57" s="236"/>
      <c r="ANE57" s="236"/>
      <c r="ANF57" s="236"/>
      <c r="ANG57" s="236"/>
      <c r="ANH57" s="236"/>
      <c r="ANI57" s="238"/>
      <c r="ANJ57" s="236"/>
      <c r="ANK57" s="236"/>
      <c r="ANL57" s="236"/>
      <c r="ANM57" s="236"/>
      <c r="ANN57" s="236"/>
      <c r="ANO57" s="239"/>
      <c r="ANP57" s="236"/>
      <c r="ANQ57" s="236"/>
      <c r="ANR57" s="236"/>
      <c r="ANS57" s="236"/>
      <c r="ANT57" s="236"/>
      <c r="ANU57" s="238"/>
      <c r="ANV57" s="236"/>
      <c r="ANW57" s="236"/>
      <c r="ANX57" s="236"/>
      <c r="ANY57" s="236"/>
      <c r="ANZ57" s="236"/>
      <c r="AOA57" s="239"/>
      <c r="AOB57" s="236"/>
      <c r="AOC57" s="236"/>
      <c r="AOD57" s="236"/>
      <c r="AOE57" s="236"/>
      <c r="AOF57" s="236"/>
      <c r="AOG57" s="238"/>
      <c r="AOH57" s="236"/>
      <c r="AOI57" s="236"/>
      <c r="AOJ57" s="236"/>
      <c r="AOK57" s="236"/>
      <c r="AOL57" s="236"/>
      <c r="AOM57" s="239"/>
      <c r="AON57" s="236"/>
      <c r="AOO57" s="236"/>
      <c r="AOP57" s="236"/>
      <c r="AOQ57" s="236"/>
      <c r="AOR57" s="236"/>
      <c r="AOS57" s="240"/>
      <c r="AOT57" s="235"/>
      <c r="AOU57" s="236"/>
      <c r="AOV57" s="236"/>
      <c r="AOW57" s="236"/>
      <c r="AOX57" s="236"/>
      <c r="AOY57" s="237"/>
      <c r="AOZ57" s="236"/>
      <c r="APA57" s="236"/>
      <c r="APB57" s="236"/>
      <c r="APC57" s="236"/>
      <c r="APD57" s="236"/>
      <c r="APE57" s="238"/>
      <c r="APF57" s="236"/>
      <c r="APG57" s="236"/>
      <c r="APH57" s="236"/>
      <c r="API57" s="236"/>
      <c r="APJ57" s="236"/>
      <c r="APK57" s="239"/>
      <c r="APL57" s="236"/>
      <c r="APM57" s="236"/>
      <c r="APN57" s="236"/>
      <c r="APO57" s="236"/>
      <c r="APP57" s="236"/>
      <c r="APQ57" s="238"/>
      <c r="APR57" s="236"/>
      <c r="APS57" s="236"/>
      <c r="APT57" s="236"/>
      <c r="APU57" s="236"/>
      <c r="APV57" s="236"/>
      <c r="APW57" s="239"/>
      <c r="APX57" s="236"/>
      <c r="APY57" s="236"/>
      <c r="APZ57" s="236"/>
      <c r="AQA57" s="236"/>
      <c r="AQB57" s="236"/>
      <c r="AQC57" s="238"/>
      <c r="AQD57" s="236"/>
      <c r="AQE57" s="236"/>
      <c r="AQF57" s="236"/>
      <c r="AQG57" s="236"/>
      <c r="AQH57" s="236"/>
      <c r="AQI57" s="239"/>
      <c r="AQJ57" s="236"/>
      <c r="AQK57" s="236"/>
      <c r="AQL57" s="236"/>
      <c r="AQM57" s="236"/>
      <c r="AQN57" s="236"/>
      <c r="AQO57" s="238"/>
      <c r="AQP57" s="236"/>
      <c r="AQQ57" s="236"/>
      <c r="AQR57" s="236"/>
      <c r="AQS57" s="236"/>
      <c r="AQT57" s="236"/>
      <c r="AQU57" s="239"/>
      <c r="AQV57" s="236"/>
      <c r="AQW57" s="236"/>
      <c r="AQX57" s="236"/>
      <c r="AQY57" s="236"/>
      <c r="AQZ57" s="236"/>
      <c r="ARA57" s="240"/>
      <c r="ARB57" s="235"/>
      <c r="ARC57" s="236"/>
      <c r="ARD57" s="236"/>
      <c r="ARE57" s="236"/>
      <c r="ARF57" s="236"/>
      <c r="ARG57" s="237"/>
      <c r="ARH57" s="236"/>
      <c r="ARI57" s="236"/>
      <c r="ARJ57" s="236"/>
      <c r="ARK57" s="236"/>
      <c r="ARL57" s="236"/>
      <c r="ARM57" s="238"/>
      <c r="ARN57" s="236"/>
      <c r="ARO57" s="236"/>
      <c r="ARP57" s="236"/>
      <c r="ARQ57" s="236"/>
      <c r="ARR57" s="236"/>
      <c r="ARS57" s="239"/>
      <c r="ART57" s="236"/>
      <c r="ARU57" s="236"/>
      <c r="ARV57" s="236"/>
      <c r="ARW57" s="236"/>
      <c r="ARX57" s="236"/>
      <c r="ARY57" s="238"/>
      <c r="ARZ57" s="236"/>
      <c r="ASA57" s="236"/>
      <c r="ASB57" s="236"/>
      <c r="ASC57" s="236"/>
      <c r="ASD57" s="236"/>
      <c r="ASE57" s="239"/>
      <c r="ASF57" s="236"/>
      <c r="ASG57" s="236"/>
      <c r="ASH57" s="236"/>
      <c r="ASI57" s="236"/>
      <c r="ASJ57" s="236"/>
      <c r="ASK57" s="238"/>
      <c r="ASL57" s="236"/>
      <c r="ASM57" s="236"/>
      <c r="ASN57" s="236"/>
      <c r="ASO57" s="236"/>
      <c r="ASP57" s="236"/>
      <c r="ASQ57" s="239"/>
      <c r="ASR57" s="236"/>
      <c r="ASS57" s="236"/>
      <c r="AST57" s="236"/>
      <c r="ASU57" s="236"/>
      <c r="ASV57" s="236"/>
      <c r="ASW57" s="238"/>
      <c r="ASX57" s="236"/>
      <c r="ASY57" s="236"/>
      <c r="ASZ57" s="236"/>
      <c r="ATA57" s="236"/>
      <c r="ATB57" s="236"/>
      <c r="ATC57" s="239"/>
      <c r="ATD57" s="236"/>
      <c r="ATE57" s="236"/>
      <c r="ATF57" s="236"/>
      <c r="ATG57" s="236"/>
      <c r="ATH57" s="236"/>
      <c r="ATI57" s="240"/>
      <c r="ATJ57" s="235"/>
      <c r="ATK57" s="236"/>
      <c r="ATL57" s="236"/>
      <c r="ATM57" s="236"/>
      <c r="ATN57" s="236"/>
      <c r="ATO57" s="237"/>
      <c r="ATP57" s="236"/>
      <c r="ATQ57" s="236"/>
      <c r="ATR57" s="236"/>
      <c r="ATS57" s="236"/>
      <c r="ATT57" s="236"/>
      <c r="ATU57" s="238"/>
      <c r="ATV57" s="236"/>
      <c r="ATW57" s="236"/>
      <c r="ATX57" s="236"/>
      <c r="ATY57" s="236"/>
      <c r="ATZ57" s="236"/>
      <c r="AUA57" s="239"/>
      <c r="AUB57" s="236"/>
      <c r="AUC57" s="236"/>
      <c r="AUD57" s="236"/>
      <c r="AUE57" s="236"/>
      <c r="AUF57" s="236"/>
      <c r="AUG57" s="238"/>
      <c r="AUH57" s="236"/>
      <c r="AUI57" s="236"/>
      <c r="AUJ57" s="236"/>
      <c r="AUK57" s="236"/>
      <c r="AUL57" s="236"/>
      <c r="AUM57" s="239"/>
      <c r="AUN57" s="236"/>
      <c r="AUO57" s="236"/>
      <c r="AUP57" s="236"/>
      <c r="AUQ57" s="236"/>
      <c r="AUR57" s="236"/>
      <c r="AUS57" s="238"/>
      <c r="AUT57" s="236"/>
      <c r="AUU57" s="236"/>
      <c r="AUV57" s="236"/>
      <c r="AUW57" s="236"/>
      <c r="AUX57" s="236"/>
      <c r="AUY57" s="239"/>
      <c r="AUZ57" s="236"/>
      <c r="AVA57" s="236"/>
      <c r="AVB57" s="236"/>
      <c r="AVC57" s="236"/>
      <c r="AVD57" s="236"/>
      <c r="AVE57" s="238"/>
      <c r="AVF57" s="236"/>
      <c r="AVG57" s="236"/>
      <c r="AVH57" s="236"/>
      <c r="AVI57" s="236"/>
      <c r="AVJ57" s="236"/>
      <c r="AVK57" s="239"/>
      <c r="AVL57" s="236"/>
      <c r="AVM57" s="236"/>
      <c r="AVN57" s="236"/>
      <c r="AVO57" s="236"/>
      <c r="AVP57" s="236"/>
      <c r="AVQ57" s="240"/>
      <c r="AVR57" s="235"/>
      <c r="AVS57" s="236"/>
      <c r="AVT57" s="236"/>
      <c r="AVU57" s="236"/>
      <c r="AVV57" s="236"/>
      <c r="AVW57" s="237"/>
      <c r="AVX57" s="236"/>
      <c r="AVY57" s="236"/>
      <c r="AVZ57" s="236"/>
      <c r="AWA57" s="236"/>
      <c r="AWB57" s="236"/>
      <c r="AWC57" s="238"/>
      <c r="AWD57" s="236"/>
      <c r="AWE57" s="236"/>
      <c r="AWF57" s="236"/>
      <c r="AWG57" s="236"/>
      <c r="AWH57" s="236"/>
      <c r="AWI57" s="239"/>
      <c r="AWJ57" s="236"/>
      <c r="AWK57" s="236"/>
      <c r="AWL57" s="236"/>
      <c r="AWM57" s="236"/>
      <c r="AWN57" s="236"/>
      <c r="AWO57" s="238"/>
      <c r="AWP57" s="236"/>
      <c r="AWQ57" s="236"/>
      <c r="AWR57" s="236"/>
      <c r="AWS57" s="236"/>
      <c r="AWT57" s="236"/>
      <c r="AWU57" s="239"/>
      <c r="AWV57" s="236"/>
      <c r="AWW57" s="236"/>
      <c r="AWX57" s="236"/>
      <c r="AWY57" s="236"/>
      <c r="AWZ57" s="236"/>
      <c r="AXA57" s="238"/>
      <c r="AXB57" s="236"/>
      <c r="AXC57" s="236"/>
      <c r="AXD57" s="236"/>
      <c r="AXE57" s="236"/>
      <c r="AXF57" s="236"/>
      <c r="AXG57" s="239"/>
      <c r="AXH57" s="236"/>
      <c r="AXI57" s="236"/>
      <c r="AXJ57" s="236"/>
      <c r="AXK57" s="236"/>
      <c r="AXL57" s="236"/>
      <c r="AXM57" s="238"/>
      <c r="AXN57" s="236"/>
      <c r="AXO57" s="236"/>
      <c r="AXP57" s="236"/>
      <c r="AXQ57" s="236"/>
      <c r="AXR57" s="236"/>
      <c r="AXS57" s="239"/>
      <c r="AXT57" s="236"/>
      <c r="AXU57" s="236"/>
      <c r="AXV57" s="236"/>
      <c r="AXW57" s="236"/>
      <c r="AXX57" s="236"/>
      <c r="AXY57" s="240"/>
      <c r="AXZ57" s="235"/>
      <c r="AYA57" s="236"/>
      <c r="AYB57" s="236"/>
      <c r="AYC57" s="236"/>
      <c r="AYD57" s="236"/>
      <c r="AYE57" s="237"/>
      <c r="AYF57" s="236"/>
      <c r="AYG57" s="236"/>
      <c r="AYH57" s="236"/>
      <c r="AYI57" s="236"/>
      <c r="AYJ57" s="236"/>
      <c r="AYK57" s="238"/>
      <c r="AYL57" s="236"/>
      <c r="AYM57" s="236"/>
      <c r="AYN57" s="236"/>
      <c r="AYO57" s="236"/>
      <c r="AYP57" s="236"/>
      <c r="AYQ57" s="239"/>
      <c r="AYR57" s="236"/>
      <c r="AYS57" s="236"/>
      <c r="AYT57" s="236"/>
      <c r="AYU57" s="236"/>
      <c r="AYV57" s="236"/>
      <c r="AYW57" s="238"/>
      <c r="AYX57" s="236"/>
      <c r="AYY57" s="236"/>
      <c r="AYZ57" s="236"/>
      <c r="AZA57" s="236"/>
      <c r="AZB57" s="236"/>
      <c r="AZC57" s="239"/>
      <c r="AZD57" s="236"/>
      <c r="AZE57" s="236"/>
      <c r="AZF57" s="236"/>
      <c r="AZG57" s="236"/>
      <c r="AZH57" s="236"/>
      <c r="AZI57" s="238"/>
      <c r="AZJ57" s="236"/>
      <c r="AZK57" s="236"/>
      <c r="AZL57" s="236"/>
      <c r="AZM57" s="236"/>
      <c r="AZN57" s="236"/>
      <c r="AZO57" s="239"/>
      <c r="AZP57" s="236"/>
      <c r="AZQ57" s="236"/>
      <c r="AZR57" s="236"/>
      <c r="AZS57" s="236"/>
      <c r="AZT57" s="236"/>
      <c r="AZU57" s="238"/>
      <c r="AZV57" s="236"/>
      <c r="AZW57" s="236"/>
      <c r="AZX57" s="236"/>
      <c r="AZY57" s="236"/>
      <c r="AZZ57" s="236"/>
      <c r="BAA57" s="239"/>
      <c r="BAB57" s="236"/>
      <c r="BAC57" s="236"/>
      <c r="BAD57" s="236"/>
      <c r="BAE57" s="236"/>
      <c r="BAF57" s="236"/>
      <c r="BAG57" s="240"/>
      <c r="BAH57" s="235"/>
      <c r="BAI57" s="236"/>
      <c r="BAJ57" s="236"/>
      <c r="BAK57" s="236"/>
      <c r="BAL57" s="236"/>
      <c r="BAM57" s="237"/>
      <c r="BAN57" s="236"/>
      <c r="BAO57" s="236"/>
      <c r="BAP57" s="236"/>
      <c r="BAQ57" s="236"/>
      <c r="BAR57" s="236"/>
      <c r="BAS57" s="238"/>
      <c r="BAT57" s="236"/>
      <c r="BAU57" s="236"/>
      <c r="BAV57" s="236"/>
      <c r="BAW57" s="236"/>
      <c r="BAX57" s="236"/>
      <c r="BAY57" s="239"/>
      <c r="BAZ57" s="236"/>
      <c r="BBA57" s="236"/>
      <c r="BBB57" s="236"/>
      <c r="BBC57" s="236"/>
      <c r="BBD57" s="236"/>
      <c r="BBE57" s="238"/>
      <c r="BBF57" s="236"/>
      <c r="BBG57" s="236"/>
      <c r="BBH57" s="236"/>
      <c r="BBI57" s="236"/>
      <c r="BBJ57" s="236"/>
      <c r="BBK57" s="239"/>
      <c r="BBL57" s="236"/>
      <c r="BBM57" s="236"/>
      <c r="BBN57" s="236"/>
      <c r="BBO57" s="236"/>
      <c r="BBP57" s="236"/>
      <c r="BBQ57" s="238"/>
      <c r="BBR57" s="236"/>
      <c r="BBS57" s="236"/>
      <c r="BBT57" s="236"/>
      <c r="BBU57" s="236"/>
      <c r="BBV57" s="236"/>
      <c r="BBW57" s="239"/>
      <c r="BBX57" s="236"/>
      <c r="BBY57" s="236"/>
      <c r="BBZ57" s="236"/>
      <c r="BCA57" s="236"/>
      <c r="BCB57" s="236"/>
      <c r="BCC57" s="238"/>
      <c r="BCD57" s="236"/>
      <c r="BCE57" s="236"/>
      <c r="BCF57" s="236"/>
      <c r="BCG57" s="236"/>
      <c r="BCH57" s="236"/>
      <c r="BCI57" s="239"/>
      <c r="BCJ57" s="236"/>
      <c r="BCK57" s="236"/>
      <c r="BCL57" s="236"/>
      <c r="BCM57" s="236"/>
      <c r="BCN57" s="236"/>
      <c r="BCO57" s="240"/>
      <c r="BCP57" s="235"/>
      <c r="BCQ57" s="236"/>
      <c r="BCR57" s="236"/>
      <c r="BCS57" s="236"/>
      <c r="BCT57" s="236"/>
      <c r="BCU57" s="237"/>
      <c r="BCV57" s="236"/>
      <c r="BCW57" s="236"/>
      <c r="BCX57" s="236"/>
      <c r="BCY57" s="236"/>
      <c r="BCZ57" s="236"/>
      <c r="BDA57" s="238"/>
      <c r="BDB57" s="236"/>
      <c r="BDC57" s="236"/>
      <c r="BDD57" s="236"/>
      <c r="BDE57" s="236"/>
      <c r="BDF57" s="236"/>
      <c r="BDG57" s="239"/>
      <c r="BDH57" s="236"/>
      <c r="BDI57" s="236"/>
      <c r="BDJ57" s="236"/>
      <c r="BDK57" s="236"/>
      <c r="BDL57" s="236"/>
      <c r="BDM57" s="238"/>
      <c r="BDN57" s="236"/>
      <c r="BDO57" s="236"/>
      <c r="BDP57" s="236"/>
      <c r="BDQ57" s="236"/>
      <c r="BDR57" s="236"/>
      <c r="BDS57" s="239"/>
      <c r="BDT57" s="236"/>
      <c r="BDU57" s="236"/>
      <c r="BDV57" s="236"/>
      <c r="BDW57" s="236"/>
      <c r="BDX57" s="236"/>
      <c r="BDY57" s="238"/>
      <c r="BDZ57" s="236"/>
      <c r="BEA57" s="236"/>
      <c r="BEB57" s="236"/>
      <c r="BEC57" s="236"/>
      <c r="BED57" s="236"/>
      <c r="BEE57" s="239"/>
      <c r="BEF57" s="236"/>
      <c r="BEG57" s="236"/>
      <c r="BEH57" s="236"/>
      <c r="BEI57" s="236"/>
      <c r="BEJ57" s="236"/>
      <c r="BEK57" s="238"/>
      <c r="BEL57" s="236"/>
      <c r="BEM57" s="236"/>
      <c r="BEN57" s="236"/>
      <c r="BEO57" s="236"/>
      <c r="BEP57" s="236"/>
      <c r="BEQ57" s="239"/>
      <c r="BER57" s="236"/>
      <c r="BES57" s="236"/>
      <c r="BET57" s="236"/>
      <c r="BEU57" s="236"/>
      <c r="BEV57" s="236"/>
      <c r="BEW57" s="240"/>
      <c r="BEX57" s="235"/>
      <c r="BEY57" s="236"/>
      <c r="BEZ57" s="236"/>
      <c r="BFA57" s="236"/>
      <c r="BFB57" s="236"/>
      <c r="BFC57" s="237"/>
      <c r="BFD57" s="236"/>
      <c r="BFE57" s="236"/>
      <c r="BFF57" s="236"/>
      <c r="BFG57" s="236"/>
      <c r="BFH57" s="236"/>
      <c r="BFI57" s="238"/>
      <c r="BFJ57" s="236"/>
      <c r="BFK57" s="236"/>
      <c r="BFL57" s="236"/>
      <c r="BFM57" s="236"/>
      <c r="BFN57" s="236"/>
      <c r="BFO57" s="239"/>
      <c r="BFP57" s="236"/>
      <c r="BFQ57" s="236"/>
      <c r="BFR57" s="236"/>
      <c r="BFS57" s="236"/>
      <c r="BFT57" s="236"/>
      <c r="BFU57" s="238"/>
      <c r="BFV57" s="236"/>
      <c r="BFW57" s="236"/>
      <c r="BFX57" s="236"/>
      <c r="BFY57" s="236"/>
      <c r="BFZ57" s="236"/>
      <c r="BGA57" s="239"/>
      <c r="BGB57" s="236"/>
      <c r="BGC57" s="236"/>
      <c r="BGD57" s="236"/>
      <c r="BGE57" s="236"/>
      <c r="BGF57" s="236"/>
      <c r="BGG57" s="238"/>
      <c r="BGH57" s="236"/>
      <c r="BGI57" s="236"/>
      <c r="BGJ57" s="236"/>
      <c r="BGK57" s="236"/>
      <c r="BGL57" s="236"/>
      <c r="BGM57" s="239"/>
      <c r="BGN57" s="236"/>
      <c r="BGO57" s="236"/>
      <c r="BGP57" s="236"/>
      <c r="BGQ57" s="236"/>
      <c r="BGR57" s="236"/>
      <c r="BGS57" s="238"/>
      <c r="BGT57" s="236"/>
      <c r="BGU57" s="236"/>
      <c r="BGV57" s="236"/>
      <c r="BGW57" s="236"/>
      <c r="BGX57" s="236"/>
      <c r="BGY57" s="239"/>
      <c r="BGZ57" s="236"/>
      <c r="BHA57" s="236"/>
      <c r="BHB57" s="236"/>
      <c r="BHC57" s="236"/>
      <c r="BHD57" s="236"/>
      <c r="BHE57" s="240"/>
      <c r="BHF57" s="235"/>
      <c r="BHG57" s="236"/>
      <c r="BHH57" s="236"/>
      <c r="BHI57" s="236"/>
      <c r="BHJ57" s="236"/>
      <c r="BHK57" s="237"/>
      <c r="BHL57" s="236"/>
      <c r="BHM57" s="236"/>
      <c r="BHN57" s="236"/>
      <c r="BHO57" s="236"/>
      <c r="BHP57" s="236"/>
      <c r="BHQ57" s="238"/>
      <c r="BHR57" s="236"/>
      <c r="BHS57" s="236"/>
      <c r="BHT57" s="236"/>
      <c r="BHU57" s="236"/>
      <c r="BHV57" s="236"/>
      <c r="BHW57" s="239"/>
      <c r="BHX57" s="236"/>
      <c r="BHY57" s="236"/>
      <c r="BHZ57" s="236"/>
      <c r="BIA57" s="236"/>
      <c r="BIB57" s="236"/>
      <c r="BIC57" s="238"/>
      <c r="BID57" s="236"/>
      <c r="BIE57" s="236"/>
      <c r="BIF57" s="236"/>
      <c r="BIG57" s="236"/>
      <c r="BIH57" s="236"/>
      <c r="BII57" s="239"/>
      <c r="BIJ57" s="236"/>
      <c r="BIK57" s="236"/>
      <c r="BIL57" s="236"/>
      <c r="BIM57" s="236"/>
      <c r="BIN57" s="236"/>
      <c r="BIO57" s="238"/>
      <c r="BIP57" s="236"/>
      <c r="BIQ57" s="236"/>
      <c r="BIR57" s="236"/>
      <c r="BIS57" s="236"/>
      <c r="BIT57" s="236"/>
      <c r="BIU57" s="239"/>
      <c r="BIV57" s="236"/>
      <c r="BIW57" s="236"/>
      <c r="BIX57" s="236"/>
      <c r="BIY57" s="236"/>
      <c r="BIZ57" s="236"/>
      <c r="BJA57" s="238"/>
      <c r="BJB57" s="236"/>
      <c r="BJC57" s="236"/>
      <c r="BJD57" s="236"/>
      <c r="BJE57" s="236"/>
      <c r="BJF57" s="236"/>
      <c r="BJG57" s="239"/>
      <c r="BJH57" s="236"/>
      <c r="BJI57" s="236"/>
      <c r="BJJ57" s="236"/>
      <c r="BJK57" s="236"/>
      <c r="BJL57" s="236"/>
      <c r="BJM57" s="240"/>
      <c r="BJN57" s="233"/>
      <c r="BJO57" s="234"/>
      <c r="BJP57" s="234"/>
      <c r="BJQ57" s="234"/>
      <c r="BJR57" s="234"/>
      <c r="BJS57" s="234"/>
      <c r="BJT57" s="234"/>
      <c r="BJU57" s="234"/>
      <c r="BJV57" s="234"/>
      <c r="BJW57" s="234"/>
      <c r="BJX57" s="234"/>
      <c r="BJY57" s="234"/>
      <c r="BJZ57" s="234"/>
      <c r="BKA57" s="234"/>
      <c r="BKB57" s="234"/>
      <c r="BKC57" s="234"/>
      <c r="BKD57" s="234"/>
      <c r="BKE57" s="234"/>
      <c r="BKF57" s="234"/>
      <c r="BKG57" s="234"/>
      <c r="BKH57" s="234"/>
      <c r="BKI57" s="234"/>
      <c r="BKJ57" s="234"/>
      <c r="BKK57" s="234"/>
      <c r="BKL57" s="234"/>
      <c r="BKM57" s="234"/>
      <c r="BKN57" s="234"/>
    </row>
    <row r="58" spans="1:1652" ht="20.100000000000001" customHeight="1" x14ac:dyDescent="0.3">
      <c r="A58" s="84" t="s">
        <v>20</v>
      </c>
      <c r="B58" s="53"/>
      <c r="C58" s="189"/>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174"/>
      <c r="BJO58" s="4"/>
      <c r="BJP58" s="4"/>
      <c r="BJQ58" s="4"/>
      <c r="BJR58" s="4"/>
      <c r="BJS58" s="4"/>
      <c r="BJT58" s="4"/>
      <c r="BJU58" s="4"/>
      <c r="BJV58" s="4"/>
      <c r="BJW58" s="4"/>
      <c r="BJX58" s="4"/>
      <c r="BJY58" s="4"/>
      <c r="BJZ58" s="4"/>
      <c r="BKA58" s="4"/>
      <c r="BKB58" s="4"/>
      <c r="BKC58" s="4"/>
      <c r="BKD58" s="4"/>
      <c r="BKE58" s="4"/>
      <c r="BKF58" s="4"/>
      <c r="BKG58" s="4"/>
      <c r="BKH58" s="4"/>
      <c r="BKI58" s="4"/>
      <c r="BKJ58" s="4"/>
      <c r="BKK58" s="4"/>
      <c r="BKL58" s="4"/>
      <c r="BKM58" s="4"/>
      <c r="BKN58" s="4"/>
    </row>
    <row r="59" spans="1:1652" ht="20.100000000000001" customHeight="1" x14ac:dyDescent="0.25">
      <c r="A59" s="84" t="s">
        <v>19</v>
      </c>
      <c r="B59" s="53"/>
      <c r="C59" s="177"/>
      <c r="D59" s="129" t="str">
        <f t="shared" si="0"/>
        <v>0h</v>
      </c>
      <c r="E59" s="26">
        <v>0</v>
      </c>
      <c r="F59" s="241"/>
      <c r="G59" s="242"/>
      <c r="H59" s="242"/>
      <c r="I59" s="242"/>
      <c r="J59" s="242"/>
      <c r="K59" s="243"/>
      <c r="L59" s="242"/>
      <c r="M59" s="242"/>
      <c r="N59" s="242"/>
      <c r="O59" s="242"/>
      <c r="P59" s="242"/>
      <c r="Q59" s="244"/>
      <c r="R59" s="242"/>
      <c r="S59" s="242"/>
      <c r="T59" s="242"/>
      <c r="U59" s="242"/>
      <c r="V59" s="242"/>
      <c r="W59" s="245"/>
      <c r="X59" s="242"/>
      <c r="Y59" s="242"/>
      <c r="Z59" s="242"/>
      <c r="AA59" s="242"/>
      <c r="AB59" s="242"/>
      <c r="AC59" s="244"/>
      <c r="AD59" s="242"/>
      <c r="AE59" s="242"/>
      <c r="AF59" s="242"/>
      <c r="AG59" s="242"/>
      <c r="AH59" s="242"/>
      <c r="AI59" s="245"/>
      <c r="AJ59" s="242"/>
      <c r="AK59" s="242"/>
      <c r="AL59" s="242"/>
      <c r="AM59" s="242"/>
      <c r="AN59" s="242"/>
      <c r="AO59" s="244"/>
      <c r="AP59" s="242"/>
      <c r="AQ59" s="242"/>
      <c r="AR59" s="242"/>
      <c r="AS59" s="242"/>
      <c r="AT59" s="242"/>
      <c r="AU59" s="245"/>
      <c r="AV59" s="242"/>
      <c r="AW59" s="242"/>
      <c r="AX59" s="242"/>
      <c r="AY59" s="242"/>
      <c r="AZ59" s="242"/>
      <c r="BA59" s="244"/>
      <c r="BB59" s="242"/>
      <c r="BC59" s="242"/>
      <c r="BD59" s="242"/>
      <c r="BE59" s="242"/>
      <c r="BF59" s="242"/>
      <c r="BG59" s="245"/>
      <c r="BH59" s="242"/>
      <c r="BI59" s="242"/>
      <c r="BJ59" s="242"/>
      <c r="BK59" s="242"/>
      <c r="BL59" s="242"/>
      <c r="BM59" s="246"/>
      <c r="BN59" s="241"/>
      <c r="BO59" s="242"/>
      <c r="BP59" s="242"/>
      <c r="BQ59" s="242"/>
      <c r="BR59" s="242"/>
      <c r="BS59" s="243"/>
      <c r="BT59" s="242"/>
      <c r="BU59" s="242"/>
      <c r="BV59" s="242"/>
      <c r="BW59" s="242"/>
      <c r="BX59" s="242"/>
      <c r="BY59" s="244"/>
      <c r="BZ59" s="242"/>
      <c r="CA59" s="242"/>
      <c r="CB59" s="242"/>
      <c r="CC59" s="242"/>
      <c r="CD59" s="242"/>
      <c r="CE59" s="245"/>
      <c r="CF59" s="242"/>
      <c r="CG59" s="242"/>
      <c r="CH59" s="242"/>
      <c r="CI59" s="242"/>
      <c r="CJ59" s="242"/>
      <c r="CK59" s="244"/>
      <c r="CL59" s="242"/>
      <c r="CM59" s="242"/>
      <c r="CN59" s="242"/>
      <c r="CO59" s="242"/>
      <c r="CP59" s="242"/>
      <c r="CQ59" s="245"/>
      <c r="CR59" s="242"/>
      <c r="CS59" s="242"/>
      <c r="CT59" s="242"/>
      <c r="CU59" s="242"/>
      <c r="CV59" s="242"/>
      <c r="CW59" s="244"/>
      <c r="CX59" s="242"/>
      <c r="CY59" s="242"/>
      <c r="CZ59" s="242"/>
      <c r="DA59" s="242"/>
      <c r="DB59" s="242"/>
      <c r="DC59" s="245"/>
      <c r="DD59" s="242"/>
      <c r="DE59" s="242"/>
      <c r="DF59" s="242"/>
      <c r="DG59" s="242"/>
      <c r="DH59" s="242"/>
      <c r="DI59" s="244"/>
      <c r="DJ59" s="242"/>
      <c r="DK59" s="242"/>
      <c r="DL59" s="242"/>
      <c r="DM59" s="242"/>
      <c r="DN59" s="242"/>
      <c r="DO59" s="245"/>
      <c r="DP59" s="242"/>
      <c r="DQ59" s="242"/>
      <c r="DR59" s="242"/>
      <c r="DS59" s="242"/>
      <c r="DT59" s="242"/>
      <c r="DU59" s="246"/>
      <c r="DV59" s="241"/>
      <c r="DW59" s="242"/>
      <c r="DX59" s="242"/>
      <c r="DY59" s="242"/>
      <c r="DZ59" s="242"/>
      <c r="EA59" s="243"/>
      <c r="EB59" s="242"/>
      <c r="EC59" s="242"/>
      <c r="ED59" s="242"/>
      <c r="EE59" s="242"/>
      <c r="EF59" s="242"/>
      <c r="EG59" s="244"/>
      <c r="EH59" s="242"/>
      <c r="EI59" s="242"/>
      <c r="EJ59" s="242"/>
      <c r="EK59" s="242"/>
      <c r="EL59" s="242"/>
      <c r="EM59" s="245"/>
      <c r="EN59" s="242"/>
      <c r="EO59" s="242"/>
      <c r="EP59" s="242"/>
      <c r="EQ59" s="242"/>
      <c r="ER59" s="242"/>
      <c r="ES59" s="244"/>
      <c r="ET59" s="242"/>
      <c r="EU59" s="242"/>
      <c r="EV59" s="242"/>
      <c r="EW59" s="242"/>
      <c r="EX59" s="242"/>
      <c r="EY59" s="245"/>
      <c r="EZ59" s="242"/>
      <c r="FA59" s="242"/>
      <c r="FB59" s="242"/>
      <c r="FC59" s="242"/>
      <c r="FD59" s="242"/>
      <c r="FE59" s="244"/>
      <c r="FF59" s="242"/>
      <c r="FG59" s="242"/>
      <c r="FH59" s="242"/>
      <c r="FI59" s="242"/>
      <c r="FJ59" s="242"/>
      <c r="FK59" s="245"/>
      <c r="FL59" s="242"/>
      <c r="FM59" s="242"/>
      <c r="FN59" s="242"/>
      <c r="FO59" s="242"/>
      <c r="FP59" s="242"/>
      <c r="FQ59" s="244"/>
      <c r="FR59" s="242"/>
      <c r="FS59" s="242"/>
      <c r="FT59" s="242"/>
      <c r="FU59" s="242"/>
      <c r="FV59" s="242"/>
      <c r="FW59" s="245"/>
      <c r="FX59" s="242"/>
      <c r="FY59" s="242"/>
      <c r="FZ59" s="242"/>
      <c r="GA59" s="242"/>
      <c r="GB59" s="242"/>
      <c r="GC59" s="246"/>
      <c r="GD59" s="241"/>
      <c r="GE59" s="242"/>
      <c r="GF59" s="242"/>
      <c r="GG59" s="242"/>
      <c r="GH59" s="242"/>
      <c r="GI59" s="243"/>
      <c r="GJ59" s="242"/>
      <c r="GK59" s="242"/>
      <c r="GL59" s="242"/>
      <c r="GM59" s="242"/>
      <c r="GN59" s="242"/>
      <c r="GO59" s="244"/>
      <c r="GP59" s="242"/>
      <c r="GQ59" s="242"/>
      <c r="GR59" s="242"/>
      <c r="GS59" s="242"/>
      <c r="GT59" s="242"/>
      <c r="GU59" s="245"/>
      <c r="GV59" s="242"/>
      <c r="GW59" s="242"/>
      <c r="GX59" s="242"/>
      <c r="GY59" s="242"/>
      <c r="GZ59" s="242"/>
      <c r="HA59" s="244"/>
      <c r="HB59" s="242"/>
      <c r="HC59" s="242"/>
      <c r="HD59" s="242"/>
      <c r="HE59" s="242"/>
      <c r="HF59" s="242"/>
      <c r="HG59" s="245"/>
      <c r="HH59" s="242"/>
      <c r="HI59" s="242"/>
      <c r="HJ59" s="242"/>
      <c r="HK59" s="242"/>
      <c r="HL59" s="242"/>
      <c r="HM59" s="244"/>
      <c r="HN59" s="242"/>
      <c r="HO59" s="242"/>
      <c r="HP59" s="242"/>
      <c r="HQ59" s="242"/>
      <c r="HR59" s="242"/>
      <c r="HS59" s="245"/>
      <c r="HT59" s="242"/>
      <c r="HU59" s="242"/>
      <c r="HV59" s="242"/>
      <c r="HW59" s="242"/>
      <c r="HX59" s="242"/>
      <c r="HY59" s="244"/>
      <c r="HZ59" s="242"/>
      <c r="IA59" s="242"/>
      <c r="IB59" s="242"/>
      <c r="IC59" s="242"/>
      <c r="ID59" s="242"/>
      <c r="IE59" s="245"/>
      <c r="IF59" s="242"/>
      <c r="IG59" s="242"/>
      <c r="IH59" s="242"/>
      <c r="II59" s="242"/>
      <c r="IJ59" s="242"/>
      <c r="IK59" s="246"/>
      <c r="IL59" s="241"/>
      <c r="IM59" s="242"/>
      <c r="IN59" s="242"/>
      <c r="IO59" s="242"/>
      <c r="IP59" s="242"/>
      <c r="IQ59" s="243"/>
      <c r="IR59" s="242"/>
      <c r="IS59" s="242"/>
      <c r="IT59" s="242"/>
      <c r="IU59" s="242"/>
      <c r="IV59" s="242"/>
      <c r="IW59" s="244"/>
      <c r="IX59" s="242"/>
      <c r="IY59" s="242"/>
      <c r="IZ59" s="242"/>
      <c r="JA59" s="242"/>
      <c r="JB59" s="242"/>
      <c r="JC59" s="245"/>
      <c r="JD59" s="242"/>
      <c r="JE59" s="242"/>
      <c r="JF59" s="242"/>
      <c r="JG59" s="242"/>
      <c r="JH59" s="242"/>
      <c r="JI59" s="244"/>
      <c r="JJ59" s="242"/>
      <c r="JK59" s="242"/>
      <c r="JL59" s="242"/>
      <c r="JM59" s="242"/>
      <c r="JN59" s="242"/>
      <c r="JO59" s="245"/>
      <c r="JP59" s="242"/>
      <c r="JQ59" s="242"/>
      <c r="JR59" s="242"/>
      <c r="JS59" s="242"/>
      <c r="JT59" s="242"/>
      <c r="JU59" s="244"/>
      <c r="JV59" s="242"/>
      <c r="JW59" s="242"/>
      <c r="JX59" s="242"/>
      <c r="JY59" s="242"/>
      <c r="JZ59" s="242"/>
      <c r="KA59" s="245"/>
      <c r="KB59" s="242"/>
      <c r="KC59" s="242"/>
      <c r="KD59" s="242"/>
      <c r="KE59" s="242"/>
      <c r="KF59" s="242"/>
      <c r="KG59" s="244"/>
      <c r="KH59" s="242"/>
      <c r="KI59" s="242"/>
      <c r="KJ59" s="242"/>
      <c r="KK59" s="242"/>
      <c r="KL59" s="242"/>
      <c r="KM59" s="245"/>
      <c r="KN59" s="242"/>
      <c r="KO59" s="242"/>
      <c r="KP59" s="242"/>
      <c r="KQ59" s="242"/>
      <c r="KR59" s="242"/>
      <c r="KS59" s="246"/>
      <c r="KT59" s="241"/>
      <c r="KU59" s="242"/>
      <c r="KV59" s="242"/>
      <c r="KW59" s="242"/>
      <c r="KX59" s="242"/>
      <c r="KY59" s="243"/>
      <c r="KZ59" s="242"/>
      <c r="LA59" s="242"/>
      <c r="LB59" s="242"/>
      <c r="LC59" s="242"/>
      <c r="LD59" s="242"/>
      <c r="LE59" s="244"/>
      <c r="LF59" s="242"/>
      <c r="LG59" s="242"/>
      <c r="LH59" s="242"/>
      <c r="LI59" s="242"/>
      <c r="LJ59" s="242"/>
      <c r="LK59" s="245"/>
      <c r="LL59" s="242"/>
      <c r="LM59" s="242"/>
      <c r="LN59" s="242"/>
      <c r="LO59" s="242"/>
      <c r="LP59" s="242"/>
      <c r="LQ59" s="244"/>
      <c r="LR59" s="242"/>
      <c r="LS59" s="242"/>
      <c r="LT59" s="242"/>
      <c r="LU59" s="242"/>
      <c r="LV59" s="242"/>
      <c r="LW59" s="245"/>
      <c r="LX59" s="242"/>
      <c r="LY59" s="242"/>
      <c r="LZ59" s="242"/>
      <c r="MA59" s="242"/>
      <c r="MB59" s="242"/>
      <c r="MC59" s="244"/>
      <c r="MD59" s="242"/>
      <c r="ME59" s="242"/>
      <c r="MF59" s="242"/>
      <c r="MG59" s="242"/>
      <c r="MH59" s="242"/>
      <c r="MI59" s="245"/>
      <c r="MJ59" s="242"/>
      <c r="MK59" s="242"/>
      <c r="ML59" s="242"/>
      <c r="MM59" s="242"/>
      <c r="MN59" s="242"/>
      <c r="MO59" s="244"/>
      <c r="MP59" s="242"/>
      <c r="MQ59" s="242"/>
      <c r="MR59" s="242"/>
      <c r="MS59" s="242"/>
      <c r="MT59" s="242"/>
      <c r="MU59" s="245"/>
      <c r="MV59" s="242"/>
      <c r="MW59" s="242"/>
      <c r="MX59" s="242"/>
      <c r="MY59" s="242"/>
      <c r="MZ59" s="242"/>
      <c r="NA59" s="246"/>
      <c r="NB59" s="241"/>
      <c r="NC59" s="242"/>
      <c r="ND59" s="242"/>
      <c r="NE59" s="242"/>
      <c r="NF59" s="242"/>
      <c r="NG59" s="243"/>
      <c r="NH59" s="242"/>
      <c r="NI59" s="242"/>
      <c r="NJ59" s="242"/>
      <c r="NK59" s="242"/>
      <c r="NL59" s="242"/>
      <c r="NM59" s="244"/>
      <c r="NN59" s="242"/>
      <c r="NO59" s="242"/>
      <c r="NP59" s="242"/>
      <c r="NQ59" s="242"/>
      <c r="NR59" s="242"/>
      <c r="NS59" s="245"/>
      <c r="NT59" s="242"/>
      <c r="NU59" s="242"/>
      <c r="NV59" s="242"/>
      <c r="NW59" s="242"/>
      <c r="NX59" s="242"/>
      <c r="NY59" s="244"/>
      <c r="NZ59" s="242"/>
      <c r="OA59" s="242"/>
      <c r="OB59" s="242"/>
      <c r="OC59" s="242"/>
      <c r="OD59" s="242"/>
      <c r="OE59" s="245"/>
      <c r="OF59" s="242"/>
      <c r="OG59" s="242"/>
      <c r="OH59" s="242"/>
      <c r="OI59" s="242"/>
      <c r="OJ59" s="242"/>
      <c r="OK59" s="244"/>
      <c r="OL59" s="242"/>
      <c r="OM59" s="242"/>
      <c r="ON59" s="242"/>
      <c r="OO59" s="242"/>
      <c r="OP59" s="242"/>
      <c r="OQ59" s="245"/>
      <c r="OR59" s="242"/>
      <c r="OS59" s="242"/>
      <c r="OT59" s="242"/>
      <c r="OU59" s="242"/>
      <c r="OV59" s="242"/>
      <c r="OW59" s="244"/>
      <c r="OX59" s="242"/>
      <c r="OY59" s="242"/>
      <c r="OZ59" s="242"/>
      <c r="PA59" s="242"/>
      <c r="PB59" s="242"/>
      <c r="PC59" s="245"/>
      <c r="PD59" s="242"/>
      <c r="PE59" s="242"/>
      <c r="PF59" s="242"/>
      <c r="PG59" s="242"/>
      <c r="PH59" s="242"/>
      <c r="PI59" s="246"/>
      <c r="PJ59" s="241"/>
      <c r="PK59" s="242"/>
      <c r="PL59" s="242"/>
      <c r="PM59" s="242"/>
      <c r="PN59" s="242"/>
      <c r="PO59" s="243"/>
      <c r="PP59" s="242"/>
      <c r="PQ59" s="242"/>
      <c r="PR59" s="242"/>
      <c r="PS59" s="242"/>
      <c r="PT59" s="242"/>
      <c r="PU59" s="244"/>
      <c r="PV59" s="242"/>
      <c r="PW59" s="242"/>
      <c r="PX59" s="242"/>
      <c r="PY59" s="242"/>
      <c r="PZ59" s="242"/>
      <c r="QA59" s="245"/>
      <c r="QB59" s="242"/>
      <c r="QC59" s="242"/>
      <c r="QD59" s="242"/>
      <c r="QE59" s="242"/>
      <c r="QF59" s="242"/>
      <c r="QG59" s="244"/>
      <c r="QH59" s="242"/>
      <c r="QI59" s="242"/>
      <c r="QJ59" s="242"/>
      <c r="QK59" s="242"/>
      <c r="QL59" s="242"/>
      <c r="QM59" s="245"/>
      <c r="QN59" s="242"/>
      <c r="QO59" s="242"/>
      <c r="QP59" s="242"/>
      <c r="QQ59" s="242"/>
      <c r="QR59" s="242"/>
      <c r="QS59" s="244"/>
      <c r="QT59" s="242"/>
      <c r="QU59" s="242"/>
      <c r="QV59" s="242"/>
      <c r="QW59" s="242"/>
      <c r="QX59" s="242"/>
      <c r="QY59" s="245"/>
      <c r="QZ59" s="242"/>
      <c r="RA59" s="242"/>
      <c r="RB59" s="242"/>
      <c r="RC59" s="242"/>
      <c r="RD59" s="242"/>
      <c r="RE59" s="244"/>
      <c r="RF59" s="242"/>
      <c r="RG59" s="242"/>
      <c r="RH59" s="242"/>
      <c r="RI59" s="242"/>
      <c r="RJ59" s="242"/>
      <c r="RK59" s="245"/>
      <c r="RL59" s="242"/>
      <c r="RM59" s="242"/>
      <c r="RN59" s="242"/>
      <c r="RO59" s="242"/>
      <c r="RP59" s="242"/>
      <c r="RQ59" s="246"/>
      <c r="RR59" s="241"/>
      <c r="RS59" s="242"/>
      <c r="RT59" s="242"/>
      <c r="RU59" s="242"/>
      <c r="RV59" s="242"/>
      <c r="RW59" s="243"/>
      <c r="RX59" s="242"/>
      <c r="RY59" s="242"/>
      <c r="RZ59" s="242"/>
      <c r="SA59" s="242"/>
      <c r="SB59" s="242"/>
      <c r="SC59" s="244"/>
      <c r="SD59" s="242"/>
      <c r="SE59" s="242"/>
      <c r="SF59" s="242"/>
      <c r="SG59" s="242"/>
      <c r="SH59" s="242"/>
      <c r="SI59" s="245"/>
      <c r="SJ59" s="242"/>
      <c r="SK59" s="242"/>
      <c r="SL59" s="242"/>
      <c r="SM59" s="242"/>
      <c r="SN59" s="242"/>
      <c r="SO59" s="244"/>
      <c r="SP59" s="242"/>
      <c r="SQ59" s="242"/>
      <c r="SR59" s="242"/>
      <c r="SS59" s="242"/>
      <c r="ST59" s="242"/>
      <c r="SU59" s="245"/>
      <c r="SV59" s="242"/>
      <c r="SW59" s="242"/>
      <c r="SX59" s="242"/>
      <c r="SY59" s="242"/>
      <c r="SZ59" s="242"/>
      <c r="TA59" s="244"/>
      <c r="TB59" s="242"/>
      <c r="TC59" s="242"/>
      <c r="TD59" s="242"/>
      <c r="TE59" s="242"/>
      <c r="TF59" s="242"/>
      <c r="TG59" s="245"/>
      <c r="TH59" s="242"/>
      <c r="TI59" s="242"/>
      <c r="TJ59" s="242"/>
      <c r="TK59" s="242"/>
      <c r="TL59" s="242"/>
      <c r="TM59" s="244"/>
      <c r="TN59" s="242"/>
      <c r="TO59" s="242"/>
      <c r="TP59" s="242"/>
      <c r="TQ59" s="242"/>
      <c r="TR59" s="242"/>
      <c r="TS59" s="245"/>
      <c r="TT59" s="242"/>
      <c r="TU59" s="242"/>
      <c r="TV59" s="242"/>
      <c r="TW59" s="242"/>
      <c r="TX59" s="242"/>
      <c r="TY59" s="246"/>
      <c r="TZ59" s="241"/>
      <c r="UA59" s="242"/>
      <c r="UB59" s="242"/>
      <c r="UC59" s="242"/>
      <c r="UD59" s="242"/>
      <c r="UE59" s="243"/>
      <c r="UF59" s="242"/>
      <c r="UG59" s="242"/>
      <c r="UH59" s="242"/>
      <c r="UI59" s="242"/>
      <c r="UJ59" s="242"/>
      <c r="UK59" s="244"/>
      <c r="UL59" s="242"/>
      <c r="UM59" s="242"/>
      <c r="UN59" s="242"/>
      <c r="UO59" s="242"/>
      <c r="UP59" s="242"/>
      <c r="UQ59" s="245"/>
      <c r="UR59" s="242"/>
      <c r="US59" s="242"/>
      <c r="UT59" s="242"/>
      <c r="UU59" s="242"/>
      <c r="UV59" s="242"/>
      <c r="UW59" s="244"/>
      <c r="UX59" s="242"/>
      <c r="UY59" s="242"/>
      <c r="UZ59" s="242"/>
      <c r="VA59" s="242"/>
      <c r="VB59" s="242"/>
      <c r="VC59" s="245"/>
      <c r="VD59" s="242"/>
      <c r="VE59" s="242"/>
      <c r="VF59" s="242"/>
      <c r="VG59" s="242"/>
      <c r="VH59" s="242"/>
      <c r="VI59" s="244"/>
      <c r="VJ59" s="242"/>
      <c r="VK59" s="242"/>
      <c r="VL59" s="242"/>
      <c r="VM59" s="242"/>
      <c r="VN59" s="242"/>
      <c r="VO59" s="245"/>
      <c r="VP59" s="242"/>
      <c r="VQ59" s="242"/>
      <c r="VR59" s="242"/>
      <c r="VS59" s="242"/>
      <c r="VT59" s="242"/>
      <c r="VU59" s="244"/>
      <c r="VV59" s="242"/>
      <c r="VW59" s="242"/>
      <c r="VX59" s="242"/>
      <c r="VY59" s="242"/>
      <c r="VZ59" s="242"/>
      <c r="WA59" s="245"/>
      <c r="WB59" s="242"/>
      <c r="WC59" s="242"/>
      <c r="WD59" s="242"/>
      <c r="WE59" s="242"/>
      <c r="WF59" s="242"/>
      <c r="WG59" s="246"/>
      <c r="WH59" s="241"/>
      <c r="WI59" s="242"/>
      <c r="WJ59" s="242"/>
      <c r="WK59" s="242"/>
      <c r="WL59" s="242"/>
      <c r="WM59" s="243"/>
      <c r="WN59" s="242"/>
      <c r="WO59" s="242"/>
      <c r="WP59" s="242"/>
      <c r="WQ59" s="242"/>
      <c r="WR59" s="242"/>
      <c r="WS59" s="244"/>
      <c r="WT59" s="242"/>
      <c r="WU59" s="242"/>
      <c r="WV59" s="242"/>
      <c r="WW59" s="242"/>
      <c r="WX59" s="242"/>
      <c r="WY59" s="245"/>
      <c r="WZ59" s="242"/>
      <c r="XA59" s="242"/>
      <c r="XB59" s="242"/>
      <c r="XC59" s="242"/>
      <c r="XD59" s="242"/>
      <c r="XE59" s="244"/>
      <c r="XF59" s="242"/>
      <c r="XG59" s="242"/>
      <c r="XH59" s="242"/>
      <c r="XI59" s="242"/>
      <c r="XJ59" s="242"/>
      <c r="XK59" s="245"/>
      <c r="XL59" s="242"/>
      <c r="XM59" s="242"/>
      <c r="XN59" s="242"/>
      <c r="XO59" s="242"/>
      <c r="XP59" s="242"/>
      <c r="XQ59" s="244"/>
      <c r="XR59" s="242"/>
      <c r="XS59" s="242"/>
      <c r="XT59" s="242"/>
      <c r="XU59" s="242"/>
      <c r="XV59" s="242"/>
      <c r="XW59" s="245"/>
      <c r="XX59" s="242"/>
      <c r="XY59" s="242"/>
      <c r="XZ59" s="242"/>
      <c r="YA59" s="242"/>
      <c r="YB59" s="242"/>
      <c r="YC59" s="244"/>
      <c r="YD59" s="242"/>
      <c r="YE59" s="242"/>
      <c r="YF59" s="242"/>
      <c r="YG59" s="242"/>
      <c r="YH59" s="242"/>
      <c r="YI59" s="245"/>
      <c r="YJ59" s="242"/>
      <c r="YK59" s="242"/>
      <c r="YL59" s="242"/>
      <c r="YM59" s="242"/>
      <c r="YN59" s="242"/>
      <c r="YO59" s="246"/>
      <c r="YP59" s="241"/>
      <c r="YQ59" s="242"/>
      <c r="YR59" s="242"/>
      <c r="YS59" s="242"/>
      <c r="YT59" s="242"/>
      <c r="YU59" s="243"/>
      <c r="YV59" s="242"/>
      <c r="YW59" s="242"/>
      <c r="YX59" s="242"/>
      <c r="YY59" s="242"/>
      <c r="YZ59" s="242"/>
      <c r="ZA59" s="244"/>
      <c r="ZB59" s="242"/>
      <c r="ZC59" s="242"/>
      <c r="ZD59" s="242"/>
      <c r="ZE59" s="242"/>
      <c r="ZF59" s="242"/>
      <c r="ZG59" s="245"/>
      <c r="ZH59" s="242"/>
      <c r="ZI59" s="242"/>
      <c r="ZJ59" s="242"/>
      <c r="ZK59" s="242"/>
      <c r="ZL59" s="242"/>
      <c r="ZM59" s="244"/>
      <c r="ZN59" s="242"/>
      <c r="ZO59" s="242"/>
      <c r="ZP59" s="242"/>
      <c r="ZQ59" s="242"/>
      <c r="ZR59" s="242"/>
      <c r="ZS59" s="245"/>
      <c r="ZT59" s="242"/>
      <c r="ZU59" s="242"/>
      <c r="ZV59" s="242"/>
      <c r="ZW59" s="242"/>
      <c r="ZX59" s="242"/>
      <c r="ZY59" s="244"/>
      <c r="ZZ59" s="242"/>
      <c r="AAA59" s="242"/>
      <c r="AAB59" s="242"/>
      <c r="AAC59" s="242"/>
      <c r="AAD59" s="242"/>
      <c r="AAE59" s="245"/>
      <c r="AAF59" s="242"/>
      <c r="AAG59" s="242"/>
      <c r="AAH59" s="242"/>
      <c r="AAI59" s="242"/>
      <c r="AAJ59" s="242"/>
      <c r="AAK59" s="244"/>
      <c r="AAL59" s="242"/>
      <c r="AAM59" s="242"/>
      <c r="AAN59" s="242"/>
      <c r="AAO59" s="242"/>
      <c r="AAP59" s="242"/>
      <c r="AAQ59" s="245"/>
      <c r="AAR59" s="242"/>
      <c r="AAS59" s="242"/>
      <c r="AAT59" s="242"/>
      <c r="AAU59" s="242"/>
      <c r="AAV59" s="242"/>
      <c r="AAW59" s="246"/>
      <c r="AAX59" s="241"/>
      <c r="AAY59" s="242"/>
      <c r="AAZ59" s="242"/>
      <c r="ABA59" s="242"/>
      <c r="ABB59" s="242"/>
      <c r="ABC59" s="243"/>
      <c r="ABD59" s="242"/>
      <c r="ABE59" s="242"/>
      <c r="ABF59" s="242"/>
      <c r="ABG59" s="242"/>
      <c r="ABH59" s="242"/>
      <c r="ABI59" s="244"/>
      <c r="ABJ59" s="242"/>
      <c r="ABK59" s="242"/>
      <c r="ABL59" s="242"/>
      <c r="ABM59" s="242"/>
      <c r="ABN59" s="242"/>
      <c r="ABO59" s="245"/>
      <c r="ABP59" s="242"/>
      <c r="ABQ59" s="242"/>
      <c r="ABR59" s="242"/>
      <c r="ABS59" s="242"/>
      <c r="ABT59" s="242"/>
      <c r="ABU59" s="244"/>
      <c r="ABV59" s="242"/>
      <c r="ABW59" s="242"/>
      <c r="ABX59" s="242"/>
      <c r="ABY59" s="242"/>
      <c r="ABZ59" s="242"/>
      <c r="ACA59" s="245"/>
      <c r="ACB59" s="242"/>
      <c r="ACC59" s="242"/>
      <c r="ACD59" s="242"/>
      <c r="ACE59" s="242"/>
      <c r="ACF59" s="242"/>
      <c r="ACG59" s="244"/>
      <c r="ACH59" s="242"/>
      <c r="ACI59" s="242"/>
      <c r="ACJ59" s="242"/>
      <c r="ACK59" s="242"/>
      <c r="ACL59" s="242"/>
      <c r="ACM59" s="245"/>
      <c r="ACN59" s="242"/>
      <c r="ACO59" s="242"/>
      <c r="ACP59" s="242"/>
      <c r="ACQ59" s="242"/>
      <c r="ACR59" s="242"/>
      <c r="ACS59" s="244"/>
      <c r="ACT59" s="242"/>
      <c r="ACU59" s="242"/>
      <c r="ACV59" s="242"/>
      <c r="ACW59" s="242"/>
      <c r="ACX59" s="242"/>
      <c r="ACY59" s="245"/>
      <c r="ACZ59" s="242"/>
      <c r="ADA59" s="242"/>
      <c r="ADB59" s="242"/>
      <c r="ADC59" s="242"/>
      <c r="ADD59" s="242"/>
      <c r="ADE59" s="246"/>
      <c r="ADF59" s="241"/>
      <c r="ADG59" s="242"/>
      <c r="ADH59" s="242"/>
      <c r="ADI59" s="242"/>
      <c r="ADJ59" s="242"/>
      <c r="ADK59" s="243"/>
      <c r="ADL59" s="242"/>
      <c r="ADM59" s="242"/>
      <c r="ADN59" s="242"/>
      <c r="ADO59" s="242"/>
      <c r="ADP59" s="242"/>
      <c r="ADQ59" s="244"/>
      <c r="ADR59" s="242"/>
      <c r="ADS59" s="242"/>
      <c r="ADT59" s="242"/>
      <c r="ADU59" s="242"/>
      <c r="ADV59" s="242"/>
      <c r="ADW59" s="245"/>
      <c r="ADX59" s="242"/>
      <c r="ADY59" s="242"/>
      <c r="ADZ59" s="242"/>
      <c r="AEA59" s="242"/>
      <c r="AEB59" s="242"/>
      <c r="AEC59" s="244"/>
      <c r="AED59" s="242"/>
      <c r="AEE59" s="242"/>
      <c r="AEF59" s="242"/>
      <c r="AEG59" s="242"/>
      <c r="AEH59" s="242"/>
      <c r="AEI59" s="245"/>
      <c r="AEJ59" s="242"/>
      <c r="AEK59" s="242"/>
      <c r="AEL59" s="242"/>
      <c r="AEM59" s="242"/>
      <c r="AEN59" s="242"/>
      <c r="AEO59" s="244"/>
      <c r="AEP59" s="242"/>
      <c r="AEQ59" s="242"/>
      <c r="AER59" s="242"/>
      <c r="AES59" s="242"/>
      <c r="AET59" s="242"/>
      <c r="AEU59" s="245"/>
      <c r="AEV59" s="242"/>
      <c r="AEW59" s="242"/>
      <c r="AEX59" s="242"/>
      <c r="AEY59" s="242"/>
      <c r="AEZ59" s="242"/>
      <c r="AFA59" s="244"/>
      <c r="AFB59" s="242"/>
      <c r="AFC59" s="242"/>
      <c r="AFD59" s="242"/>
      <c r="AFE59" s="242"/>
      <c r="AFF59" s="242"/>
      <c r="AFG59" s="245"/>
      <c r="AFH59" s="242"/>
      <c r="AFI59" s="242"/>
      <c r="AFJ59" s="242"/>
      <c r="AFK59" s="242"/>
      <c r="AFL59" s="242"/>
      <c r="AFM59" s="246"/>
      <c r="AFN59" s="241"/>
      <c r="AFO59" s="242"/>
      <c r="AFP59" s="242"/>
      <c r="AFQ59" s="242"/>
      <c r="AFR59" s="242"/>
      <c r="AFS59" s="243"/>
      <c r="AFT59" s="242"/>
      <c r="AFU59" s="242"/>
      <c r="AFV59" s="242"/>
      <c r="AFW59" s="242"/>
      <c r="AFX59" s="242"/>
      <c r="AFY59" s="244"/>
      <c r="AFZ59" s="242"/>
      <c r="AGA59" s="242"/>
      <c r="AGB59" s="242"/>
      <c r="AGC59" s="242"/>
      <c r="AGD59" s="242"/>
      <c r="AGE59" s="245"/>
      <c r="AGF59" s="242"/>
      <c r="AGG59" s="242"/>
      <c r="AGH59" s="242"/>
      <c r="AGI59" s="242"/>
      <c r="AGJ59" s="242"/>
      <c r="AGK59" s="244"/>
      <c r="AGL59" s="242"/>
      <c r="AGM59" s="242"/>
      <c r="AGN59" s="242"/>
      <c r="AGO59" s="242"/>
      <c r="AGP59" s="242"/>
      <c r="AGQ59" s="245"/>
      <c r="AGR59" s="242"/>
      <c r="AGS59" s="242"/>
      <c r="AGT59" s="242"/>
      <c r="AGU59" s="242"/>
      <c r="AGV59" s="242"/>
      <c r="AGW59" s="244"/>
      <c r="AGX59" s="242"/>
      <c r="AGY59" s="242"/>
      <c r="AGZ59" s="242"/>
      <c r="AHA59" s="242"/>
      <c r="AHB59" s="242"/>
      <c r="AHC59" s="245"/>
      <c r="AHD59" s="242"/>
      <c r="AHE59" s="242"/>
      <c r="AHF59" s="242"/>
      <c r="AHG59" s="242"/>
      <c r="AHH59" s="242"/>
      <c r="AHI59" s="244"/>
      <c r="AHJ59" s="242"/>
      <c r="AHK59" s="242"/>
      <c r="AHL59" s="242"/>
      <c r="AHM59" s="242"/>
      <c r="AHN59" s="242"/>
      <c r="AHO59" s="245"/>
      <c r="AHP59" s="242"/>
      <c r="AHQ59" s="242"/>
      <c r="AHR59" s="242"/>
      <c r="AHS59" s="242"/>
      <c r="AHT59" s="242"/>
      <c r="AHU59" s="246"/>
      <c r="AHV59" s="241"/>
      <c r="AHW59" s="242"/>
      <c r="AHX59" s="242"/>
      <c r="AHY59" s="242"/>
      <c r="AHZ59" s="242"/>
      <c r="AIA59" s="243"/>
      <c r="AIB59" s="242"/>
      <c r="AIC59" s="242"/>
      <c r="AID59" s="242"/>
      <c r="AIE59" s="242"/>
      <c r="AIF59" s="242"/>
      <c r="AIG59" s="244"/>
      <c r="AIH59" s="242"/>
      <c r="AII59" s="242"/>
      <c r="AIJ59" s="242"/>
      <c r="AIK59" s="242"/>
      <c r="AIL59" s="242"/>
      <c r="AIM59" s="245"/>
      <c r="AIN59" s="242"/>
      <c r="AIO59" s="242"/>
      <c r="AIP59" s="242"/>
      <c r="AIQ59" s="242"/>
      <c r="AIR59" s="242"/>
      <c r="AIS59" s="244"/>
      <c r="AIT59" s="242"/>
      <c r="AIU59" s="242"/>
      <c r="AIV59" s="242"/>
      <c r="AIW59" s="242"/>
      <c r="AIX59" s="242"/>
      <c r="AIY59" s="245"/>
      <c r="AIZ59" s="242"/>
      <c r="AJA59" s="242"/>
      <c r="AJB59" s="242"/>
      <c r="AJC59" s="242"/>
      <c r="AJD59" s="242"/>
      <c r="AJE59" s="244"/>
      <c r="AJF59" s="242"/>
      <c r="AJG59" s="242"/>
      <c r="AJH59" s="242"/>
      <c r="AJI59" s="242"/>
      <c r="AJJ59" s="242"/>
      <c r="AJK59" s="245"/>
      <c r="AJL59" s="242"/>
      <c r="AJM59" s="242"/>
      <c r="AJN59" s="242"/>
      <c r="AJO59" s="242"/>
      <c r="AJP59" s="242"/>
      <c r="AJQ59" s="244"/>
      <c r="AJR59" s="242"/>
      <c r="AJS59" s="242"/>
      <c r="AJT59" s="242"/>
      <c r="AJU59" s="242"/>
      <c r="AJV59" s="242"/>
      <c r="AJW59" s="245"/>
      <c r="AJX59" s="242"/>
      <c r="AJY59" s="242"/>
      <c r="AJZ59" s="242"/>
      <c r="AKA59" s="242"/>
      <c r="AKB59" s="242"/>
      <c r="AKC59" s="246"/>
      <c r="AKD59" s="241"/>
      <c r="AKE59" s="242"/>
      <c r="AKF59" s="242"/>
      <c r="AKG59" s="242"/>
      <c r="AKH59" s="242"/>
      <c r="AKI59" s="243"/>
      <c r="AKJ59" s="242"/>
      <c r="AKK59" s="242"/>
      <c r="AKL59" s="242"/>
      <c r="AKM59" s="242"/>
      <c r="AKN59" s="242"/>
      <c r="AKO59" s="244"/>
      <c r="AKP59" s="242"/>
      <c r="AKQ59" s="242"/>
      <c r="AKR59" s="242"/>
      <c r="AKS59" s="242"/>
      <c r="AKT59" s="242"/>
      <c r="AKU59" s="245"/>
      <c r="AKV59" s="242"/>
      <c r="AKW59" s="242"/>
      <c r="AKX59" s="242"/>
      <c r="AKY59" s="242"/>
      <c r="AKZ59" s="242"/>
      <c r="ALA59" s="244"/>
      <c r="ALB59" s="242"/>
      <c r="ALC59" s="242"/>
      <c r="ALD59" s="242"/>
      <c r="ALE59" s="242"/>
      <c r="ALF59" s="242"/>
      <c r="ALG59" s="245"/>
      <c r="ALH59" s="242"/>
      <c r="ALI59" s="242"/>
      <c r="ALJ59" s="242"/>
      <c r="ALK59" s="242"/>
      <c r="ALL59" s="242"/>
      <c r="ALM59" s="244"/>
      <c r="ALN59" s="242"/>
      <c r="ALO59" s="242"/>
      <c r="ALP59" s="242"/>
      <c r="ALQ59" s="242"/>
      <c r="ALR59" s="242"/>
      <c r="ALS59" s="245"/>
      <c r="ALT59" s="242"/>
      <c r="ALU59" s="242"/>
      <c r="ALV59" s="242"/>
      <c r="ALW59" s="242"/>
      <c r="ALX59" s="242"/>
      <c r="ALY59" s="244"/>
      <c r="ALZ59" s="242"/>
      <c r="AMA59" s="242"/>
      <c r="AMB59" s="242"/>
      <c r="AMC59" s="242"/>
      <c r="AMD59" s="242"/>
      <c r="AME59" s="245"/>
      <c r="AMF59" s="242"/>
      <c r="AMG59" s="242"/>
      <c r="AMH59" s="242"/>
      <c r="AMI59" s="242"/>
      <c r="AMJ59" s="242"/>
      <c r="AMK59" s="246"/>
      <c r="AML59" s="241"/>
      <c r="AMM59" s="242"/>
      <c r="AMN59" s="242"/>
      <c r="AMO59" s="242"/>
      <c r="AMP59" s="242"/>
      <c r="AMQ59" s="243"/>
      <c r="AMR59" s="242"/>
      <c r="AMS59" s="242"/>
      <c r="AMT59" s="242"/>
      <c r="AMU59" s="242"/>
      <c r="AMV59" s="242"/>
      <c r="AMW59" s="244"/>
      <c r="AMX59" s="242"/>
      <c r="AMY59" s="242"/>
      <c r="AMZ59" s="242"/>
      <c r="ANA59" s="242"/>
      <c r="ANB59" s="242"/>
      <c r="ANC59" s="245"/>
      <c r="AND59" s="242"/>
      <c r="ANE59" s="242"/>
      <c r="ANF59" s="242"/>
      <c r="ANG59" s="242"/>
      <c r="ANH59" s="242"/>
      <c r="ANI59" s="244"/>
      <c r="ANJ59" s="242"/>
      <c r="ANK59" s="242"/>
      <c r="ANL59" s="242"/>
      <c r="ANM59" s="242"/>
      <c r="ANN59" s="242"/>
      <c r="ANO59" s="245"/>
      <c r="ANP59" s="242"/>
      <c r="ANQ59" s="242"/>
      <c r="ANR59" s="242"/>
      <c r="ANS59" s="242"/>
      <c r="ANT59" s="242"/>
      <c r="ANU59" s="244"/>
      <c r="ANV59" s="242"/>
      <c r="ANW59" s="242"/>
      <c r="ANX59" s="242"/>
      <c r="ANY59" s="242"/>
      <c r="ANZ59" s="242"/>
      <c r="AOA59" s="245"/>
      <c r="AOB59" s="242"/>
      <c r="AOC59" s="242"/>
      <c r="AOD59" s="242"/>
      <c r="AOE59" s="242"/>
      <c r="AOF59" s="242"/>
      <c r="AOG59" s="244"/>
      <c r="AOH59" s="242"/>
      <c r="AOI59" s="242"/>
      <c r="AOJ59" s="242"/>
      <c r="AOK59" s="242"/>
      <c r="AOL59" s="242"/>
      <c r="AOM59" s="245"/>
      <c r="AON59" s="242"/>
      <c r="AOO59" s="242"/>
      <c r="AOP59" s="242"/>
      <c r="AOQ59" s="242"/>
      <c r="AOR59" s="242"/>
      <c r="AOS59" s="246"/>
      <c r="AOT59" s="241"/>
      <c r="AOU59" s="242"/>
      <c r="AOV59" s="242"/>
      <c r="AOW59" s="242"/>
      <c r="AOX59" s="242"/>
      <c r="AOY59" s="243"/>
      <c r="AOZ59" s="242"/>
      <c r="APA59" s="242"/>
      <c r="APB59" s="242"/>
      <c r="APC59" s="242"/>
      <c r="APD59" s="242"/>
      <c r="APE59" s="244"/>
      <c r="APF59" s="242"/>
      <c r="APG59" s="242"/>
      <c r="APH59" s="242"/>
      <c r="API59" s="242"/>
      <c r="APJ59" s="242"/>
      <c r="APK59" s="245"/>
      <c r="APL59" s="242"/>
      <c r="APM59" s="242"/>
      <c r="APN59" s="242"/>
      <c r="APO59" s="242"/>
      <c r="APP59" s="242"/>
      <c r="APQ59" s="244"/>
      <c r="APR59" s="242"/>
      <c r="APS59" s="242"/>
      <c r="APT59" s="242"/>
      <c r="APU59" s="242"/>
      <c r="APV59" s="242"/>
      <c r="APW59" s="245"/>
      <c r="APX59" s="242"/>
      <c r="APY59" s="242"/>
      <c r="APZ59" s="242"/>
      <c r="AQA59" s="242"/>
      <c r="AQB59" s="242"/>
      <c r="AQC59" s="244"/>
      <c r="AQD59" s="242"/>
      <c r="AQE59" s="242"/>
      <c r="AQF59" s="242"/>
      <c r="AQG59" s="242"/>
      <c r="AQH59" s="242"/>
      <c r="AQI59" s="245"/>
      <c r="AQJ59" s="242"/>
      <c r="AQK59" s="242"/>
      <c r="AQL59" s="242"/>
      <c r="AQM59" s="242"/>
      <c r="AQN59" s="242"/>
      <c r="AQO59" s="244"/>
      <c r="AQP59" s="242"/>
      <c r="AQQ59" s="242"/>
      <c r="AQR59" s="242"/>
      <c r="AQS59" s="242"/>
      <c r="AQT59" s="242"/>
      <c r="AQU59" s="245"/>
      <c r="AQV59" s="242"/>
      <c r="AQW59" s="242"/>
      <c r="AQX59" s="242"/>
      <c r="AQY59" s="242"/>
      <c r="AQZ59" s="242"/>
      <c r="ARA59" s="246"/>
      <c r="ARB59" s="241"/>
      <c r="ARC59" s="242"/>
      <c r="ARD59" s="242"/>
      <c r="ARE59" s="242"/>
      <c r="ARF59" s="242"/>
      <c r="ARG59" s="243"/>
      <c r="ARH59" s="242"/>
      <c r="ARI59" s="242"/>
      <c r="ARJ59" s="242"/>
      <c r="ARK59" s="242"/>
      <c r="ARL59" s="242"/>
      <c r="ARM59" s="244"/>
      <c r="ARN59" s="242"/>
      <c r="ARO59" s="242"/>
      <c r="ARP59" s="242"/>
      <c r="ARQ59" s="242"/>
      <c r="ARR59" s="242"/>
      <c r="ARS59" s="245"/>
      <c r="ART59" s="242"/>
      <c r="ARU59" s="242"/>
      <c r="ARV59" s="242"/>
      <c r="ARW59" s="242"/>
      <c r="ARX59" s="242"/>
      <c r="ARY59" s="244"/>
      <c r="ARZ59" s="242"/>
      <c r="ASA59" s="242"/>
      <c r="ASB59" s="242"/>
      <c r="ASC59" s="242"/>
      <c r="ASD59" s="242"/>
      <c r="ASE59" s="245"/>
      <c r="ASF59" s="242"/>
      <c r="ASG59" s="242"/>
      <c r="ASH59" s="242"/>
      <c r="ASI59" s="242"/>
      <c r="ASJ59" s="242"/>
      <c r="ASK59" s="244"/>
      <c r="ASL59" s="242"/>
      <c r="ASM59" s="242"/>
      <c r="ASN59" s="242"/>
      <c r="ASO59" s="242"/>
      <c r="ASP59" s="242"/>
      <c r="ASQ59" s="245"/>
      <c r="ASR59" s="242"/>
      <c r="ASS59" s="242"/>
      <c r="AST59" s="242"/>
      <c r="ASU59" s="242"/>
      <c r="ASV59" s="242"/>
      <c r="ASW59" s="244"/>
      <c r="ASX59" s="242"/>
      <c r="ASY59" s="242"/>
      <c r="ASZ59" s="242"/>
      <c r="ATA59" s="242"/>
      <c r="ATB59" s="242"/>
      <c r="ATC59" s="245"/>
      <c r="ATD59" s="242"/>
      <c r="ATE59" s="242"/>
      <c r="ATF59" s="242"/>
      <c r="ATG59" s="242"/>
      <c r="ATH59" s="242"/>
      <c r="ATI59" s="246"/>
      <c r="ATJ59" s="241"/>
      <c r="ATK59" s="242"/>
      <c r="ATL59" s="242"/>
      <c r="ATM59" s="242"/>
      <c r="ATN59" s="242"/>
      <c r="ATO59" s="243"/>
      <c r="ATP59" s="242"/>
      <c r="ATQ59" s="242"/>
      <c r="ATR59" s="242"/>
      <c r="ATS59" s="242"/>
      <c r="ATT59" s="242"/>
      <c r="ATU59" s="244"/>
      <c r="ATV59" s="242"/>
      <c r="ATW59" s="242"/>
      <c r="ATX59" s="242"/>
      <c r="ATY59" s="242"/>
      <c r="ATZ59" s="242"/>
      <c r="AUA59" s="245"/>
      <c r="AUB59" s="242"/>
      <c r="AUC59" s="242"/>
      <c r="AUD59" s="242"/>
      <c r="AUE59" s="242"/>
      <c r="AUF59" s="242"/>
      <c r="AUG59" s="244"/>
      <c r="AUH59" s="242"/>
      <c r="AUI59" s="242"/>
      <c r="AUJ59" s="242"/>
      <c r="AUK59" s="242"/>
      <c r="AUL59" s="242"/>
      <c r="AUM59" s="245"/>
      <c r="AUN59" s="242"/>
      <c r="AUO59" s="242"/>
      <c r="AUP59" s="242"/>
      <c r="AUQ59" s="242"/>
      <c r="AUR59" s="242"/>
      <c r="AUS59" s="244"/>
      <c r="AUT59" s="242"/>
      <c r="AUU59" s="242"/>
      <c r="AUV59" s="242"/>
      <c r="AUW59" s="242"/>
      <c r="AUX59" s="242"/>
      <c r="AUY59" s="245"/>
      <c r="AUZ59" s="242"/>
      <c r="AVA59" s="242"/>
      <c r="AVB59" s="242"/>
      <c r="AVC59" s="242"/>
      <c r="AVD59" s="242"/>
      <c r="AVE59" s="244"/>
      <c r="AVF59" s="242"/>
      <c r="AVG59" s="242"/>
      <c r="AVH59" s="242"/>
      <c r="AVI59" s="242"/>
      <c r="AVJ59" s="242"/>
      <c r="AVK59" s="245"/>
      <c r="AVL59" s="242"/>
      <c r="AVM59" s="242"/>
      <c r="AVN59" s="242"/>
      <c r="AVO59" s="242"/>
      <c r="AVP59" s="242"/>
      <c r="AVQ59" s="246"/>
      <c r="AVR59" s="241"/>
      <c r="AVS59" s="242"/>
      <c r="AVT59" s="242"/>
      <c r="AVU59" s="242"/>
      <c r="AVV59" s="242"/>
      <c r="AVW59" s="243"/>
      <c r="AVX59" s="242"/>
      <c r="AVY59" s="242"/>
      <c r="AVZ59" s="242"/>
      <c r="AWA59" s="242"/>
      <c r="AWB59" s="242"/>
      <c r="AWC59" s="244"/>
      <c r="AWD59" s="242"/>
      <c r="AWE59" s="242"/>
      <c r="AWF59" s="242"/>
      <c r="AWG59" s="242"/>
      <c r="AWH59" s="242"/>
      <c r="AWI59" s="245"/>
      <c r="AWJ59" s="242"/>
      <c r="AWK59" s="242"/>
      <c r="AWL59" s="242"/>
      <c r="AWM59" s="242"/>
      <c r="AWN59" s="242"/>
      <c r="AWO59" s="244"/>
      <c r="AWP59" s="242"/>
      <c r="AWQ59" s="242"/>
      <c r="AWR59" s="242"/>
      <c r="AWS59" s="242"/>
      <c r="AWT59" s="242"/>
      <c r="AWU59" s="245"/>
      <c r="AWV59" s="242"/>
      <c r="AWW59" s="242"/>
      <c r="AWX59" s="242"/>
      <c r="AWY59" s="242"/>
      <c r="AWZ59" s="242"/>
      <c r="AXA59" s="244"/>
      <c r="AXB59" s="242"/>
      <c r="AXC59" s="242"/>
      <c r="AXD59" s="242"/>
      <c r="AXE59" s="242"/>
      <c r="AXF59" s="242"/>
      <c r="AXG59" s="245"/>
      <c r="AXH59" s="242"/>
      <c r="AXI59" s="242"/>
      <c r="AXJ59" s="242"/>
      <c r="AXK59" s="242"/>
      <c r="AXL59" s="242"/>
      <c r="AXM59" s="244"/>
      <c r="AXN59" s="242"/>
      <c r="AXO59" s="242"/>
      <c r="AXP59" s="242"/>
      <c r="AXQ59" s="242"/>
      <c r="AXR59" s="242"/>
      <c r="AXS59" s="245"/>
      <c r="AXT59" s="242"/>
      <c r="AXU59" s="242"/>
      <c r="AXV59" s="242"/>
      <c r="AXW59" s="242"/>
      <c r="AXX59" s="242"/>
      <c r="AXY59" s="246"/>
      <c r="AXZ59" s="241"/>
      <c r="AYA59" s="242"/>
      <c r="AYB59" s="242"/>
      <c r="AYC59" s="242"/>
      <c r="AYD59" s="242"/>
      <c r="AYE59" s="243"/>
      <c r="AYF59" s="242"/>
      <c r="AYG59" s="242"/>
      <c r="AYH59" s="242"/>
      <c r="AYI59" s="242"/>
      <c r="AYJ59" s="242"/>
      <c r="AYK59" s="244"/>
      <c r="AYL59" s="242"/>
      <c r="AYM59" s="242"/>
      <c r="AYN59" s="242"/>
      <c r="AYO59" s="242"/>
      <c r="AYP59" s="242"/>
      <c r="AYQ59" s="245"/>
      <c r="AYR59" s="242"/>
      <c r="AYS59" s="242"/>
      <c r="AYT59" s="242"/>
      <c r="AYU59" s="242"/>
      <c r="AYV59" s="242"/>
      <c r="AYW59" s="244"/>
      <c r="AYX59" s="242"/>
      <c r="AYY59" s="242"/>
      <c r="AYZ59" s="242"/>
      <c r="AZA59" s="242"/>
      <c r="AZB59" s="242"/>
      <c r="AZC59" s="245"/>
      <c r="AZD59" s="242"/>
      <c r="AZE59" s="242"/>
      <c r="AZF59" s="242"/>
      <c r="AZG59" s="242"/>
      <c r="AZH59" s="242"/>
      <c r="AZI59" s="244"/>
      <c r="AZJ59" s="242"/>
      <c r="AZK59" s="242"/>
      <c r="AZL59" s="242"/>
      <c r="AZM59" s="242"/>
      <c r="AZN59" s="242"/>
      <c r="AZO59" s="245"/>
      <c r="AZP59" s="242"/>
      <c r="AZQ59" s="242"/>
      <c r="AZR59" s="242"/>
      <c r="AZS59" s="242"/>
      <c r="AZT59" s="242"/>
      <c r="AZU59" s="244"/>
      <c r="AZV59" s="242"/>
      <c r="AZW59" s="242"/>
      <c r="AZX59" s="242"/>
      <c r="AZY59" s="242"/>
      <c r="AZZ59" s="242"/>
      <c r="BAA59" s="245"/>
      <c r="BAB59" s="242"/>
      <c r="BAC59" s="242"/>
      <c r="BAD59" s="242"/>
      <c r="BAE59" s="242"/>
      <c r="BAF59" s="242"/>
      <c r="BAG59" s="246"/>
      <c r="BAH59" s="241"/>
      <c r="BAI59" s="242"/>
      <c r="BAJ59" s="242"/>
      <c r="BAK59" s="242"/>
      <c r="BAL59" s="242"/>
      <c r="BAM59" s="243"/>
      <c r="BAN59" s="242"/>
      <c r="BAO59" s="242"/>
      <c r="BAP59" s="242"/>
      <c r="BAQ59" s="242"/>
      <c r="BAR59" s="242"/>
      <c r="BAS59" s="244"/>
      <c r="BAT59" s="242"/>
      <c r="BAU59" s="242"/>
      <c r="BAV59" s="242"/>
      <c r="BAW59" s="242"/>
      <c r="BAX59" s="242"/>
      <c r="BAY59" s="245"/>
      <c r="BAZ59" s="242"/>
      <c r="BBA59" s="242"/>
      <c r="BBB59" s="242"/>
      <c r="BBC59" s="242"/>
      <c r="BBD59" s="242"/>
      <c r="BBE59" s="244"/>
      <c r="BBF59" s="242"/>
      <c r="BBG59" s="242"/>
      <c r="BBH59" s="242"/>
      <c r="BBI59" s="242"/>
      <c r="BBJ59" s="242"/>
      <c r="BBK59" s="245"/>
      <c r="BBL59" s="242"/>
      <c r="BBM59" s="242"/>
      <c r="BBN59" s="242"/>
      <c r="BBO59" s="242"/>
      <c r="BBP59" s="242"/>
      <c r="BBQ59" s="244"/>
      <c r="BBR59" s="242"/>
      <c r="BBS59" s="242"/>
      <c r="BBT59" s="242"/>
      <c r="BBU59" s="242"/>
      <c r="BBV59" s="242"/>
      <c r="BBW59" s="245"/>
      <c r="BBX59" s="242"/>
      <c r="BBY59" s="242"/>
      <c r="BBZ59" s="242"/>
      <c r="BCA59" s="242"/>
      <c r="BCB59" s="242"/>
      <c r="BCC59" s="244"/>
      <c r="BCD59" s="242"/>
      <c r="BCE59" s="242"/>
      <c r="BCF59" s="242"/>
      <c r="BCG59" s="242"/>
      <c r="BCH59" s="242"/>
      <c r="BCI59" s="245"/>
      <c r="BCJ59" s="242"/>
      <c r="BCK59" s="242"/>
      <c r="BCL59" s="242"/>
      <c r="BCM59" s="242"/>
      <c r="BCN59" s="242"/>
      <c r="BCO59" s="246"/>
      <c r="BCP59" s="241"/>
      <c r="BCQ59" s="242"/>
      <c r="BCR59" s="242"/>
      <c r="BCS59" s="242"/>
      <c r="BCT59" s="242"/>
      <c r="BCU59" s="243"/>
      <c r="BCV59" s="242"/>
      <c r="BCW59" s="242"/>
      <c r="BCX59" s="242"/>
      <c r="BCY59" s="242"/>
      <c r="BCZ59" s="242"/>
      <c r="BDA59" s="244"/>
      <c r="BDB59" s="242"/>
      <c r="BDC59" s="242"/>
      <c r="BDD59" s="242"/>
      <c r="BDE59" s="242"/>
      <c r="BDF59" s="242"/>
      <c r="BDG59" s="245"/>
      <c r="BDH59" s="242"/>
      <c r="BDI59" s="242"/>
      <c r="BDJ59" s="242"/>
      <c r="BDK59" s="242"/>
      <c r="BDL59" s="242"/>
      <c r="BDM59" s="244"/>
      <c r="BDN59" s="242"/>
      <c r="BDO59" s="242"/>
      <c r="BDP59" s="242"/>
      <c r="BDQ59" s="242"/>
      <c r="BDR59" s="242"/>
      <c r="BDS59" s="245"/>
      <c r="BDT59" s="242"/>
      <c r="BDU59" s="242"/>
      <c r="BDV59" s="242"/>
      <c r="BDW59" s="242"/>
      <c r="BDX59" s="242"/>
      <c r="BDY59" s="244"/>
      <c r="BDZ59" s="242"/>
      <c r="BEA59" s="242"/>
      <c r="BEB59" s="242"/>
      <c r="BEC59" s="242"/>
      <c r="BED59" s="242"/>
      <c r="BEE59" s="245"/>
      <c r="BEF59" s="242"/>
      <c r="BEG59" s="242"/>
      <c r="BEH59" s="242"/>
      <c r="BEI59" s="242"/>
      <c r="BEJ59" s="242"/>
      <c r="BEK59" s="244"/>
      <c r="BEL59" s="242"/>
      <c r="BEM59" s="242"/>
      <c r="BEN59" s="242"/>
      <c r="BEO59" s="242"/>
      <c r="BEP59" s="242"/>
      <c r="BEQ59" s="245"/>
      <c r="BER59" s="242"/>
      <c r="BES59" s="242"/>
      <c r="BET59" s="242"/>
      <c r="BEU59" s="242"/>
      <c r="BEV59" s="242"/>
      <c r="BEW59" s="246"/>
      <c r="BEX59" s="241"/>
      <c r="BEY59" s="242"/>
      <c r="BEZ59" s="242"/>
      <c r="BFA59" s="242"/>
      <c r="BFB59" s="242"/>
      <c r="BFC59" s="243"/>
      <c r="BFD59" s="242"/>
      <c r="BFE59" s="242"/>
      <c r="BFF59" s="242"/>
      <c r="BFG59" s="242"/>
      <c r="BFH59" s="242"/>
      <c r="BFI59" s="244"/>
      <c r="BFJ59" s="242"/>
      <c r="BFK59" s="242"/>
      <c r="BFL59" s="242"/>
      <c r="BFM59" s="242"/>
      <c r="BFN59" s="242"/>
      <c r="BFO59" s="245"/>
      <c r="BFP59" s="242"/>
      <c r="BFQ59" s="242"/>
      <c r="BFR59" s="242"/>
      <c r="BFS59" s="242"/>
      <c r="BFT59" s="242"/>
      <c r="BFU59" s="244"/>
      <c r="BFV59" s="242"/>
      <c r="BFW59" s="242"/>
      <c r="BFX59" s="242"/>
      <c r="BFY59" s="242"/>
      <c r="BFZ59" s="242"/>
      <c r="BGA59" s="245"/>
      <c r="BGB59" s="242"/>
      <c r="BGC59" s="242"/>
      <c r="BGD59" s="242"/>
      <c r="BGE59" s="242"/>
      <c r="BGF59" s="242"/>
      <c r="BGG59" s="244"/>
      <c r="BGH59" s="242"/>
      <c r="BGI59" s="242"/>
      <c r="BGJ59" s="242"/>
      <c r="BGK59" s="242"/>
      <c r="BGL59" s="242"/>
      <c r="BGM59" s="245"/>
      <c r="BGN59" s="242"/>
      <c r="BGO59" s="242"/>
      <c r="BGP59" s="242"/>
      <c r="BGQ59" s="242"/>
      <c r="BGR59" s="242"/>
      <c r="BGS59" s="244"/>
      <c r="BGT59" s="242"/>
      <c r="BGU59" s="242"/>
      <c r="BGV59" s="242"/>
      <c r="BGW59" s="242"/>
      <c r="BGX59" s="242"/>
      <c r="BGY59" s="245"/>
      <c r="BGZ59" s="242"/>
      <c r="BHA59" s="242"/>
      <c r="BHB59" s="242"/>
      <c r="BHC59" s="242"/>
      <c r="BHD59" s="242"/>
      <c r="BHE59" s="246"/>
      <c r="BHF59" s="241"/>
      <c r="BHG59" s="242"/>
      <c r="BHH59" s="242"/>
      <c r="BHI59" s="242"/>
      <c r="BHJ59" s="242"/>
      <c r="BHK59" s="243"/>
      <c r="BHL59" s="242"/>
      <c r="BHM59" s="242"/>
      <c r="BHN59" s="242"/>
      <c r="BHO59" s="242"/>
      <c r="BHP59" s="242"/>
      <c r="BHQ59" s="244"/>
      <c r="BHR59" s="242"/>
      <c r="BHS59" s="242"/>
      <c r="BHT59" s="242"/>
      <c r="BHU59" s="242"/>
      <c r="BHV59" s="242"/>
      <c r="BHW59" s="245"/>
      <c r="BHX59" s="242"/>
      <c r="BHY59" s="242"/>
      <c r="BHZ59" s="242"/>
      <c r="BIA59" s="242"/>
      <c r="BIB59" s="242"/>
      <c r="BIC59" s="244"/>
      <c r="BID59" s="242"/>
      <c r="BIE59" s="242"/>
      <c r="BIF59" s="242"/>
      <c r="BIG59" s="242"/>
      <c r="BIH59" s="242"/>
      <c r="BII59" s="245"/>
      <c r="BIJ59" s="242"/>
      <c r="BIK59" s="242"/>
      <c r="BIL59" s="242"/>
      <c r="BIM59" s="242"/>
      <c r="BIN59" s="242"/>
      <c r="BIO59" s="244"/>
      <c r="BIP59" s="242"/>
      <c r="BIQ59" s="242"/>
      <c r="BIR59" s="242"/>
      <c r="BIS59" s="242"/>
      <c r="BIT59" s="242"/>
      <c r="BIU59" s="245"/>
      <c r="BIV59" s="242"/>
      <c r="BIW59" s="242"/>
      <c r="BIX59" s="242"/>
      <c r="BIY59" s="242"/>
      <c r="BIZ59" s="242"/>
      <c r="BJA59" s="244"/>
      <c r="BJB59" s="242"/>
      <c r="BJC59" s="242"/>
      <c r="BJD59" s="242"/>
      <c r="BJE59" s="242"/>
      <c r="BJF59" s="242"/>
      <c r="BJG59" s="245"/>
      <c r="BJH59" s="242"/>
      <c r="BJI59" s="242"/>
      <c r="BJJ59" s="242"/>
      <c r="BJK59" s="242"/>
      <c r="BJL59" s="242"/>
      <c r="BJM59" s="246"/>
      <c r="BJN59" s="233"/>
      <c r="BJO59" s="234"/>
      <c r="BJP59" s="234"/>
      <c r="BJQ59" s="234"/>
      <c r="BJR59" s="234"/>
      <c r="BJS59" s="234"/>
      <c r="BJT59" s="234"/>
      <c r="BJU59" s="234"/>
      <c r="BJV59" s="234"/>
      <c r="BJW59" s="234"/>
      <c r="BJX59" s="234"/>
      <c r="BJY59" s="234"/>
      <c r="BJZ59" s="234"/>
      <c r="BKA59" s="234"/>
      <c r="BKB59" s="234"/>
      <c r="BKC59" s="234"/>
      <c r="BKD59" s="234"/>
      <c r="BKE59" s="234"/>
      <c r="BKF59" s="234"/>
      <c r="BKG59" s="234"/>
      <c r="BKH59" s="234"/>
      <c r="BKI59" s="234"/>
      <c r="BKJ59" s="234"/>
      <c r="BKK59" s="234"/>
      <c r="BKL59" s="234"/>
      <c r="BKM59" s="234"/>
      <c r="BKN59" s="234"/>
    </row>
    <row r="60" spans="1:1652" ht="20.100000000000001" customHeight="1" x14ac:dyDescent="0.3">
      <c r="A60" s="84" t="s">
        <v>20</v>
      </c>
      <c r="B60" s="53"/>
      <c r="C60" s="189"/>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174"/>
      <c r="BJO60" s="4"/>
      <c r="BJP60" s="4"/>
      <c r="BJQ60" s="4"/>
      <c r="BJR60" s="4"/>
      <c r="BJS60" s="4"/>
      <c r="BJT60" s="4"/>
      <c r="BJU60" s="4"/>
      <c r="BJV60" s="4"/>
      <c r="BJW60" s="4"/>
      <c r="BJX60" s="4"/>
      <c r="BJY60" s="4"/>
      <c r="BJZ60" s="4"/>
      <c r="BKA60" s="4"/>
      <c r="BKB60" s="4"/>
      <c r="BKC60" s="4"/>
      <c r="BKD60" s="4"/>
      <c r="BKE60" s="4"/>
      <c r="BKF60" s="4"/>
      <c r="BKG60" s="4"/>
      <c r="BKH60" s="4"/>
      <c r="BKI60" s="4"/>
      <c r="BKJ60" s="4"/>
      <c r="BKK60" s="4"/>
      <c r="BKL60" s="4"/>
      <c r="BKM60" s="4"/>
      <c r="BKN60" s="4"/>
    </row>
    <row r="61" spans="1:1652" ht="20.100000000000001" customHeight="1" x14ac:dyDescent="0.25">
      <c r="A61" s="84" t="s">
        <v>19</v>
      </c>
      <c r="B61" s="53"/>
      <c r="C61" s="177"/>
      <c r="D61" s="129" t="str">
        <f t="shared" si="0"/>
        <v>0h</v>
      </c>
      <c r="E61" s="34">
        <v>0</v>
      </c>
      <c r="F61" s="235"/>
      <c r="G61" s="236"/>
      <c r="H61" s="236"/>
      <c r="I61" s="236"/>
      <c r="J61" s="236"/>
      <c r="K61" s="237"/>
      <c r="L61" s="236"/>
      <c r="M61" s="236"/>
      <c r="N61" s="236"/>
      <c r="O61" s="236"/>
      <c r="P61" s="236"/>
      <c r="Q61" s="238"/>
      <c r="R61" s="236"/>
      <c r="S61" s="236"/>
      <c r="T61" s="236"/>
      <c r="U61" s="236"/>
      <c r="V61" s="236"/>
      <c r="W61" s="239"/>
      <c r="X61" s="236"/>
      <c r="Y61" s="236"/>
      <c r="Z61" s="236"/>
      <c r="AA61" s="236"/>
      <c r="AB61" s="236"/>
      <c r="AC61" s="238"/>
      <c r="AD61" s="236"/>
      <c r="AE61" s="236"/>
      <c r="AF61" s="236"/>
      <c r="AG61" s="236"/>
      <c r="AH61" s="236"/>
      <c r="AI61" s="239"/>
      <c r="AJ61" s="236"/>
      <c r="AK61" s="236"/>
      <c r="AL61" s="236"/>
      <c r="AM61" s="236"/>
      <c r="AN61" s="236"/>
      <c r="AO61" s="238"/>
      <c r="AP61" s="236"/>
      <c r="AQ61" s="236"/>
      <c r="AR61" s="236"/>
      <c r="AS61" s="236"/>
      <c r="AT61" s="236"/>
      <c r="AU61" s="239"/>
      <c r="AV61" s="236"/>
      <c r="AW61" s="236"/>
      <c r="AX61" s="236"/>
      <c r="AY61" s="236"/>
      <c r="AZ61" s="236"/>
      <c r="BA61" s="238"/>
      <c r="BB61" s="236"/>
      <c r="BC61" s="236"/>
      <c r="BD61" s="236"/>
      <c r="BE61" s="236"/>
      <c r="BF61" s="236"/>
      <c r="BG61" s="239"/>
      <c r="BH61" s="236"/>
      <c r="BI61" s="236"/>
      <c r="BJ61" s="236"/>
      <c r="BK61" s="236"/>
      <c r="BL61" s="236"/>
      <c r="BM61" s="240"/>
      <c r="BN61" s="235"/>
      <c r="BO61" s="236"/>
      <c r="BP61" s="236"/>
      <c r="BQ61" s="236"/>
      <c r="BR61" s="236"/>
      <c r="BS61" s="237"/>
      <c r="BT61" s="236"/>
      <c r="BU61" s="236"/>
      <c r="BV61" s="236"/>
      <c r="BW61" s="236"/>
      <c r="BX61" s="236"/>
      <c r="BY61" s="238"/>
      <c r="BZ61" s="236"/>
      <c r="CA61" s="236"/>
      <c r="CB61" s="236"/>
      <c r="CC61" s="236"/>
      <c r="CD61" s="236"/>
      <c r="CE61" s="239"/>
      <c r="CF61" s="236"/>
      <c r="CG61" s="236"/>
      <c r="CH61" s="236"/>
      <c r="CI61" s="236"/>
      <c r="CJ61" s="236"/>
      <c r="CK61" s="238"/>
      <c r="CL61" s="236"/>
      <c r="CM61" s="236"/>
      <c r="CN61" s="236"/>
      <c r="CO61" s="236"/>
      <c r="CP61" s="236"/>
      <c r="CQ61" s="239"/>
      <c r="CR61" s="236"/>
      <c r="CS61" s="236"/>
      <c r="CT61" s="236"/>
      <c r="CU61" s="236"/>
      <c r="CV61" s="236"/>
      <c r="CW61" s="238"/>
      <c r="CX61" s="236"/>
      <c r="CY61" s="236"/>
      <c r="CZ61" s="236"/>
      <c r="DA61" s="236"/>
      <c r="DB61" s="236"/>
      <c r="DC61" s="239"/>
      <c r="DD61" s="236"/>
      <c r="DE61" s="236"/>
      <c r="DF61" s="236"/>
      <c r="DG61" s="236"/>
      <c r="DH61" s="236"/>
      <c r="DI61" s="238"/>
      <c r="DJ61" s="236"/>
      <c r="DK61" s="236"/>
      <c r="DL61" s="236"/>
      <c r="DM61" s="236"/>
      <c r="DN61" s="236"/>
      <c r="DO61" s="239"/>
      <c r="DP61" s="236"/>
      <c r="DQ61" s="236"/>
      <c r="DR61" s="236"/>
      <c r="DS61" s="236"/>
      <c r="DT61" s="236"/>
      <c r="DU61" s="240"/>
      <c r="DV61" s="235"/>
      <c r="DW61" s="236"/>
      <c r="DX61" s="236"/>
      <c r="DY61" s="236"/>
      <c r="DZ61" s="236"/>
      <c r="EA61" s="237"/>
      <c r="EB61" s="236"/>
      <c r="EC61" s="236"/>
      <c r="ED61" s="236"/>
      <c r="EE61" s="236"/>
      <c r="EF61" s="236"/>
      <c r="EG61" s="238"/>
      <c r="EH61" s="236"/>
      <c r="EI61" s="236"/>
      <c r="EJ61" s="236"/>
      <c r="EK61" s="236"/>
      <c r="EL61" s="236"/>
      <c r="EM61" s="239"/>
      <c r="EN61" s="236"/>
      <c r="EO61" s="236"/>
      <c r="EP61" s="236"/>
      <c r="EQ61" s="236"/>
      <c r="ER61" s="236"/>
      <c r="ES61" s="238"/>
      <c r="ET61" s="236"/>
      <c r="EU61" s="236"/>
      <c r="EV61" s="236"/>
      <c r="EW61" s="236"/>
      <c r="EX61" s="236"/>
      <c r="EY61" s="239"/>
      <c r="EZ61" s="236"/>
      <c r="FA61" s="236"/>
      <c r="FB61" s="236"/>
      <c r="FC61" s="236"/>
      <c r="FD61" s="236"/>
      <c r="FE61" s="238"/>
      <c r="FF61" s="236"/>
      <c r="FG61" s="236"/>
      <c r="FH61" s="236"/>
      <c r="FI61" s="236"/>
      <c r="FJ61" s="236"/>
      <c r="FK61" s="239"/>
      <c r="FL61" s="236"/>
      <c r="FM61" s="236"/>
      <c r="FN61" s="236"/>
      <c r="FO61" s="236"/>
      <c r="FP61" s="236"/>
      <c r="FQ61" s="238"/>
      <c r="FR61" s="236"/>
      <c r="FS61" s="236"/>
      <c r="FT61" s="236"/>
      <c r="FU61" s="236"/>
      <c r="FV61" s="236"/>
      <c r="FW61" s="239"/>
      <c r="FX61" s="236"/>
      <c r="FY61" s="236"/>
      <c r="FZ61" s="236"/>
      <c r="GA61" s="236"/>
      <c r="GB61" s="236"/>
      <c r="GC61" s="240"/>
      <c r="GD61" s="235"/>
      <c r="GE61" s="236"/>
      <c r="GF61" s="236"/>
      <c r="GG61" s="236"/>
      <c r="GH61" s="236"/>
      <c r="GI61" s="237"/>
      <c r="GJ61" s="236"/>
      <c r="GK61" s="236"/>
      <c r="GL61" s="236"/>
      <c r="GM61" s="236"/>
      <c r="GN61" s="236"/>
      <c r="GO61" s="238"/>
      <c r="GP61" s="236"/>
      <c r="GQ61" s="236"/>
      <c r="GR61" s="236"/>
      <c r="GS61" s="236"/>
      <c r="GT61" s="236"/>
      <c r="GU61" s="239"/>
      <c r="GV61" s="236"/>
      <c r="GW61" s="236"/>
      <c r="GX61" s="236"/>
      <c r="GY61" s="236"/>
      <c r="GZ61" s="236"/>
      <c r="HA61" s="238"/>
      <c r="HB61" s="236"/>
      <c r="HC61" s="236"/>
      <c r="HD61" s="236"/>
      <c r="HE61" s="236"/>
      <c r="HF61" s="236"/>
      <c r="HG61" s="239"/>
      <c r="HH61" s="236"/>
      <c r="HI61" s="236"/>
      <c r="HJ61" s="236"/>
      <c r="HK61" s="236"/>
      <c r="HL61" s="236"/>
      <c r="HM61" s="238"/>
      <c r="HN61" s="236"/>
      <c r="HO61" s="236"/>
      <c r="HP61" s="236"/>
      <c r="HQ61" s="236"/>
      <c r="HR61" s="236"/>
      <c r="HS61" s="239"/>
      <c r="HT61" s="236"/>
      <c r="HU61" s="236"/>
      <c r="HV61" s="236"/>
      <c r="HW61" s="236"/>
      <c r="HX61" s="236"/>
      <c r="HY61" s="238"/>
      <c r="HZ61" s="236"/>
      <c r="IA61" s="236"/>
      <c r="IB61" s="236"/>
      <c r="IC61" s="236"/>
      <c r="ID61" s="236"/>
      <c r="IE61" s="239"/>
      <c r="IF61" s="236"/>
      <c r="IG61" s="236"/>
      <c r="IH61" s="236"/>
      <c r="II61" s="236"/>
      <c r="IJ61" s="236"/>
      <c r="IK61" s="240"/>
      <c r="IL61" s="235"/>
      <c r="IM61" s="236"/>
      <c r="IN61" s="236"/>
      <c r="IO61" s="236"/>
      <c r="IP61" s="236"/>
      <c r="IQ61" s="237"/>
      <c r="IR61" s="236"/>
      <c r="IS61" s="236"/>
      <c r="IT61" s="236"/>
      <c r="IU61" s="236"/>
      <c r="IV61" s="236"/>
      <c r="IW61" s="238"/>
      <c r="IX61" s="236"/>
      <c r="IY61" s="236"/>
      <c r="IZ61" s="236"/>
      <c r="JA61" s="236"/>
      <c r="JB61" s="236"/>
      <c r="JC61" s="239"/>
      <c r="JD61" s="236"/>
      <c r="JE61" s="236"/>
      <c r="JF61" s="236"/>
      <c r="JG61" s="236"/>
      <c r="JH61" s="236"/>
      <c r="JI61" s="238"/>
      <c r="JJ61" s="236"/>
      <c r="JK61" s="236"/>
      <c r="JL61" s="236"/>
      <c r="JM61" s="236"/>
      <c r="JN61" s="236"/>
      <c r="JO61" s="239"/>
      <c r="JP61" s="236"/>
      <c r="JQ61" s="236"/>
      <c r="JR61" s="236"/>
      <c r="JS61" s="236"/>
      <c r="JT61" s="236"/>
      <c r="JU61" s="238"/>
      <c r="JV61" s="236"/>
      <c r="JW61" s="236"/>
      <c r="JX61" s="236"/>
      <c r="JY61" s="236"/>
      <c r="JZ61" s="236"/>
      <c r="KA61" s="239"/>
      <c r="KB61" s="236"/>
      <c r="KC61" s="236"/>
      <c r="KD61" s="236"/>
      <c r="KE61" s="236"/>
      <c r="KF61" s="236"/>
      <c r="KG61" s="238"/>
      <c r="KH61" s="236"/>
      <c r="KI61" s="236"/>
      <c r="KJ61" s="236"/>
      <c r="KK61" s="236"/>
      <c r="KL61" s="236"/>
      <c r="KM61" s="239"/>
      <c r="KN61" s="236"/>
      <c r="KO61" s="236"/>
      <c r="KP61" s="236"/>
      <c r="KQ61" s="236"/>
      <c r="KR61" s="236"/>
      <c r="KS61" s="240"/>
      <c r="KT61" s="235"/>
      <c r="KU61" s="236"/>
      <c r="KV61" s="236"/>
      <c r="KW61" s="236"/>
      <c r="KX61" s="236"/>
      <c r="KY61" s="237"/>
      <c r="KZ61" s="236"/>
      <c r="LA61" s="236"/>
      <c r="LB61" s="236"/>
      <c r="LC61" s="236"/>
      <c r="LD61" s="236"/>
      <c r="LE61" s="238"/>
      <c r="LF61" s="236"/>
      <c r="LG61" s="236"/>
      <c r="LH61" s="236"/>
      <c r="LI61" s="236"/>
      <c r="LJ61" s="236"/>
      <c r="LK61" s="239"/>
      <c r="LL61" s="236"/>
      <c r="LM61" s="236"/>
      <c r="LN61" s="236"/>
      <c r="LO61" s="236"/>
      <c r="LP61" s="236"/>
      <c r="LQ61" s="238"/>
      <c r="LR61" s="236"/>
      <c r="LS61" s="236"/>
      <c r="LT61" s="236"/>
      <c r="LU61" s="236"/>
      <c r="LV61" s="236"/>
      <c r="LW61" s="239"/>
      <c r="LX61" s="236"/>
      <c r="LY61" s="236"/>
      <c r="LZ61" s="236"/>
      <c r="MA61" s="236"/>
      <c r="MB61" s="236"/>
      <c r="MC61" s="238"/>
      <c r="MD61" s="236"/>
      <c r="ME61" s="236"/>
      <c r="MF61" s="236"/>
      <c r="MG61" s="236"/>
      <c r="MH61" s="236"/>
      <c r="MI61" s="239"/>
      <c r="MJ61" s="236"/>
      <c r="MK61" s="236"/>
      <c r="ML61" s="236"/>
      <c r="MM61" s="236"/>
      <c r="MN61" s="236"/>
      <c r="MO61" s="238"/>
      <c r="MP61" s="236"/>
      <c r="MQ61" s="236"/>
      <c r="MR61" s="236"/>
      <c r="MS61" s="236"/>
      <c r="MT61" s="236"/>
      <c r="MU61" s="239"/>
      <c r="MV61" s="236"/>
      <c r="MW61" s="236"/>
      <c r="MX61" s="236"/>
      <c r="MY61" s="236"/>
      <c r="MZ61" s="236"/>
      <c r="NA61" s="240"/>
      <c r="NB61" s="235"/>
      <c r="NC61" s="236"/>
      <c r="ND61" s="236"/>
      <c r="NE61" s="236"/>
      <c r="NF61" s="236"/>
      <c r="NG61" s="237"/>
      <c r="NH61" s="236"/>
      <c r="NI61" s="236"/>
      <c r="NJ61" s="236"/>
      <c r="NK61" s="236"/>
      <c r="NL61" s="236"/>
      <c r="NM61" s="238"/>
      <c r="NN61" s="236"/>
      <c r="NO61" s="236"/>
      <c r="NP61" s="236"/>
      <c r="NQ61" s="236"/>
      <c r="NR61" s="236"/>
      <c r="NS61" s="239"/>
      <c r="NT61" s="236"/>
      <c r="NU61" s="236"/>
      <c r="NV61" s="236"/>
      <c r="NW61" s="236"/>
      <c r="NX61" s="236"/>
      <c r="NY61" s="238"/>
      <c r="NZ61" s="236"/>
      <c r="OA61" s="236"/>
      <c r="OB61" s="236"/>
      <c r="OC61" s="236"/>
      <c r="OD61" s="236"/>
      <c r="OE61" s="239"/>
      <c r="OF61" s="236"/>
      <c r="OG61" s="236"/>
      <c r="OH61" s="236"/>
      <c r="OI61" s="236"/>
      <c r="OJ61" s="236"/>
      <c r="OK61" s="238"/>
      <c r="OL61" s="236"/>
      <c r="OM61" s="236"/>
      <c r="ON61" s="236"/>
      <c r="OO61" s="236"/>
      <c r="OP61" s="236"/>
      <c r="OQ61" s="239"/>
      <c r="OR61" s="236"/>
      <c r="OS61" s="236"/>
      <c r="OT61" s="236"/>
      <c r="OU61" s="236"/>
      <c r="OV61" s="236"/>
      <c r="OW61" s="238"/>
      <c r="OX61" s="236"/>
      <c r="OY61" s="236"/>
      <c r="OZ61" s="236"/>
      <c r="PA61" s="236"/>
      <c r="PB61" s="236"/>
      <c r="PC61" s="239"/>
      <c r="PD61" s="236"/>
      <c r="PE61" s="236"/>
      <c r="PF61" s="236"/>
      <c r="PG61" s="236"/>
      <c r="PH61" s="236"/>
      <c r="PI61" s="240"/>
      <c r="PJ61" s="235"/>
      <c r="PK61" s="236"/>
      <c r="PL61" s="236"/>
      <c r="PM61" s="236"/>
      <c r="PN61" s="236"/>
      <c r="PO61" s="237"/>
      <c r="PP61" s="236"/>
      <c r="PQ61" s="236"/>
      <c r="PR61" s="236"/>
      <c r="PS61" s="236"/>
      <c r="PT61" s="236"/>
      <c r="PU61" s="238"/>
      <c r="PV61" s="236"/>
      <c r="PW61" s="236"/>
      <c r="PX61" s="236"/>
      <c r="PY61" s="236"/>
      <c r="PZ61" s="236"/>
      <c r="QA61" s="239"/>
      <c r="QB61" s="236"/>
      <c r="QC61" s="236"/>
      <c r="QD61" s="236"/>
      <c r="QE61" s="236"/>
      <c r="QF61" s="236"/>
      <c r="QG61" s="238"/>
      <c r="QH61" s="236"/>
      <c r="QI61" s="236"/>
      <c r="QJ61" s="236"/>
      <c r="QK61" s="236"/>
      <c r="QL61" s="236"/>
      <c r="QM61" s="239"/>
      <c r="QN61" s="236"/>
      <c r="QO61" s="236"/>
      <c r="QP61" s="236"/>
      <c r="QQ61" s="236"/>
      <c r="QR61" s="236"/>
      <c r="QS61" s="238"/>
      <c r="QT61" s="236"/>
      <c r="QU61" s="236"/>
      <c r="QV61" s="236"/>
      <c r="QW61" s="236"/>
      <c r="QX61" s="236"/>
      <c r="QY61" s="239"/>
      <c r="QZ61" s="236"/>
      <c r="RA61" s="236"/>
      <c r="RB61" s="236"/>
      <c r="RC61" s="236"/>
      <c r="RD61" s="236"/>
      <c r="RE61" s="238"/>
      <c r="RF61" s="236"/>
      <c r="RG61" s="236"/>
      <c r="RH61" s="236"/>
      <c r="RI61" s="236"/>
      <c r="RJ61" s="236"/>
      <c r="RK61" s="239"/>
      <c r="RL61" s="236"/>
      <c r="RM61" s="236"/>
      <c r="RN61" s="236"/>
      <c r="RO61" s="236"/>
      <c r="RP61" s="236"/>
      <c r="RQ61" s="240"/>
      <c r="RR61" s="235"/>
      <c r="RS61" s="236"/>
      <c r="RT61" s="236"/>
      <c r="RU61" s="236"/>
      <c r="RV61" s="236"/>
      <c r="RW61" s="237"/>
      <c r="RX61" s="236"/>
      <c r="RY61" s="236"/>
      <c r="RZ61" s="236"/>
      <c r="SA61" s="236"/>
      <c r="SB61" s="236"/>
      <c r="SC61" s="238"/>
      <c r="SD61" s="236"/>
      <c r="SE61" s="236"/>
      <c r="SF61" s="236"/>
      <c r="SG61" s="236"/>
      <c r="SH61" s="236"/>
      <c r="SI61" s="239"/>
      <c r="SJ61" s="236"/>
      <c r="SK61" s="236"/>
      <c r="SL61" s="236"/>
      <c r="SM61" s="236"/>
      <c r="SN61" s="236"/>
      <c r="SO61" s="238"/>
      <c r="SP61" s="236"/>
      <c r="SQ61" s="236"/>
      <c r="SR61" s="236"/>
      <c r="SS61" s="236"/>
      <c r="ST61" s="236"/>
      <c r="SU61" s="239"/>
      <c r="SV61" s="236"/>
      <c r="SW61" s="236"/>
      <c r="SX61" s="236"/>
      <c r="SY61" s="236"/>
      <c r="SZ61" s="236"/>
      <c r="TA61" s="238"/>
      <c r="TB61" s="236"/>
      <c r="TC61" s="236"/>
      <c r="TD61" s="236"/>
      <c r="TE61" s="236"/>
      <c r="TF61" s="236"/>
      <c r="TG61" s="239"/>
      <c r="TH61" s="236"/>
      <c r="TI61" s="236"/>
      <c r="TJ61" s="236"/>
      <c r="TK61" s="236"/>
      <c r="TL61" s="236"/>
      <c r="TM61" s="238"/>
      <c r="TN61" s="236"/>
      <c r="TO61" s="236"/>
      <c r="TP61" s="236"/>
      <c r="TQ61" s="236"/>
      <c r="TR61" s="236"/>
      <c r="TS61" s="239"/>
      <c r="TT61" s="236"/>
      <c r="TU61" s="236"/>
      <c r="TV61" s="236"/>
      <c r="TW61" s="236"/>
      <c r="TX61" s="236"/>
      <c r="TY61" s="240"/>
      <c r="TZ61" s="235"/>
      <c r="UA61" s="236"/>
      <c r="UB61" s="236"/>
      <c r="UC61" s="236"/>
      <c r="UD61" s="236"/>
      <c r="UE61" s="237"/>
      <c r="UF61" s="236"/>
      <c r="UG61" s="236"/>
      <c r="UH61" s="236"/>
      <c r="UI61" s="236"/>
      <c r="UJ61" s="236"/>
      <c r="UK61" s="238"/>
      <c r="UL61" s="236"/>
      <c r="UM61" s="236"/>
      <c r="UN61" s="236"/>
      <c r="UO61" s="236"/>
      <c r="UP61" s="236"/>
      <c r="UQ61" s="239"/>
      <c r="UR61" s="236"/>
      <c r="US61" s="236"/>
      <c r="UT61" s="236"/>
      <c r="UU61" s="236"/>
      <c r="UV61" s="236"/>
      <c r="UW61" s="238"/>
      <c r="UX61" s="236"/>
      <c r="UY61" s="236"/>
      <c r="UZ61" s="236"/>
      <c r="VA61" s="236"/>
      <c r="VB61" s="236"/>
      <c r="VC61" s="239"/>
      <c r="VD61" s="236"/>
      <c r="VE61" s="236"/>
      <c r="VF61" s="236"/>
      <c r="VG61" s="236"/>
      <c r="VH61" s="236"/>
      <c r="VI61" s="238"/>
      <c r="VJ61" s="236"/>
      <c r="VK61" s="236"/>
      <c r="VL61" s="236"/>
      <c r="VM61" s="236"/>
      <c r="VN61" s="236"/>
      <c r="VO61" s="239"/>
      <c r="VP61" s="236"/>
      <c r="VQ61" s="236"/>
      <c r="VR61" s="236"/>
      <c r="VS61" s="236"/>
      <c r="VT61" s="236"/>
      <c r="VU61" s="238"/>
      <c r="VV61" s="236"/>
      <c r="VW61" s="236"/>
      <c r="VX61" s="236"/>
      <c r="VY61" s="236"/>
      <c r="VZ61" s="236"/>
      <c r="WA61" s="239"/>
      <c r="WB61" s="236"/>
      <c r="WC61" s="236"/>
      <c r="WD61" s="236"/>
      <c r="WE61" s="236"/>
      <c r="WF61" s="236"/>
      <c r="WG61" s="240"/>
      <c r="WH61" s="235"/>
      <c r="WI61" s="236"/>
      <c r="WJ61" s="236"/>
      <c r="WK61" s="236"/>
      <c r="WL61" s="236"/>
      <c r="WM61" s="237"/>
      <c r="WN61" s="236"/>
      <c r="WO61" s="236"/>
      <c r="WP61" s="236"/>
      <c r="WQ61" s="236"/>
      <c r="WR61" s="236"/>
      <c r="WS61" s="238"/>
      <c r="WT61" s="236"/>
      <c r="WU61" s="236"/>
      <c r="WV61" s="236"/>
      <c r="WW61" s="236"/>
      <c r="WX61" s="236"/>
      <c r="WY61" s="239"/>
      <c r="WZ61" s="236"/>
      <c r="XA61" s="236"/>
      <c r="XB61" s="236"/>
      <c r="XC61" s="236"/>
      <c r="XD61" s="236"/>
      <c r="XE61" s="238"/>
      <c r="XF61" s="236"/>
      <c r="XG61" s="236"/>
      <c r="XH61" s="236"/>
      <c r="XI61" s="236"/>
      <c r="XJ61" s="236"/>
      <c r="XK61" s="239"/>
      <c r="XL61" s="236"/>
      <c r="XM61" s="236"/>
      <c r="XN61" s="236"/>
      <c r="XO61" s="236"/>
      <c r="XP61" s="236"/>
      <c r="XQ61" s="238"/>
      <c r="XR61" s="236"/>
      <c r="XS61" s="236"/>
      <c r="XT61" s="236"/>
      <c r="XU61" s="236"/>
      <c r="XV61" s="236"/>
      <c r="XW61" s="239"/>
      <c r="XX61" s="236"/>
      <c r="XY61" s="236"/>
      <c r="XZ61" s="236"/>
      <c r="YA61" s="236"/>
      <c r="YB61" s="236"/>
      <c r="YC61" s="238"/>
      <c r="YD61" s="236"/>
      <c r="YE61" s="236"/>
      <c r="YF61" s="236"/>
      <c r="YG61" s="236"/>
      <c r="YH61" s="236"/>
      <c r="YI61" s="239"/>
      <c r="YJ61" s="236"/>
      <c r="YK61" s="236"/>
      <c r="YL61" s="236"/>
      <c r="YM61" s="236"/>
      <c r="YN61" s="236"/>
      <c r="YO61" s="240"/>
      <c r="YP61" s="235"/>
      <c r="YQ61" s="236"/>
      <c r="YR61" s="236"/>
      <c r="YS61" s="236"/>
      <c r="YT61" s="236"/>
      <c r="YU61" s="237"/>
      <c r="YV61" s="236"/>
      <c r="YW61" s="236"/>
      <c r="YX61" s="236"/>
      <c r="YY61" s="236"/>
      <c r="YZ61" s="236"/>
      <c r="ZA61" s="238"/>
      <c r="ZB61" s="236"/>
      <c r="ZC61" s="236"/>
      <c r="ZD61" s="236"/>
      <c r="ZE61" s="236"/>
      <c r="ZF61" s="236"/>
      <c r="ZG61" s="239"/>
      <c r="ZH61" s="236"/>
      <c r="ZI61" s="236"/>
      <c r="ZJ61" s="236"/>
      <c r="ZK61" s="236"/>
      <c r="ZL61" s="236"/>
      <c r="ZM61" s="238"/>
      <c r="ZN61" s="236"/>
      <c r="ZO61" s="236"/>
      <c r="ZP61" s="236"/>
      <c r="ZQ61" s="236"/>
      <c r="ZR61" s="236"/>
      <c r="ZS61" s="239"/>
      <c r="ZT61" s="236"/>
      <c r="ZU61" s="236"/>
      <c r="ZV61" s="236"/>
      <c r="ZW61" s="236"/>
      <c r="ZX61" s="236"/>
      <c r="ZY61" s="238"/>
      <c r="ZZ61" s="236"/>
      <c r="AAA61" s="236"/>
      <c r="AAB61" s="236"/>
      <c r="AAC61" s="236"/>
      <c r="AAD61" s="236"/>
      <c r="AAE61" s="239"/>
      <c r="AAF61" s="236"/>
      <c r="AAG61" s="236"/>
      <c r="AAH61" s="236"/>
      <c r="AAI61" s="236"/>
      <c r="AAJ61" s="236"/>
      <c r="AAK61" s="238"/>
      <c r="AAL61" s="236"/>
      <c r="AAM61" s="236"/>
      <c r="AAN61" s="236"/>
      <c r="AAO61" s="236"/>
      <c r="AAP61" s="236"/>
      <c r="AAQ61" s="239"/>
      <c r="AAR61" s="236"/>
      <c r="AAS61" s="236"/>
      <c r="AAT61" s="236"/>
      <c r="AAU61" s="236"/>
      <c r="AAV61" s="236"/>
      <c r="AAW61" s="240"/>
      <c r="AAX61" s="235"/>
      <c r="AAY61" s="236"/>
      <c r="AAZ61" s="236"/>
      <c r="ABA61" s="236"/>
      <c r="ABB61" s="236"/>
      <c r="ABC61" s="237"/>
      <c r="ABD61" s="236"/>
      <c r="ABE61" s="236"/>
      <c r="ABF61" s="236"/>
      <c r="ABG61" s="236"/>
      <c r="ABH61" s="236"/>
      <c r="ABI61" s="238"/>
      <c r="ABJ61" s="236"/>
      <c r="ABK61" s="236"/>
      <c r="ABL61" s="236"/>
      <c r="ABM61" s="236"/>
      <c r="ABN61" s="236"/>
      <c r="ABO61" s="239"/>
      <c r="ABP61" s="236"/>
      <c r="ABQ61" s="236"/>
      <c r="ABR61" s="236"/>
      <c r="ABS61" s="236"/>
      <c r="ABT61" s="236"/>
      <c r="ABU61" s="238"/>
      <c r="ABV61" s="236"/>
      <c r="ABW61" s="236"/>
      <c r="ABX61" s="236"/>
      <c r="ABY61" s="236"/>
      <c r="ABZ61" s="236"/>
      <c r="ACA61" s="239"/>
      <c r="ACB61" s="236"/>
      <c r="ACC61" s="236"/>
      <c r="ACD61" s="236"/>
      <c r="ACE61" s="236"/>
      <c r="ACF61" s="236"/>
      <c r="ACG61" s="238"/>
      <c r="ACH61" s="236"/>
      <c r="ACI61" s="236"/>
      <c r="ACJ61" s="236"/>
      <c r="ACK61" s="236"/>
      <c r="ACL61" s="236"/>
      <c r="ACM61" s="239"/>
      <c r="ACN61" s="236"/>
      <c r="ACO61" s="236"/>
      <c r="ACP61" s="236"/>
      <c r="ACQ61" s="236"/>
      <c r="ACR61" s="236"/>
      <c r="ACS61" s="238"/>
      <c r="ACT61" s="236"/>
      <c r="ACU61" s="236"/>
      <c r="ACV61" s="236"/>
      <c r="ACW61" s="236"/>
      <c r="ACX61" s="236"/>
      <c r="ACY61" s="239"/>
      <c r="ACZ61" s="236"/>
      <c r="ADA61" s="236"/>
      <c r="ADB61" s="236"/>
      <c r="ADC61" s="236"/>
      <c r="ADD61" s="236"/>
      <c r="ADE61" s="240"/>
      <c r="ADF61" s="235"/>
      <c r="ADG61" s="236"/>
      <c r="ADH61" s="236"/>
      <c r="ADI61" s="236"/>
      <c r="ADJ61" s="236"/>
      <c r="ADK61" s="237"/>
      <c r="ADL61" s="236"/>
      <c r="ADM61" s="236"/>
      <c r="ADN61" s="236"/>
      <c r="ADO61" s="236"/>
      <c r="ADP61" s="236"/>
      <c r="ADQ61" s="238"/>
      <c r="ADR61" s="236"/>
      <c r="ADS61" s="236"/>
      <c r="ADT61" s="236"/>
      <c r="ADU61" s="236"/>
      <c r="ADV61" s="236"/>
      <c r="ADW61" s="239"/>
      <c r="ADX61" s="236"/>
      <c r="ADY61" s="236"/>
      <c r="ADZ61" s="236"/>
      <c r="AEA61" s="236"/>
      <c r="AEB61" s="236"/>
      <c r="AEC61" s="238"/>
      <c r="AED61" s="236"/>
      <c r="AEE61" s="236"/>
      <c r="AEF61" s="236"/>
      <c r="AEG61" s="236"/>
      <c r="AEH61" s="236"/>
      <c r="AEI61" s="239"/>
      <c r="AEJ61" s="236"/>
      <c r="AEK61" s="236"/>
      <c r="AEL61" s="236"/>
      <c r="AEM61" s="236"/>
      <c r="AEN61" s="236"/>
      <c r="AEO61" s="238"/>
      <c r="AEP61" s="236"/>
      <c r="AEQ61" s="236"/>
      <c r="AER61" s="236"/>
      <c r="AES61" s="236"/>
      <c r="AET61" s="236"/>
      <c r="AEU61" s="239"/>
      <c r="AEV61" s="236"/>
      <c r="AEW61" s="236"/>
      <c r="AEX61" s="236"/>
      <c r="AEY61" s="236"/>
      <c r="AEZ61" s="236"/>
      <c r="AFA61" s="238"/>
      <c r="AFB61" s="236"/>
      <c r="AFC61" s="236"/>
      <c r="AFD61" s="236"/>
      <c r="AFE61" s="236"/>
      <c r="AFF61" s="236"/>
      <c r="AFG61" s="239"/>
      <c r="AFH61" s="236"/>
      <c r="AFI61" s="236"/>
      <c r="AFJ61" s="236"/>
      <c r="AFK61" s="236"/>
      <c r="AFL61" s="236"/>
      <c r="AFM61" s="240"/>
      <c r="AFN61" s="235"/>
      <c r="AFO61" s="236"/>
      <c r="AFP61" s="236"/>
      <c r="AFQ61" s="236"/>
      <c r="AFR61" s="236"/>
      <c r="AFS61" s="237"/>
      <c r="AFT61" s="236"/>
      <c r="AFU61" s="236"/>
      <c r="AFV61" s="236"/>
      <c r="AFW61" s="236"/>
      <c r="AFX61" s="236"/>
      <c r="AFY61" s="238"/>
      <c r="AFZ61" s="236"/>
      <c r="AGA61" s="236"/>
      <c r="AGB61" s="236"/>
      <c r="AGC61" s="236"/>
      <c r="AGD61" s="236"/>
      <c r="AGE61" s="239"/>
      <c r="AGF61" s="236"/>
      <c r="AGG61" s="236"/>
      <c r="AGH61" s="236"/>
      <c r="AGI61" s="236"/>
      <c r="AGJ61" s="236"/>
      <c r="AGK61" s="238"/>
      <c r="AGL61" s="236"/>
      <c r="AGM61" s="236"/>
      <c r="AGN61" s="236"/>
      <c r="AGO61" s="236"/>
      <c r="AGP61" s="236"/>
      <c r="AGQ61" s="239"/>
      <c r="AGR61" s="236"/>
      <c r="AGS61" s="236"/>
      <c r="AGT61" s="236"/>
      <c r="AGU61" s="236"/>
      <c r="AGV61" s="236"/>
      <c r="AGW61" s="238"/>
      <c r="AGX61" s="236"/>
      <c r="AGY61" s="236"/>
      <c r="AGZ61" s="236"/>
      <c r="AHA61" s="236"/>
      <c r="AHB61" s="236"/>
      <c r="AHC61" s="239"/>
      <c r="AHD61" s="236"/>
      <c r="AHE61" s="236"/>
      <c r="AHF61" s="236"/>
      <c r="AHG61" s="236"/>
      <c r="AHH61" s="236"/>
      <c r="AHI61" s="238"/>
      <c r="AHJ61" s="236"/>
      <c r="AHK61" s="236"/>
      <c r="AHL61" s="236"/>
      <c r="AHM61" s="236"/>
      <c r="AHN61" s="236"/>
      <c r="AHO61" s="239"/>
      <c r="AHP61" s="236"/>
      <c r="AHQ61" s="236"/>
      <c r="AHR61" s="236"/>
      <c r="AHS61" s="236"/>
      <c r="AHT61" s="236"/>
      <c r="AHU61" s="240"/>
      <c r="AHV61" s="235"/>
      <c r="AHW61" s="236"/>
      <c r="AHX61" s="236"/>
      <c r="AHY61" s="236"/>
      <c r="AHZ61" s="236"/>
      <c r="AIA61" s="237"/>
      <c r="AIB61" s="236"/>
      <c r="AIC61" s="236"/>
      <c r="AID61" s="236"/>
      <c r="AIE61" s="236"/>
      <c r="AIF61" s="236"/>
      <c r="AIG61" s="238"/>
      <c r="AIH61" s="236"/>
      <c r="AII61" s="236"/>
      <c r="AIJ61" s="236"/>
      <c r="AIK61" s="236"/>
      <c r="AIL61" s="236"/>
      <c r="AIM61" s="239"/>
      <c r="AIN61" s="236"/>
      <c r="AIO61" s="236"/>
      <c r="AIP61" s="236"/>
      <c r="AIQ61" s="236"/>
      <c r="AIR61" s="236"/>
      <c r="AIS61" s="238"/>
      <c r="AIT61" s="236"/>
      <c r="AIU61" s="236"/>
      <c r="AIV61" s="236"/>
      <c r="AIW61" s="236"/>
      <c r="AIX61" s="236"/>
      <c r="AIY61" s="239"/>
      <c r="AIZ61" s="236"/>
      <c r="AJA61" s="236"/>
      <c r="AJB61" s="236"/>
      <c r="AJC61" s="236"/>
      <c r="AJD61" s="236"/>
      <c r="AJE61" s="238"/>
      <c r="AJF61" s="236"/>
      <c r="AJG61" s="236"/>
      <c r="AJH61" s="236"/>
      <c r="AJI61" s="236"/>
      <c r="AJJ61" s="236"/>
      <c r="AJK61" s="239"/>
      <c r="AJL61" s="236"/>
      <c r="AJM61" s="236"/>
      <c r="AJN61" s="236"/>
      <c r="AJO61" s="236"/>
      <c r="AJP61" s="236"/>
      <c r="AJQ61" s="238"/>
      <c r="AJR61" s="236"/>
      <c r="AJS61" s="236"/>
      <c r="AJT61" s="236"/>
      <c r="AJU61" s="236"/>
      <c r="AJV61" s="236"/>
      <c r="AJW61" s="239"/>
      <c r="AJX61" s="236"/>
      <c r="AJY61" s="236"/>
      <c r="AJZ61" s="236"/>
      <c r="AKA61" s="236"/>
      <c r="AKB61" s="236"/>
      <c r="AKC61" s="240"/>
      <c r="AKD61" s="235"/>
      <c r="AKE61" s="236"/>
      <c r="AKF61" s="236"/>
      <c r="AKG61" s="236"/>
      <c r="AKH61" s="236"/>
      <c r="AKI61" s="237"/>
      <c r="AKJ61" s="236"/>
      <c r="AKK61" s="236"/>
      <c r="AKL61" s="236"/>
      <c r="AKM61" s="236"/>
      <c r="AKN61" s="236"/>
      <c r="AKO61" s="238"/>
      <c r="AKP61" s="236"/>
      <c r="AKQ61" s="236"/>
      <c r="AKR61" s="236"/>
      <c r="AKS61" s="236"/>
      <c r="AKT61" s="236"/>
      <c r="AKU61" s="239"/>
      <c r="AKV61" s="236"/>
      <c r="AKW61" s="236"/>
      <c r="AKX61" s="236"/>
      <c r="AKY61" s="236"/>
      <c r="AKZ61" s="236"/>
      <c r="ALA61" s="238"/>
      <c r="ALB61" s="236"/>
      <c r="ALC61" s="236"/>
      <c r="ALD61" s="236"/>
      <c r="ALE61" s="236"/>
      <c r="ALF61" s="236"/>
      <c r="ALG61" s="239"/>
      <c r="ALH61" s="236"/>
      <c r="ALI61" s="236"/>
      <c r="ALJ61" s="236"/>
      <c r="ALK61" s="236"/>
      <c r="ALL61" s="236"/>
      <c r="ALM61" s="238"/>
      <c r="ALN61" s="236"/>
      <c r="ALO61" s="236"/>
      <c r="ALP61" s="236"/>
      <c r="ALQ61" s="236"/>
      <c r="ALR61" s="236"/>
      <c r="ALS61" s="239"/>
      <c r="ALT61" s="236"/>
      <c r="ALU61" s="236"/>
      <c r="ALV61" s="236"/>
      <c r="ALW61" s="236"/>
      <c r="ALX61" s="236"/>
      <c r="ALY61" s="238"/>
      <c r="ALZ61" s="236"/>
      <c r="AMA61" s="236"/>
      <c r="AMB61" s="236"/>
      <c r="AMC61" s="236"/>
      <c r="AMD61" s="236"/>
      <c r="AME61" s="239"/>
      <c r="AMF61" s="236"/>
      <c r="AMG61" s="236"/>
      <c r="AMH61" s="236"/>
      <c r="AMI61" s="236"/>
      <c r="AMJ61" s="236"/>
      <c r="AMK61" s="240"/>
      <c r="AML61" s="235"/>
      <c r="AMM61" s="236"/>
      <c r="AMN61" s="236"/>
      <c r="AMO61" s="236"/>
      <c r="AMP61" s="236"/>
      <c r="AMQ61" s="237"/>
      <c r="AMR61" s="236"/>
      <c r="AMS61" s="236"/>
      <c r="AMT61" s="236"/>
      <c r="AMU61" s="236"/>
      <c r="AMV61" s="236"/>
      <c r="AMW61" s="238"/>
      <c r="AMX61" s="236"/>
      <c r="AMY61" s="236"/>
      <c r="AMZ61" s="236"/>
      <c r="ANA61" s="236"/>
      <c r="ANB61" s="236"/>
      <c r="ANC61" s="239"/>
      <c r="AND61" s="236"/>
      <c r="ANE61" s="236"/>
      <c r="ANF61" s="236"/>
      <c r="ANG61" s="236"/>
      <c r="ANH61" s="236"/>
      <c r="ANI61" s="238"/>
      <c r="ANJ61" s="236"/>
      <c r="ANK61" s="236"/>
      <c r="ANL61" s="236"/>
      <c r="ANM61" s="236"/>
      <c r="ANN61" s="236"/>
      <c r="ANO61" s="239"/>
      <c r="ANP61" s="236"/>
      <c r="ANQ61" s="236"/>
      <c r="ANR61" s="236"/>
      <c r="ANS61" s="236"/>
      <c r="ANT61" s="236"/>
      <c r="ANU61" s="238"/>
      <c r="ANV61" s="236"/>
      <c r="ANW61" s="236"/>
      <c r="ANX61" s="236"/>
      <c r="ANY61" s="236"/>
      <c r="ANZ61" s="236"/>
      <c r="AOA61" s="239"/>
      <c r="AOB61" s="236"/>
      <c r="AOC61" s="236"/>
      <c r="AOD61" s="236"/>
      <c r="AOE61" s="236"/>
      <c r="AOF61" s="236"/>
      <c r="AOG61" s="238"/>
      <c r="AOH61" s="236"/>
      <c r="AOI61" s="236"/>
      <c r="AOJ61" s="236"/>
      <c r="AOK61" s="236"/>
      <c r="AOL61" s="236"/>
      <c r="AOM61" s="239"/>
      <c r="AON61" s="236"/>
      <c r="AOO61" s="236"/>
      <c r="AOP61" s="236"/>
      <c r="AOQ61" s="236"/>
      <c r="AOR61" s="236"/>
      <c r="AOS61" s="240"/>
      <c r="AOT61" s="235"/>
      <c r="AOU61" s="236"/>
      <c r="AOV61" s="236"/>
      <c r="AOW61" s="236"/>
      <c r="AOX61" s="236"/>
      <c r="AOY61" s="237"/>
      <c r="AOZ61" s="236"/>
      <c r="APA61" s="236"/>
      <c r="APB61" s="236"/>
      <c r="APC61" s="236"/>
      <c r="APD61" s="236"/>
      <c r="APE61" s="238"/>
      <c r="APF61" s="236"/>
      <c r="APG61" s="236"/>
      <c r="APH61" s="236"/>
      <c r="API61" s="236"/>
      <c r="APJ61" s="236"/>
      <c r="APK61" s="239"/>
      <c r="APL61" s="236"/>
      <c r="APM61" s="236"/>
      <c r="APN61" s="236"/>
      <c r="APO61" s="236"/>
      <c r="APP61" s="236"/>
      <c r="APQ61" s="238"/>
      <c r="APR61" s="236"/>
      <c r="APS61" s="236"/>
      <c r="APT61" s="236"/>
      <c r="APU61" s="236"/>
      <c r="APV61" s="236"/>
      <c r="APW61" s="239"/>
      <c r="APX61" s="236"/>
      <c r="APY61" s="236"/>
      <c r="APZ61" s="236"/>
      <c r="AQA61" s="236"/>
      <c r="AQB61" s="236"/>
      <c r="AQC61" s="238"/>
      <c r="AQD61" s="236"/>
      <c r="AQE61" s="236"/>
      <c r="AQF61" s="236"/>
      <c r="AQG61" s="236"/>
      <c r="AQH61" s="236"/>
      <c r="AQI61" s="239"/>
      <c r="AQJ61" s="236"/>
      <c r="AQK61" s="236"/>
      <c r="AQL61" s="236"/>
      <c r="AQM61" s="236"/>
      <c r="AQN61" s="236"/>
      <c r="AQO61" s="238"/>
      <c r="AQP61" s="236"/>
      <c r="AQQ61" s="236"/>
      <c r="AQR61" s="236"/>
      <c r="AQS61" s="236"/>
      <c r="AQT61" s="236"/>
      <c r="AQU61" s="239"/>
      <c r="AQV61" s="236"/>
      <c r="AQW61" s="236"/>
      <c r="AQX61" s="236"/>
      <c r="AQY61" s="236"/>
      <c r="AQZ61" s="236"/>
      <c r="ARA61" s="240"/>
      <c r="ARB61" s="235"/>
      <c r="ARC61" s="236"/>
      <c r="ARD61" s="236"/>
      <c r="ARE61" s="236"/>
      <c r="ARF61" s="236"/>
      <c r="ARG61" s="237"/>
      <c r="ARH61" s="236"/>
      <c r="ARI61" s="236"/>
      <c r="ARJ61" s="236"/>
      <c r="ARK61" s="236"/>
      <c r="ARL61" s="236"/>
      <c r="ARM61" s="238"/>
      <c r="ARN61" s="236"/>
      <c r="ARO61" s="236"/>
      <c r="ARP61" s="236"/>
      <c r="ARQ61" s="236"/>
      <c r="ARR61" s="236"/>
      <c r="ARS61" s="239"/>
      <c r="ART61" s="236"/>
      <c r="ARU61" s="236"/>
      <c r="ARV61" s="236"/>
      <c r="ARW61" s="236"/>
      <c r="ARX61" s="236"/>
      <c r="ARY61" s="238"/>
      <c r="ARZ61" s="236"/>
      <c r="ASA61" s="236"/>
      <c r="ASB61" s="236"/>
      <c r="ASC61" s="236"/>
      <c r="ASD61" s="236"/>
      <c r="ASE61" s="239"/>
      <c r="ASF61" s="236"/>
      <c r="ASG61" s="236"/>
      <c r="ASH61" s="236"/>
      <c r="ASI61" s="236"/>
      <c r="ASJ61" s="236"/>
      <c r="ASK61" s="238"/>
      <c r="ASL61" s="236"/>
      <c r="ASM61" s="236"/>
      <c r="ASN61" s="236"/>
      <c r="ASO61" s="236"/>
      <c r="ASP61" s="236"/>
      <c r="ASQ61" s="239"/>
      <c r="ASR61" s="236"/>
      <c r="ASS61" s="236"/>
      <c r="AST61" s="236"/>
      <c r="ASU61" s="236"/>
      <c r="ASV61" s="236"/>
      <c r="ASW61" s="238"/>
      <c r="ASX61" s="236"/>
      <c r="ASY61" s="236"/>
      <c r="ASZ61" s="236"/>
      <c r="ATA61" s="236"/>
      <c r="ATB61" s="236"/>
      <c r="ATC61" s="239"/>
      <c r="ATD61" s="236"/>
      <c r="ATE61" s="236"/>
      <c r="ATF61" s="236"/>
      <c r="ATG61" s="236"/>
      <c r="ATH61" s="236"/>
      <c r="ATI61" s="240"/>
      <c r="ATJ61" s="235"/>
      <c r="ATK61" s="236"/>
      <c r="ATL61" s="236"/>
      <c r="ATM61" s="236"/>
      <c r="ATN61" s="236"/>
      <c r="ATO61" s="237"/>
      <c r="ATP61" s="236"/>
      <c r="ATQ61" s="236"/>
      <c r="ATR61" s="236"/>
      <c r="ATS61" s="236"/>
      <c r="ATT61" s="236"/>
      <c r="ATU61" s="238"/>
      <c r="ATV61" s="236"/>
      <c r="ATW61" s="236"/>
      <c r="ATX61" s="236"/>
      <c r="ATY61" s="236"/>
      <c r="ATZ61" s="236"/>
      <c r="AUA61" s="239"/>
      <c r="AUB61" s="236"/>
      <c r="AUC61" s="236"/>
      <c r="AUD61" s="236"/>
      <c r="AUE61" s="236"/>
      <c r="AUF61" s="236"/>
      <c r="AUG61" s="238"/>
      <c r="AUH61" s="236"/>
      <c r="AUI61" s="236"/>
      <c r="AUJ61" s="236"/>
      <c r="AUK61" s="236"/>
      <c r="AUL61" s="236"/>
      <c r="AUM61" s="239"/>
      <c r="AUN61" s="236"/>
      <c r="AUO61" s="236"/>
      <c r="AUP61" s="236"/>
      <c r="AUQ61" s="236"/>
      <c r="AUR61" s="236"/>
      <c r="AUS61" s="238"/>
      <c r="AUT61" s="236"/>
      <c r="AUU61" s="236"/>
      <c r="AUV61" s="236"/>
      <c r="AUW61" s="236"/>
      <c r="AUX61" s="236"/>
      <c r="AUY61" s="239"/>
      <c r="AUZ61" s="236"/>
      <c r="AVA61" s="236"/>
      <c r="AVB61" s="236"/>
      <c r="AVC61" s="236"/>
      <c r="AVD61" s="236"/>
      <c r="AVE61" s="238"/>
      <c r="AVF61" s="236"/>
      <c r="AVG61" s="236"/>
      <c r="AVH61" s="236"/>
      <c r="AVI61" s="236"/>
      <c r="AVJ61" s="236"/>
      <c r="AVK61" s="239"/>
      <c r="AVL61" s="236"/>
      <c r="AVM61" s="236"/>
      <c r="AVN61" s="236"/>
      <c r="AVO61" s="236"/>
      <c r="AVP61" s="236"/>
      <c r="AVQ61" s="240"/>
      <c r="AVR61" s="235"/>
      <c r="AVS61" s="236"/>
      <c r="AVT61" s="236"/>
      <c r="AVU61" s="236"/>
      <c r="AVV61" s="236"/>
      <c r="AVW61" s="237"/>
      <c r="AVX61" s="236"/>
      <c r="AVY61" s="236"/>
      <c r="AVZ61" s="236"/>
      <c r="AWA61" s="236"/>
      <c r="AWB61" s="236"/>
      <c r="AWC61" s="238"/>
      <c r="AWD61" s="236"/>
      <c r="AWE61" s="236"/>
      <c r="AWF61" s="236"/>
      <c r="AWG61" s="236"/>
      <c r="AWH61" s="236"/>
      <c r="AWI61" s="239"/>
      <c r="AWJ61" s="236"/>
      <c r="AWK61" s="236"/>
      <c r="AWL61" s="236"/>
      <c r="AWM61" s="236"/>
      <c r="AWN61" s="236"/>
      <c r="AWO61" s="238"/>
      <c r="AWP61" s="236"/>
      <c r="AWQ61" s="236"/>
      <c r="AWR61" s="236"/>
      <c r="AWS61" s="236"/>
      <c r="AWT61" s="236"/>
      <c r="AWU61" s="239"/>
      <c r="AWV61" s="236"/>
      <c r="AWW61" s="236"/>
      <c r="AWX61" s="236"/>
      <c r="AWY61" s="236"/>
      <c r="AWZ61" s="236"/>
      <c r="AXA61" s="238"/>
      <c r="AXB61" s="236"/>
      <c r="AXC61" s="236"/>
      <c r="AXD61" s="236"/>
      <c r="AXE61" s="236"/>
      <c r="AXF61" s="236"/>
      <c r="AXG61" s="239"/>
      <c r="AXH61" s="236"/>
      <c r="AXI61" s="236"/>
      <c r="AXJ61" s="236"/>
      <c r="AXK61" s="236"/>
      <c r="AXL61" s="236"/>
      <c r="AXM61" s="238"/>
      <c r="AXN61" s="236"/>
      <c r="AXO61" s="236"/>
      <c r="AXP61" s="236"/>
      <c r="AXQ61" s="236"/>
      <c r="AXR61" s="236"/>
      <c r="AXS61" s="239"/>
      <c r="AXT61" s="236"/>
      <c r="AXU61" s="236"/>
      <c r="AXV61" s="236"/>
      <c r="AXW61" s="236"/>
      <c r="AXX61" s="236"/>
      <c r="AXY61" s="240"/>
      <c r="AXZ61" s="235"/>
      <c r="AYA61" s="236"/>
      <c r="AYB61" s="236"/>
      <c r="AYC61" s="236"/>
      <c r="AYD61" s="236"/>
      <c r="AYE61" s="237"/>
      <c r="AYF61" s="236"/>
      <c r="AYG61" s="236"/>
      <c r="AYH61" s="236"/>
      <c r="AYI61" s="236"/>
      <c r="AYJ61" s="236"/>
      <c r="AYK61" s="238"/>
      <c r="AYL61" s="236"/>
      <c r="AYM61" s="236"/>
      <c r="AYN61" s="236"/>
      <c r="AYO61" s="236"/>
      <c r="AYP61" s="236"/>
      <c r="AYQ61" s="239"/>
      <c r="AYR61" s="236"/>
      <c r="AYS61" s="236"/>
      <c r="AYT61" s="236"/>
      <c r="AYU61" s="236"/>
      <c r="AYV61" s="236"/>
      <c r="AYW61" s="238"/>
      <c r="AYX61" s="236"/>
      <c r="AYY61" s="236"/>
      <c r="AYZ61" s="236"/>
      <c r="AZA61" s="236"/>
      <c r="AZB61" s="236"/>
      <c r="AZC61" s="239"/>
      <c r="AZD61" s="236"/>
      <c r="AZE61" s="236"/>
      <c r="AZF61" s="236"/>
      <c r="AZG61" s="236"/>
      <c r="AZH61" s="236"/>
      <c r="AZI61" s="238"/>
      <c r="AZJ61" s="236"/>
      <c r="AZK61" s="236"/>
      <c r="AZL61" s="236"/>
      <c r="AZM61" s="236"/>
      <c r="AZN61" s="236"/>
      <c r="AZO61" s="239"/>
      <c r="AZP61" s="236"/>
      <c r="AZQ61" s="236"/>
      <c r="AZR61" s="236"/>
      <c r="AZS61" s="236"/>
      <c r="AZT61" s="236"/>
      <c r="AZU61" s="238"/>
      <c r="AZV61" s="236"/>
      <c r="AZW61" s="236"/>
      <c r="AZX61" s="236"/>
      <c r="AZY61" s="236"/>
      <c r="AZZ61" s="236"/>
      <c r="BAA61" s="239"/>
      <c r="BAB61" s="236"/>
      <c r="BAC61" s="236"/>
      <c r="BAD61" s="236"/>
      <c r="BAE61" s="236"/>
      <c r="BAF61" s="236"/>
      <c r="BAG61" s="240"/>
      <c r="BAH61" s="235"/>
      <c r="BAI61" s="236"/>
      <c r="BAJ61" s="236"/>
      <c r="BAK61" s="236"/>
      <c r="BAL61" s="236"/>
      <c r="BAM61" s="237"/>
      <c r="BAN61" s="236"/>
      <c r="BAO61" s="236"/>
      <c r="BAP61" s="236"/>
      <c r="BAQ61" s="236"/>
      <c r="BAR61" s="236"/>
      <c r="BAS61" s="238"/>
      <c r="BAT61" s="236"/>
      <c r="BAU61" s="236"/>
      <c r="BAV61" s="236"/>
      <c r="BAW61" s="236"/>
      <c r="BAX61" s="236"/>
      <c r="BAY61" s="239"/>
      <c r="BAZ61" s="236"/>
      <c r="BBA61" s="236"/>
      <c r="BBB61" s="236"/>
      <c r="BBC61" s="236"/>
      <c r="BBD61" s="236"/>
      <c r="BBE61" s="238"/>
      <c r="BBF61" s="236"/>
      <c r="BBG61" s="236"/>
      <c r="BBH61" s="236"/>
      <c r="BBI61" s="236"/>
      <c r="BBJ61" s="236"/>
      <c r="BBK61" s="239"/>
      <c r="BBL61" s="236"/>
      <c r="BBM61" s="236"/>
      <c r="BBN61" s="236"/>
      <c r="BBO61" s="236"/>
      <c r="BBP61" s="236"/>
      <c r="BBQ61" s="238"/>
      <c r="BBR61" s="236"/>
      <c r="BBS61" s="236"/>
      <c r="BBT61" s="236"/>
      <c r="BBU61" s="236"/>
      <c r="BBV61" s="236"/>
      <c r="BBW61" s="239"/>
      <c r="BBX61" s="236"/>
      <c r="BBY61" s="236"/>
      <c r="BBZ61" s="236"/>
      <c r="BCA61" s="236"/>
      <c r="BCB61" s="236"/>
      <c r="BCC61" s="238"/>
      <c r="BCD61" s="236"/>
      <c r="BCE61" s="236"/>
      <c r="BCF61" s="236"/>
      <c r="BCG61" s="236"/>
      <c r="BCH61" s="236"/>
      <c r="BCI61" s="239"/>
      <c r="BCJ61" s="236"/>
      <c r="BCK61" s="236"/>
      <c r="BCL61" s="236"/>
      <c r="BCM61" s="236"/>
      <c r="BCN61" s="236"/>
      <c r="BCO61" s="240"/>
      <c r="BCP61" s="235"/>
      <c r="BCQ61" s="236"/>
      <c r="BCR61" s="236"/>
      <c r="BCS61" s="236"/>
      <c r="BCT61" s="236"/>
      <c r="BCU61" s="237"/>
      <c r="BCV61" s="236"/>
      <c r="BCW61" s="236"/>
      <c r="BCX61" s="236"/>
      <c r="BCY61" s="236"/>
      <c r="BCZ61" s="236"/>
      <c r="BDA61" s="238"/>
      <c r="BDB61" s="236"/>
      <c r="BDC61" s="236"/>
      <c r="BDD61" s="236"/>
      <c r="BDE61" s="236"/>
      <c r="BDF61" s="236"/>
      <c r="BDG61" s="239"/>
      <c r="BDH61" s="236"/>
      <c r="BDI61" s="236"/>
      <c r="BDJ61" s="236"/>
      <c r="BDK61" s="236"/>
      <c r="BDL61" s="236"/>
      <c r="BDM61" s="238"/>
      <c r="BDN61" s="236"/>
      <c r="BDO61" s="236"/>
      <c r="BDP61" s="236"/>
      <c r="BDQ61" s="236"/>
      <c r="BDR61" s="236"/>
      <c r="BDS61" s="239"/>
      <c r="BDT61" s="236"/>
      <c r="BDU61" s="236"/>
      <c r="BDV61" s="236"/>
      <c r="BDW61" s="236"/>
      <c r="BDX61" s="236"/>
      <c r="BDY61" s="238"/>
      <c r="BDZ61" s="236"/>
      <c r="BEA61" s="236"/>
      <c r="BEB61" s="236"/>
      <c r="BEC61" s="236"/>
      <c r="BED61" s="236"/>
      <c r="BEE61" s="239"/>
      <c r="BEF61" s="236"/>
      <c r="BEG61" s="236"/>
      <c r="BEH61" s="236"/>
      <c r="BEI61" s="236"/>
      <c r="BEJ61" s="236"/>
      <c r="BEK61" s="238"/>
      <c r="BEL61" s="236"/>
      <c r="BEM61" s="236"/>
      <c r="BEN61" s="236"/>
      <c r="BEO61" s="236"/>
      <c r="BEP61" s="236"/>
      <c r="BEQ61" s="239"/>
      <c r="BER61" s="236"/>
      <c r="BES61" s="236"/>
      <c r="BET61" s="236"/>
      <c r="BEU61" s="236"/>
      <c r="BEV61" s="236"/>
      <c r="BEW61" s="240"/>
      <c r="BEX61" s="235"/>
      <c r="BEY61" s="236"/>
      <c r="BEZ61" s="236"/>
      <c r="BFA61" s="236"/>
      <c r="BFB61" s="236"/>
      <c r="BFC61" s="237"/>
      <c r="BFD61" s="236"/>
      <c r="BFE61" s="236"/>
      <c r="BFF61" s="236"/>
      <c r="BFG61" s="236"/>
      <c r="BFH61" s="236"/>
      <c r="BFI61" s="238"/>
      <c r="BFJ61" s="236"/>
      <c r="BFK61" s="236"/>
      <c r="BFL61" s="236"/>
      <c r="BFM61" s="236"/>
      <c r="BFN61" s="236"/>
      <c r="BFO61" s="239"/>
      <c r="BFP61" s="236"/>
      <c r="BFQ61" s="236"/>
      <c r="BFR61" s="236"/>
      <c r="BFS61" s="236"/>
      <c r="BFT61" s="236"/>
      <c r="BFU61" s="238"/>
      <c r="BFV61" s="236"/>
      <c r="BFW61" s="236"/>
      <c r="BFX61" s="236"/>
      <c r="BFY61" s="236"/>
      <c r="BFZ61" s="236"/>
      <c r="BGA61" s="239"/>
      <c r="BGB61" s="236"/>
      <c r="BGC61" s="236"/>
      <c r="BGD61" s="236"/>
      <c r="BGE61" s="236"/>
      <c r="BGF61" s="236"/>
      <c r="BGG61" s="238"/>
      <c r="BGH61" s="236"/>
      <c r="BGI61" s="236"/>
      <c r="BGJ61" s="236"/>
      <c r="BGK61" s="236"/>
      <c r="BGL61" s="236"/>
      <c r="BGM61" s="239"/>
      <c r="BGN61" s="236"/>
      <c r="BGO61" s="236"/>
      <c r="BGP61" s="236"/>
      <c r="BGQ61" s="236"/>
      <c r="BGR61" s="236"/>
      <c r="BGS61" s="238"/>
      <c r="BGT61" s="236"/>
      <c r="BGU61" s="236"/>
      <c r="BGV61" s="236"/>
      <c r="BGW61" s="236"/>
      <c r="BGX61" s="236"/>
      <c r="BGY61" s="239"/>
      <c r="BGZ61" s="236"/>
      <c r="BHA61" s="236"/>
      <c r="BHB61" s="236"/>
      <c r="BHC61" s="236"/>
      <c r="BHD61" s="236"/>
      <c r="BHE61" s="240"/>
      <c r="BHF61" s="235"/>
      <c r="BHG61" s="236"/>
      <c r="BHH61" s="236"/>
      <c r="BHI61" s="236"/>
      <c r="BHJ61" s="236"/>
      <c r="BHK61" s="237"/>
      <c r="BHL61" s="236"/>
      <c r="BHM61" s="236"/>
      <c r="BHN61" s="236"/>
      <c r="BHO61" s="236"/>
      <c r="BHP61" s="236"/>
      <c r="BHQ61" s="238"/>
      <c r="BHR61" s="236"/>
      <c r="BHS61" s="236"/>
      <c r="BHT61" s="236"/>
      <c r="BHU61" s="236"/>
      <c r="BHV61" s="236"/>
      <c r="BHW61" s="239"/>
      <c r="BHX61" s="236"/>
      <c r="BHY61" s="236"/>
      <c r="BHZ61" s="236"/>
      <c r="BIA61" s="236"/>
      <c r="BIB61" s="236"/>
      <c r="BIC61" s="238"/>
      <c r="BID61" s="236"/>
      <c r="BIE61" s="236"/>
      <c r="BIF61" s="236"/>
      <c r="BIG61" s="236"/>
      <c r="BIH61" s="236"/>
      <c r="BII61" s="239"/>
      <c r="BIJ61" s="236"/>
      <c r="BIK61" s="236"/>
      <c r="BIL61" s="236"/>
      <c r="BIM61" s="236"/>
      <c r="BIN61" s="236"/>
      <c r="BIO61" s="238"/>
      <c r="BIP61" s="236"/>
      <c r="BIQ61" s="236"/>
      <c r="BIR61" s="236"/>
      <c r="BIS61" s="236"/>
      <c r="BIT61" s="236"/>
      <c r="BIU61" s="239"/>
      <c r="BIV61" s="236"/>
      <c r="BIW61" s="236"/>
      <c r="BIX61" s="236"/>
      <c r="BIY61" s="236"/>
      <c r="BIZ61" s="236"/>
      <c r="BJA61" s="238"/>
      <c r="BJB61" s="236"/>
      <c r="BJC61" s="236"/>
      <c r="BJD61" s="236"/>
      <c r="BJE61" s="236"/>
      <c r="BJF61" s="236"/>
      <c r="BJG61" s="239"/>
      <c r="BJH61" s="236"/>
      <c r="BJI61" s="236"/>
      <c r="BJJ61" s="236"/>
      <c r="BJK61" s="236"/>
      <c r="BJL61" s="236"/>
      <c r="BJM61" s="240"/>
      <c r="BJN61" s="233"/>
      <c r="BJO61" s="234"/>
      <c r="BJP61" s="234"/>
      <c r="BJQ61" s="234"/>
      <c r="BJR61" s="234"/>
      <c r="BJS61" s="234"/>
      <c r="BJT61" s="234"/>
      <c r="BJU61" s="234"/>
      <c r="BJV61" s="234"/>
      <c r="BJW61" s="234"/>
      <c r="BJX61" s="234"/>
      <c r="BJY61" s="234"/>
      <c r="BJZ61" s="234"/>
      <c r="BKA61" s="234"/>
      <c r="BKB61" s="234"/>
      <c r="BKC61" s="234"/>
      <c r="BKD61" s="234"/>
      <c r="BKE61" s="234"/>
      <c r="BKF61" s="234"/>
      <c r="BKG61" s="234"/>
      <c r="BKH61" s="234"/>
      <c r="BKI61" s="234"/>
      <c r="BKJ61" s="234"/>
      <c r="BKK61" s="234"/>
      <c r="BKL61" s="234"/>
      <c r="BKM61" s="234"/>
      <c r="BKN61" s="234"/>
    </row>
    <row r="62" spans="1:1652" ht="20.100000000000001" customHeight="1" x14ac:dyDescent="0.25">
      <c r="A62" s="84" t="s">
        <v>20</v>
      </c>
      <c r="B62" s="53"/>
      <c r="C62" s="178"/>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174"/>
      <c r="BJO62" s="4"/>
      <c r="BJP62" s="4"/>
      <c r="BJQ62" s="4"/>
      <c r="BJR62" s="4"/>
      <c r="BJS62" s="4"/>
      <c r="BJT62" s="4"/>
      <c r="BJU62" s="4"/>
      <c r="BJV62" s="4"/>
      <c r="BJW62" s="4"/>
      <c r="BJX62" s="4"/>
      <c r="BJY62" s="4"/>
      <c r="BJZ62" s="4"/>
      <c r="BKA62" s="4"/>
      <c r="BKB62" s="4"/>
      <c r="BKC62" s="4"/>
      <c r="BKD62" s="4"/>
      <c r="BKE62" s="4"/>
      <c r="BKF62" s="4"/>
      <c r="BKG62" s="4"/>
      <c r="BKH62" s="4"/>
      <c r="BKI62" s="4"/>
      <c r="BKJ62" s="4"/>
      <c r="BKK62" s="4"/>
      <c r="BKL62" s="4"/>
      <c r="BKM62" s="4"/>
      <c r="BKN62" s="4"/>
    </row>
    <row r="63" spans="1:1652" ht="20.100000000000001" customHeight="1" x14ac:dyDescent="0.25">
      <c r="A63" s="84" t="s">
        <v>19</v>
      </c>
      <c r="B63" s="53"/>
      <c r="C63" s="177"/>
      <c r="D63" s="129" t="str">
        <f t="shared" si="0"/>
        <v>0h</v>
      </c>
      <c r="E63" s="34">
        <v>0</v>
      </c>
      <c r="F63" s="241"/>
      <c r="G63" s="242"/>
      <c r="H63" s="242"/>
      <c r="I63" s="242"/>
      <c r="J63" s="242"/>
      <c r="K63" s="243"/>
      <c r="L63" s="242"/>
      <c r="M63" s="242"/>
      <c r="N63" s="242"/>
      <c r="O63" s="242"/>
      <c r="P63" s="242"/>
      <c r="Q63" s="244"/>
      <c r="R63" s="242"/>
      <c r="S63" s="242"/>
      <c r="T63" s="242"/>
      <c r="U63" s="242"/>
      <c r="V63" s="242"/>
      <c r="W63" s="245"/>
      <c r="X63" s="242"/>
      <c r="Y63" s="242"/>
      <c r="Z63" s="242"/>
      <c r="AA63" s="242"/>
      <c r="AB63" s="242"/>
      <c r="AC63" s="244"/>
      <c r="AD63" s="242"/>
      <c r="AE63" s="242"/>
      <c r="AF63" s="242"/>
      <c r="AG63" s="242"/>
      <c r="AH63" s="242"/>
      <c r="AI63" s="245"/>
      <c r="AJ63" s="242"/>
      <c r="AK63" s="242"/>
      <c r="AL63" s="242"/>
      <c r="AM63" s="242"/>
      <c r="AN63" s="242"/>
      <c r="AO63" s="244"/>
      <c r="AP63" s="242"/>
      <c r="AQ63" s="242"/>
      <c r="AR63" s="242"/>
      <c r="AS63" s="242"/>
      <c r="AT63" s="242"/>
      <c r="AU63" s="245"/>
      <c r="AV63" s="242"/>
      <c r="AW63" s="242"/>
      <c r="AX63" s="242"/>
      <c r="AY63" s="242"/>
      <c r="AZ63" s="242"/>
      <c r="BA63" s="244"/>
      <c r="BB63" s="242"/>
      <c r="BC63" s="242"/>
      <c r="BD63" s="242"/>
      <c r="BE63" s="242"/>
      <c r="BF63" s="242"/>
      <c r="BG63" s="245"/>
      <c r="BH63" s="242"/>
      <c r="BI63" s="242"/>
      <c r="BJ63" s="242"/>
      <c r="BK63" s="242"/>
      <c r="BL63" s="242"/>
      <c r="BM63" s="246"/>
      <c r="BN63" s="241"/>
      <c r="BO63" s="242"/>
      <c r="BP63" s="242"/>
      <c r="BQ63" s="242"/>
      <c r="BR63" s="242"/>
      <c r="BS63" s="243"/>
      <c r="BT63" s="242"/>
      <c r="BU63" s="242"/>
      <c r="BV63" s="242"/>
      <c r="BW63" s="242"/>
      <c r="BX63" s="242"/>
      <c r="BY63" s="244"/>
      <c r="BZ63" s="242"/>
      <c r="CA63" s="242"/>
      <c r="CB63" s="242"/>
      <c r="CC63" s="242"/>
      <c r="CD63" s="242"/>
      <c r="CE63" s="245"/>
      <c r="CF63" s="242"/>
      <c r="CG63" s="242"/>
      <c r="CH63" s="242"/>
      <c r="CI63" s="242"/>
      <c r="CJ63" s="242"/>
      <c r="CK63" s="244"/>
      <c r="CL63" s="242"/>
      <c r="CM63" s="242"/>
      <c r="CN63" s="242"/>
      <c r="CO63" s="242"/>
      <c r="CP63" s="242"/>
      <c r="CQ63" s="245"/>
      <c r="CR63" s="242"/>
      <c r="CS63" s="242"/>
      <c r="CT63" s="242"/>
      <c r="CU63" s="242"/>
      <c r="CV63" s="242"/>
      <c r="CW63" s="244"/>
      <c r="CX63" s="242"/>
      <c r="CY63" s="242"/>
      <c r="CZ63" s="242"/>
      <c r="DA63" s="242"/>
      <c r="DB63" s="242"/>
      <c r="DC63" s="245"/>
      <c r="DD63" s="242"/>
      <c r="DE63" s="242"/>
      <c r="DF63" s="242"/>
      <c r="DG63" s="242"/>
      <c r="DH63" s="242"/>
      <c r="DI63" s="244"/>
      <c r="DJ63" s="242"/>
      <c r="DK63" s="242"/>
      <c r="DL63" s="242"/>
      <c r="DM63" s="242"/>
      <c r="DN63" s="242"/>
      <c r="DO63" s="245"/>
      <c r="DP63" s="242"/>
      <c r="DQ63" s="242"/>
      <c r="DR63" s="242"/>
      <c r="DS63" s="242"/>
      <c r="DT63" s="242"/>
      <c r="DU63" s="246"/>
      <c r="DV63" s="241"/>
      <c r="DW63" s="242"/>
      <c r="DX63" s="242"/>
      <c r="DY63" s="242"/>
      <c r="DZ63" s="242"/>
      <c r="EA63" s="243"/>
      <c r="EB63" s="242"/>
      <c r="EC63" s="242"/>
      <c r="ED63" s="242"/>
      <c r="EE63" s="242"/>
      <c r="EF63" s="242"/>
      <c r="EG63" s="244"/>
      <c r="EH63" s="242"/>
      <c r="EI63" s="242"/>
      <c r="EJ63" s="242"/>
      <c r="EK63" s="242"/>
      <c r="EL63" s="242"/>
      <c r="EM63" s="245"/>
      <c r="EN63" s="242"/>
      <c r="EO63" s="242"/>
      <c r="EP63" s="242"/>
      <c r="EQ63" s="242"/>
      <c r="ER63" s="242"/>
      <c r="ES63" s="244"/>
      <c r="ET63" s="242"/>
      <c r="EU63" s="242"/>
      <c r="EV63" s="242"/>
      <c r="EW63" s="242"/>
      <c r="EX63" s="242"/>
      <c r="EY63" s="245"/>
      <c r="EZ63" s="242"/>
      <c r="FA63" s="242"/>
      <c r="FB63" s="242"/>
      <c r="FC63" s="242"/>
      <c r="FD63" s="242"/>
      <c r="FE63" s="244"/>
      <c r="FF63" s="242"/>
      <c r="FG63" s="242"/>
      <c r="FH63" s="242"/>
      <c r="FI63" s="242"/>
      <c r="FJ63" s="242"/>
      <c r="FK63" s="245"/>
      <c r="FL63" s="242"/>
      <c r="FM63" s="242"/>
      <c r="FN63" s="242"/>
      <c r="FO63" s="242"/>
      <c r="FP63" s="242"/>
      <c r="FQ63" s="244"/>
      <c r="FR63" s="242"/>
      <c r="FS63" s="242"/>
      <c r="FT63" s="242"/>
      <c r="FU63" s="242"/>
      <c r="FV63" s="242"/>
      <c r="FW63" s="245"/>
      <c r="FX63" s="242"/>
      <c r="FY63" s="242"/>
      <c r="FZ63" s="242"/>
      <c r="GA63" s="242"/>
      <c r="GB63" s="242"/>
      <c r="GC63" s="246"/>
      <c r="GD63" s="241"/>
      <c r="GE63" s="242"/>
      <c r="GF63" s="242"/>
      <c r="GG63" s="242"/>
      <c r="GH63" s="242"/>
      <c r="GI63" s="243"/>
      <c r="GJ63" s="242"/>
      <c r="GK63" s="242"/>
      <c r="GL63" s="242"/>
      <c r="GM63" s="242"/>
      <c r="GN63" s="242"/>
      <c r="GO63" s="244"/>
      <c r="GP63" s="242"/>
      <c r="GQ63" s="242"/>
      <c r="GR63" s="242"/>
      <c r="GS63" s="242"/>
      <c r="GT63" s="242"/>
      <c r="GU63" s="245"/>
      <c r="GV63" s="242"/>
      <c r="GW63" s="242"/>
      <c r="GX63" s="242"/>
      <c r="GY63" s="242"/>
      <c r="GZ63" s="242"/>
      <c r="HA63" s="244"/>
      <c r="HB63" s="242"/>
      <c r="HC63" s="242"/>
      <c r="HD63" s="242"/>
      <c r="HE63" s="242"/>
      <c r="HF63" s="242"/>
      <c r="HG63" s="245"/>
      <c r="HH63" s="242"/>
      <c r="HI63" s="242"/>
      <c r="HJ63" s="242"/>
      <c r="HK63" s="242"/>
      <c r="HL63" s="242"/>
      <c r="HM63" s="244"/>
      <c r="HN63" s="242"/>
      <c r="HO63" s="242"/>
      <c r="HP63" s="242"/>
      <c r="HQ63" s="242"/>
      <c r="HR63" s="242"/>
      <c r="HS63" s="245"/>
      <c r="HT63" s="242"/>
      <c r="HU63" s="242"/>
      <c r="HV63" s="242"/>
      <c r="HW63" s="242"/>
      <c r="HX63" s="242"/>
      <c r="HY63" s="244"/>
      <c r="HZ63" s="242"/>
      <c r="IA63" s="242"/>
      <c r="IB63" s="242"/>
      <c r="IC63" s="242"/>
      <c r="ID63" s="242"/>
      <c r="IE63" s="245"/>
      <c r="IF63" s="242"/>
      <c r="IG63" s="242"/>
      <c r="IH63" s="242"/>
      <c r="II63" s="242"/>
      <c r="IJ63" s="242"/>
      <c r="IK63" s="246"/>
      <c r="IL63" s="241"/>
      <c r="IM63" s="242"/>
      <c r="IN63" s="242"/>
      <c r="IO63" s="242"/>
      <c r="IP63" s="242"/>
      <c r="IQ63" s="243"/>
      <c r="IR63" s="242"/>
      <c r="IS63" s="242"/>
      <c r="IT63" s="242"/>
      <c r="IU63" s="242"/>
      <c r="IV63" s="242"/>
      <c r="IW63" s="244"/>
      <c r="IX63" s="242"/>
      <c r="IY63" s="242"/>
      <c r="IZ63" s="242"/>
      <c r="JA63" s="242"/>
      <c r="JB63" s="242"/>
      <c r="JC63" s="245"/>
      <c r="JD63" s="242"/>
      <c r="JE63" s="242"/>
      <c r="JF63" s="242"/>
      <c r="JG63" s="242"/>
      <c r="JH63" s="242"/>
      <c r="JI63" s="244"/>
      <c r="JJ63" s="242"/>
      <c r="JK63" s="242"/>
      <c r="JL63" s="242"/>
      <c r="JM63" s="242"/>
      <c r="JN63" s="242"/>
      <c r="JO63" s="245"/>
      <c r="JP63" s="242"/>
      <c r="JQ63" s="242"/>
      <c r="JR63" s="242"/>
      <c r="JS63" s="242"/>
      <c r="JT63" s="242"/>
      <c r="JU63" s="244"/>
      <c r="JV63" s="242"/>
      <c r="JW63" s="242"/>
      <c r="JX63" s="242"/>
      <c r="JY63" s="242"/>
      <c r="JZ63" s="242"/>
      <c r="KA63" s="245"/>
      <c r="KB63" s="242"/>
      <c r="KC63" s="242"/>
      <c r="KD63" s="242"/>
      <c r="KE63" s="242"/>
      <c r="KF63" s="242"/>
      <c r="KG63" s="244"/>
      <c r="KH63" s="242"/>
      <c r="KI63" s="242"/>
      <c r="KJ63" s="242"/>
      <c r="KK63" s="242"/>
      <c r="KL63" s="242"/>
      <c r="KM63" s="245"/>
      <c r="KN63" s="242"/>
      <c r="KO63" s="242"/>
      <c r="KP63" s="242"/>
      <c r="KQ63" s="242"/>
      <c r="KR63" s="242"/>
      <c r="KS63" s="246"/>
      <c r="KT63" s="241"/>
      <c r="KU63" s="242"/>
      <c r="KV63" s="242"/>
      <c r="KW63" s="242"/>
      <c r="KX63" s="242"/>
      <c r="KY63" s="243"/>
      <c r="KZ63" s="242"/>
      <c r="LA63" s="242"/>
      <c r="LB63" s="242"/>
      <c r="LC63" s="242"/>
      <c r="LD63" s="242"/>
      <c r="LE63" s="244"/>
      <c r="LF63" s="242"/>
      <c r="LG63" s="242"/>
      <c r="LH63" s="242"/>
      <c r="LI63" s="242"/>
      <c r="LJ63" s="242"/>
      <c r="LK63" s="245"/>
      <c r="LL63" s="242"/>
      <c r="LM63" s="242"/>
      <c r="LN63" s="242"/>
      <c r="LO63" s="242"/>
      <c r="LP63" s="242"/>
      <c r="LQ63" s="244"/>
      <c r="LR63" s="242"/>
      <c r="LS63" s="242"/>
      <c r="LT63" s="242"/>
      <c r="LU63" s="242"/>
      <c r="LV63" s="242"/>
      <c r="LW63" s="245"/>
      <c r="LX63" s="242"/>
      <c r="LY63" s="242"/>
      <c r="LZ63" s="242"/>
      <c r="MA63" s="242"/>
      <c r="MB63" s="242"/>
      <c r="MC63" s="244"/>
      <c r="MD63" s="242"/>
      <c r="ME63" s="242"/>
      <c r="MF63" s="242"/>
      <c r="MG63" s="242"/>
      <c r="MH63" s="242"/>
      <c r="MI63" s="245"/>
      <c r="MJ63" s="242"/>
      <c r="MK63" s="242"/>
      <c r="ML63" s="242"/>
      <c r="MM63" s="242"/>
      <c r="MN63" s="242"/>
      <c r="MO63" s="244"/>
      <c r="MP63" s="242"/>
      <c r="MQ63" s="242"/>
      <c r="MR63" s="242"/>
      <c r="MS63" s="242"/>
      <c r="MT63" s="242"/>
      <c r="MU63" s="245"/>
      <c r="MV63" s="242"/>
      <c r="MW63" s="242"/>
      <c r="MX63" s="242"/>
      <c r="MY63" s="242"/>
      <c r="MZ63" s="242"/>
      <c r="NA63" s="246"/>
      <c r="NB63" s="241"/>
      <c r="NC63" s="242"/>
      <c r="ND63" s="242"/>
      <c r="NE63" s="242"/>
      <c r="NF63" s="242"/>
      <c r="NG63" s="243"/>
      <c r="NH63" s="242"/>
      <c r="NI63" s="242"/>
      <c r="NJ63" s="242"/>
      <c r="NK63" s="242"/>
      <c r="NL63" s="242"/>
      <c r="NM63" s="244"/>
      <c r="NN63" s="242"/>
      <c r="NO63" s="242"/>
      <c r="NP63" s="242"/>
      <c r="NQ63" s="242"/>
      <c r="NR63" s="242"/>
      <c r="NS63" s="245"/>
      <c r="NT63" s="242"/>
      <c r="NU63" s="242"/>
      <c r="NV63" s="242"/>
      <c r="NW63" s="242"/>
      <c r="NX63" s="242"/>
      <c r="NY63" s="244"/>
      <c r="NZ63" s="242"/>
      <c r="OA63" s="242"/>
      <c r="OB63" s="242"/>
      <c r="OC63" s="242"/>
      <c r="OD63" s="242"/>
      <c r="OE63" s="245"/>
      <c r="OF63" s="242"/>
      <c r="OG63" s="242"/>
      <c r="OH63" s="242"/>
      <c r="OI63" s="242"/>
      <c r="OJ63" s="242"/>
      <c r="OK63" s="244"/>
      <c r="OL63" s="242"/>
      <c r="OM63" s="242"/>
      <c r="ON63" s="242"/>
      <c r="OO63" s="242"/>
      <c r="OP63" s="242"/>
      <c r="OQ63" s="245"/>
      <c r="OR63" s="242"/>
      <c r="OS63" s="242"/>
      <c r="OT63" s="242"/>
      <c r="OU63" s="242"/>
      <c r="OV63" s="242"/>
      <c r="OW63" s="244"/>
      <c r="OX63" s="242"/>
      <c r="OY63" s="242"/>
      <c r="OZ63" s="242"/>
      <c r="PA63" s="242"/>
      <c r="PB63" s="242"/>
      <c r="PC63" s="245"/>
      <c r="PD63" s="242"/>
      <c r="PE63" s="242"/>
      <c r="PF63" s="242"/>
      <c r="PG63" s="242"/>
      <c r="PH63" s="242"/>
      <c r="PI63" s="246"/>
      <c r="PJ63" s="241"/>
      <c r="PK63" s="242"/>
      <c r="PL63" s="242"/>
      <c r="PM63" s="242"/>
      <c r="PN63" s="242"/>
      <c r="PO63" s="243"/>
      <c r="PP63" s="242"/>
      <c r="PQ63" s="242"/>
      <c r="PR63" s="242"/>
      <c r="PS63" s="242"/>
      <c r="PT63" s="242"/>
      <c r="PU63" s="244"/>
      <c r="PV63" s="242"/>
      <c r="PW63" s="242"/>
      <c r="PX63" s="242"/>
      <c r="PY63" s="242"/>
      <c r="PZ63" s="242"/>
      <c r="QA63" s="245"/>
      <c r="QB63" s="242"/>
      <c r="QC63" s="242"/>
      <c r="QD63" s="242"/>
      <c r="QE63" s="242"/>
      <c r="QF63" s="242"/>
      <c r="QG63" s="244"/>
      <c r="QH63" s="242"/>
      <c r="QI63" s="242"/>
      <c r="QJ63" s="242"/>
      <c r="QK63" s="242"/>
      <c r="QL63" s="242"/>
      <c r="QM63" s="245"/>
      <c r="QN63" s="242"/>
      <c r="QO63" s="242"/>
      <c r="QP63" s="242"/>
      <c r="QQ63" s="242"/>
      <c r="QR63" s="242"/>
      <c r="QS63" s="244"/>
      <c r="QT63" s="242"/>
      <c r="QU63" s="242"/>
      <c r="QV63" s="242"/>
      <c r="QW63" s="242"/>
      <c r="QX63" s="242"/>
      <c r="QY63" s="245"/>
      <c r="QZ63" s="242"/>
      <c r="RA63" s="242"/>
      <c r="RB63" s="242"/>
      <c r="RC63" s="242"/>
      <c r="RD63" s="242"/>
      <c r="RE63" s="244"/>
      <c r="RF63" s="242"/>
      <c r="RG63" s="242"/>
      <c r="RH63" s="242"/>
      <c r="RI63" s="242"/>
      <c r="RJ63" s="242"/>
      <c r="RK63" s="245"/>
      <c r="RL63" s="242"/>
      <c r="RM63" s="242"/>
      <c r="RN63" s="242"/>
      <c r="RO63" s="242"/>
      <c r="RP63" s="242"/>
      <c r="RQ63" s="246"/>
      <c r="RR63" s="241"/>
      <c r="RS63" s="242"/>
      <c r="RT63" s="242"/>
      <c r="RU63" s="242"/>
      <c r="RV63" s="242"/>
      <c r="RW63" s="243"/>
      <c r="RX63" s="242"/>
      <c r="RY63" s="242"/>
      <c r="RZ63" s="242"/>
      <c r="SA63" s="242"/>
      <c r="SB63" s="242"/>
      <c r="SC63" s="244"/>
      <c r="SD63" s="242"/>
      <c r="SE63" s="242"/>
      <c r="SF63" s="242"/>
      <c r="SG63" s="242"/>
      <c r="SH63" s="242"/>
      <c r="SI63" s="245"/>
      <c r="SJ63" s="242"/>
      <c r="SK63" s="242"/>
      <c r="SL63" s="242"/>
      <c r="SM63" s="242"/>
      <c r="SN63" s="242"/>
      <c r="SO63" s="244"/>
      <c r="SP63" s="242"/>
      <c r="SQ63" s="242"/>
      <c r="SR63" s="242"/>
      <c r="SS63" s="242"/>
      <c r="ST63" s="242"/>
      <c r="SU63" s="245"/>
      <c r="SV63" s="242"/>
      <c r="SW63" s="242"/>
      <c r="SX63" s="242"/>
      <c r="SY63" s="242"/>
      <c r="SZ63" s="242"/>
      <c r="TA63" s="244"/>
      <c r="TB63" s="242"/>
      <c r="TC63" s="242"/>
      <c r="TD63" s="242"/>
      <c r="TE63" s="242"/>
      <c r="TF63" s="242"/>
      <c r="TG63" s="245"/>
      <c r="TH63" s="242"/>
      <c r="TI63" s="242"/>
      <c r="TJ63" s="242"/>
      <c r="TK63" s="242"/>
      <c r="TL63" s="242"/>
      <c r="TM63" s="244"/>
      <c r="TN63" s="242"/>
      <c r="TO63" s="242"/>
      <c r="TP63" s="242"/>
      <c r="TQ63" s="242"/>
      <c r="TR63" s="242"/>
      <c r="TS63" s="245"/>
      <c r="TT63" s="242"/>
      <c r="TU63" s="242"/>
      <c r="TV63" s="242"/>
      <c r="TW63" s="242"/>
      <c r="TX63" s="242"/>
      <c r="TY63" s="246"/>
      <c r="TZ63" s="241"/>
      <c r="UA63" s="242"/>
      <c r="UB63" s="242"/>
      <c r="UC63" s="242"/>
      <c r="UD63" s="242"/>
      <c r="UE63" s="243"/>
      <c r="UF63" s="242"/>
      <c r="UG63" s="242"/>
      <c r="UH63" s="242"/>
      <c r="UI63" s="242"/>
      <c r="UJ63" s="242"/>
      <c r="UK63" s="244"/>
      <c r="UL63" s="242"/>
      <c r="UM63" s="242"/>
      <c r="UN63" s="242"/>
      <c r="UO63" s="242"/>
      <c r="UP63" s="242"/>
      <c r="UQ63" s="245"/>
      <c r="UR63" s="242"/>
      <c r="US63" s="242"/>
      <c r="UT63" s="242"/>
      <c r="UU63" s="242"/>
      <c r="UV63" s="242"/>
      <c r="UW63" s="244"/>
      <c r="UX63" s="242"/>
      <c r="UY63" s="242"/>
      <c r="UZ63" s="242"/>
      <c r="VA63" s="242"/>
      <c r="VB63" s="242"/>
      <c r="VC63" s="245"/>
      <c r="VD63" s="242"/>
      <c r="VE63" s="242"/>
      <c r="VF63" s="242"/>
      <c r="VG63" s="242"/>
      <c r="VH63" s="242"/>
      <c r="VI63" s="244"/>
      <c r="VJ63" s="242"/>
      <c r="VK63" s="242"/>
      <c r="VL63" s="242"/>
      <c r="VM63" s="242"/>
      <c r="VN63" s="242"/>
      <c r="VO63" s="245"/>
      <c r="VP63" s="242"/>
      <c r="VQ63" s="242"/>
      <c r="VR63" s="242"/>
      <c r="VS63" s="242"/>
      <c r="VT63" s="242"/>
      <c r="VU63" s="244"/>
      <c r="VV63" s="242"/>
      <c r="VW63" s="242"/>
      <c r="VX63" s="242"/>
      <c r="VY63" s="242"/>
      <c r="VZ63" s="242"/>
      <c r="WA63" s="245"/>
      <c r="WB63" s="242"/>
      <c r="WC63" s="242"/>
      <c r="WD63" s="242"/>
      <c r="WE63" s="242"/>
      <c r="WF63" s="242"/>
      <c r="WG63" s="246"/>
      <c r="WH63" s="241"/>
      <c r="WI63" s="242"/>
      <c r="WJ63" s="242"/>
      <c r="WK63" s="242"/>
      <c r="WL63" s="242"/>
      <c r="WM63" s="243"/>
      <c r="WN63" s="242"/>
      <c r="WO63" s="242"/>
      <c r="WP63" s="242"/>
      <c r="WQ63" s="242"/>
      <c r="WR63" s="242"/>
      <c r="WS63" s="244"/>
      <c r="WT63" s="242"/>
      <c r="WU63" s="242"/>
      <c r="WV63" s="242"/>
      <c r="WW63" s="242"/>
      <c r="WX63" s="242"/>
      <c r="WY63" s="245"/>
      <c r="WZ63" s="242"/>
      <c r="XA63" s="242"/>
      <c r="XB63" s="242"/>
      <c r="XC63" s="242"/>
      <c r="XD63" s="242"/>
      <c r="XE63" s="244"/>
      <c r="XF63" s="242"/>
      <c r="XG63" s="242"/>
      <c r="XH63" s="242"/>
      <c r="XI63" s="242"/>
      <c r="XJ63" s="242"/>
      <c r="XK63" s="245"/>
      <c r="XL63" s="242"/>
      <c r="XM63" s="242"/>
      <c r="XN63" s="242"/>
      <c r="XO63" s="242"/>
      <c r="XP63" s="242"/>
      <c r="XQ63" s="244"/>
      <c r="XR63" s="242"/>
      <c r="XS63" s="242"/>
      <c r="XT63" s="242"/>
      <c r="XU63" s="242"/>
      <c r="XV63" s="242"/>
      <c r="XW63" s="245"/>
      <c r="XX63" s="242"/>
      <c r="XY63" s="242"/>
      <c r="XZ63" s="242"/>
      <c r="YA63" s="242"/>
      <c r="YB63" s="242"/>
      <c r="YC63" s="244"/>
      <c r="YD63" s="242"/>
      <c r="YE63" s="242"/>
      <c r="YF63" s="242"/>
      <c r="YG63" s="242"/>
      <c r="YH63" s="242"/>
      <c r="YI63" s="245"/>
      <c r="YJ63" s="242"/>
      <c r="YK63" s="242"/>
      <c r="YL63" s="242"/>
      <c r="YM63" s="242"/>
      <c r="YN63" s="242"/>
      <c r="YO63" s="246"/>
      <c r="YP63" s="241"/>
      <c r="YQ63" s="242"/>
      <c r="YR63" s="242"/>
      <c r="YS63" s="242"/>
      <c r="YT63" s="242"/>
      <c r="YU63" s="243"/>
      <c r="YV63" s="242"/>
      <c r="YW63" s="242"/>
      <c r="YX63" s="242"/>
      <c r="YY63" s="242"/>
      <c r="YZ63" s="242"/>
      <c r="ZA63" s="244"/>
      <c r="ZB63" s="242"/>
      <c r="ZC63" s="242"/>
      <c r="ZD63" s="242"/>
      <c r="ZE63" s="242"/>
      <c r="ZF63" s="242"/>
      <c r="ZG63" s="245"/>
      <c r="ZH63" s="242"/>
      <c r="ZI63" s="242"/>
      <c r="ZJ63" s="242"/>
      <c r="ZK63" s="242"/>
      <c r="ZL63" s="242"/>
      <c r="ZM63" s="244"/>
      <c r="ZN63" s="242"/>
      <c r="ZO63" s="242"/>
      <c r="ZP63" s="242"/>
      <c r="ZQ63" s="242"/>
      <c r="ZR63" s="242"/>
      <c r="ZS63" s="245"/>
      <c r="ZT63" s="242"/>
      <c r="ZU63" s="242"/>
      <c r="ZV63" s="242"/>
      <c r="ZW63" s="242"/>
      <c r="ZX63" s="242"/>
      <c r="ZY63" s="244"/>
      <c r="ZZ63" s="242"/>
      <c r="AAA63" s="242"/>
      <c r="AAB63" s="242"/>
      <c r="AAC63" s="242"/>
      <c r="AAD63" s="242"/>
      <c r="AAE63" s="245"/>
      <c r="AAF63" s="242"/>
      <c r="AAG63" s="242"/>
      <c r="AAH63" s="242"/>
      <c r="AAI63" s="242"/>
      <c r="AAJ63" s="242"/>
      <c r="AAK63" s="244"/>
      <c r="AAL63" s="242"/>
      <c r="AAM63" s="242"/>
      <c r="AAN63" s="242"/>
      <c r="AAO63" s="242"/>
      <c r="AAP63" s="242"/>
      <c r="AAQ63" s="245"/>
      <c r="AAR63" s="242"/>
      <c r="AAS63" s="242"/>
      <c r="AAT63" s="242"/>
      <c r="AAU63" s="242"/>
      <c r="AAV63" s="242"/>
      <c r="AAW63" s="246"/>
      <c r="AAX63" s="241"/>
      <c r="AAY63" s="242"/>
      <c r="AAZ63" s="242"/>
      <c r="ABA63" s="242"/>
      <c r="ABB63" s="242"/>
      <c r="ABC63" s="243"/>
      <c r="ABD63" s="242"/>
      <c r="ABE63" s="242"/>
      <c r="ABF63" s="242"/>
      <c r="ABG63" s="242"/>
      <c r="ABH63" s="242"/>
      <c r="ABI63" s="244"/>
      <c r="ABJ63" s="242"/>
      <c r="ABK63" s="242"/>
      <c r="ABL63" s="242"/>
      <c r="ABM63" s="242"/>
      <c r="ABN63" s="242"/>
      <c r="ABO63" s="245"/>
      <c r="ABP63" s="242"/>
      <c r="ABQ63" s="242"/>
      <c r="ABR63" s="242"/>
      <c r="ABS63" s="242"/>
      <c r="ABT63" s="242"/>
      <c r="ABU63" s="244"/>
      <c r="ABV63" s="242"/>
      <c r="ABW63" s="242"/>
      <c r="ABX63" s="242"/>
      <c r="ABY63" s="242"/>
      <c r="ABZ63" s="242"/>
      <c r="ACA63" s="245"/>
      <c r="ACB63" s="242"/>
      <c r="ACC63" s="242"/>
      <c r="ACD63" s="242"/>
      <c r="ACE63" s="242"/>
      <c r="ACF63" s="242"/>
      <c r="ACG63" s="244"/>
      <c r="ACH63" s="242"/>
      <c r="ACI63" s="242"/>
      <c r="ACJ63" s="242"/>
      <c r="ACK63" s="242"/>
      <c r="ACL63" s="242"/>
      <c r="ACM63" s="245"/>
      <c r="ACN63" s="242"/>
      <c r="ACO63" s="242"/>
      <c r="ACP63" s="242"/>
      <c r="ACQ63" s="242"/>
      <c r="ACR63" s="242"/>
      <c r="ACS63" s="244"/>
      <c r="ACT63" s="242"/>
      <c r="ACU63" s="242"/>
      <c r="ACV63" s="242"/>
      <c r="ACW63" s="242"/>
      <c r="ACX63" s="242"/>
      <c r="ACY63" s="245"/>
      <c r="ACZ63" s="242"/>
      <c r="ADA63" s="242"/>
      <c r="ADB63" s="242"/>
      <c r="ADC63" s="242"/>
      <c r="ADD63" s="242"/>
      <c r="ADE63" s="246"/>
      <c r="ADF63" s="241"/>
      <c r="ADG63" s="242"/>
      <c r="ADH63" s="242"/>
      <c r="ADI63" s="242"/>
      <c r="ADJ63" s="242"/>
      <c r="ADK63" s="243"/>
      <c r="ADL63" s="242"/>
      <c r="ADM63" s="242"/>
      <c r="ADN63" s="242"/>
      <c r="ADO63" s="242"/>
      <c r="ADP63" s="242"/>
      <c r="ADQ63" s="244"/>
      <c r="ADR63" s="242"/>
      <c r="ADS63" s="242"/>
      <c r="ADT63" s="242"/>
      <c r="ADU63" s="242"/>
      <c r="ADV63" s="242"/>
      <c r="ADW63" s="245"/>
      <c r="ADX63" s="242"/>
      <c r="ADY63" s="242"/>
      <c r="ADZ63" s="242"/>
      <c r="AEA63" s="242"/>
      <c r="AEB63" s="242"/>
      <c r="AEC63" s="244"/>
      <c r="AED63" s="242"/>
      <c r="AEE63" s="242"/>
      <c r="AEF63" s="242"/>
      <c r="AEG63" s="242"/>
      <c r="AEH63" s="242"/>
      <c r="AEI63" s="245"/>
      <c r="AEJ63" s="242"/>
      <c r="AEK63" s="242"/>
      <c r="AEL63" s="242"/>
      <c r="AEM63" s="242"/>
      <c r="AEN63" s="242"/>
      <c r="AEO63" s="244"/>
      <c r="AEP63" s="242"/>
      <c r="AEQ63" s="242"/>
      <c r="AER63" s="242"/>
      <c r="AES63" s="242"/>
      <c r="AET63" s="242"/>
      <c r="AEU63" s="245"/>
      <c r="AEV63" s="242"/>
      <c r="AEW63" s="242"/>
      <c r="AEX63" s="242"/>
      <c r="AEY63" s="242"/>
      <c r="AEZ63" s="242"/>
      <c r="AFA63" s="244"/>
      <c r="AFB63" s="242"/>
      <c r="AFC63" s="242"/>
      <c r="AFD63" s="242"/>
      <c r="AFE63" s="242"/>
      <c r="AFF63" s="242"/>
      <c r="AFG63" s="245"/>
      <c r="AFH63" s="242"/>
      <c r="AFI63" s="242"/>
      <c r="AFJ63" s="242"/>
      <c r="AFK63" s="242"/>
      <c r="AFL63" s="242"/>
      <c r="AFM63" s="246"/>
      <c r="AFN63" s="241"/>
      <c r="AFO63" s="242"/>
      <c r="AFP63" s="242"/>
      <c r="AFQ63" s="242"/>
      <c r="AFR63" s="242"/>
      <c r="AFS63" s="243"/>
      <c r="AFT63" s="242"/>
      <c r="AFU63" s="242"/>
      <c r="AFV63" s="242"/>
      <c r="AFW63" s="242"/>
      <c r="AFX63" s="242"/>
      <c r="AFY63" s="244"/>
      <c r="AFZ63" s="242"/>
      <c r="AGA63" s="242"/>
      <c r="AGB63" s="242"/>
      <c r="AGC63" s="242"/>
      <c r="AGD63" s="242"/>
      <c r="AGE63" s="245"/>
      <c r="AGF63" s="242"/>
      <c r="AGG63" s="242"/>
      <c r="AGH63" s="242"/>
      <c r="AGI63" s="242"/>
      <c r="AGJ63" s="242"/>
      <c r="AGK63" s="244"/>
      <c r="AGL63" s="242"/>
      <c r="AGM63" s="242"/>
      <c r="AGN63" s="242"/>
      <c r="AGO63" s="242"/>
      <c r="AGP63" s="242"/>
      <c r="AGQ63" s="245"/>
      <c r="AGR63" s="242"/>
      <c r="AGS63" s="242"/>
      <c r="AGT63" s="242"/>
      <c r="AGU63" s="242"/>
      <c r="AGV63" s="242"/>
      <c r="AGW63" s="244"/>
      <c r="AGX63" s="242"/>
      <c r="AGY63" s="242"/>
      <c r="AGZ63" s="242"/>
      <c r="AHA63" s="242"/>
      <c r="AHB63" s="242"/>
      <c r="AHC63" s="245"/>
      <c r="AHD63" s="242"/>
      <c r="AHE63" s="242"/>
      <c r="AHF63" s="242"/>
      <c r="AHG63" s="242"/>
      <c r="AHH63" s="242"/>
      <c r="AHI63" s="244"/>
      <c r="AHJ63" s="242"/>
      <c r="AHK63" s="242"/>
      <c r="AHL63" s="242"/>
      <c r="AHM63" s="242"/>
      <c r="AHN63" s="242"/>
      <c r="AHO63" s="245"/>
      <c r="AHP63" s="242"/>
      <c r="AHQ63" s="242"/>
      <c r="AHR63" s="242"/>
      <c r="AHS63" s="242"/>
      <c r="AHT63" s="242"/>
      <c r="AHU63" s="246"/>
      <c r="AHV63" s="241"/>
      <c r="AHW63" s="242"/>
      <c r="AHX63" s="242"/>
      <c r="AHY63" s="242"/>
      <c r="AHZ63" s="242"/>
      <c r="AIA63" s="243"/>
      <c r="AIB63" s="242"/>
      <c r="AIC63" s="242"/>
      <c r="AID63" s="242"/>
      <c r="AIE63" s="242"/>
      <c r="AIF63" s="242"/>
      <c r="AIG63" s="244"/>
      <c r="AIH63" s="242"/>
      <c r="AII63" s="242"/>
      <c r="AIJ63" s="242"/>
      <c r="AIK63" s="242"/>
      <c r="AIL63" s="242"/>
      <c r="AIM63" s="245"/>
      <c r="AIN63" s="242"/>
      <c r="AIO63" s="242"/>
      <c r="AIP63" s="242"/>
      <c r="AIQ63" s="242"/>
      <c r="AIR63" s="242"/>
      <c r="AIS63" s="244"/>
      <c r="AIT63" s="242"/>
      <c r="AIU63" s="242"/>
      <c r="AIV63" s="242"/>
      <c r="AIW63" s="242"/>
      <c r="AIX63" s="242"/>
      <c r="AIY63" s="245"/>
      <c r="AIZ63" s="242"/>
      <c r="AJA63" s="242"/>
      <c r="AJB63" s="242"/>
      <c r="AJC63" s="242"/>
      <c r="AJD63" s="242"/>
      <c r="AJE63" s="244"/>
      <c r="AJF63" s="242"/>
      <c r="AJG63" s="242"/>
      <c r="AJH63" s="242"/>
      <c r="AJI63" s="242"/>
      <c r="AJJ63" s="242"/>
      <c r="AJK63" s="245"/>
      <c r="AJL63" s="242"/>
      <c r="AJM63" s="242"/>
      <c r="AJN63" s="242"/>
      <c r="AJO63" s="242"/>
      <c r="AJP63" s="242"/>
      <c r="AJQ63" s="244"/>
      <c r="AJR63" s="242"/>
      <c r="AJS63" s="242"/>
      <c r="AJT63" s="242"/>
      <c r="AJU63" s="242"/>
      <c r="AJV63" s="242"/>
      <c r="AJW63" s="245"/>
      <c r="AJX63" s="242"/>
      <c r="AJY63" s="242"/>
      <c r="AJZ63" s="242"/>
      <c r="AKA63" s="242"/>
      <c r="AKB63" s="242"/>
      <c r="AKC63" s="246"/>
      <c r="AKD63" s="241"/>
      <c r="AKE63" s="242"/>
      <c r="AKF63" s="242"/>
      <c r="AKG63" s="242"/>
      <c r="AKH63" s="242"/>
      <c r="AKI63" s="243"/>
      <c r="AKJ63" s="242"/>
      <c r="AKK63" s="242"/>
      <c r="AKL63" s="242"/>
      <c r="AKM63" s="242"/>
      <c r="AKN63" s="242"/>
      <c r="AKO63" s="244"/>
      <c r="AKP63" s="242"/>
      <c r="AKQ63" s="242"/>
      <c r="AKR63" s="242"/>
      <c r="AKS63" s="242"/>
      <c r="AKT63" s="242"/>
      <c r="AKU63" s="245"/>
      <c r="AKV63" s="242"/>
      <c r="AKW63" s="242"/>
      <c r="AKX63" s="242"/>
      <c r="AKY63" s="242"/>
      <c r="AKZ63" s="242"/>
      <c r="ALA63" s="244"/>
      <c r="ALB63" s="242"/>
      <c r="ALC63" s="242"/>
      <c r="ALD63" s="242"/>
      <c r="ALE63" s="242"/>
      <c r="ALF63" s="242"/>
      <c r="ALG63" s="245"/>
      <c r="ALH63" s="242"/>
      <c r="ALI63" s="242"/>
      <c r="ALJ63" s="242"/>
      <c r="ALK63" s="242"/>
      <c r="ALL63" s="242"/>
      <c r="ALM63" s="244"/>
      <c r="ALN63" s="242"/>
      <c r="ALO63" s="242"/>
      <c r="ALP63" s="242"/>
      <c r="ALQ63" s="242"/>
      <c r="ALR63" s="242"/>
      <c r="ALS63" s="245"/>
      <c r="ALT63" s="242"/>
      <c r="ALU63" s="242"/>
      <c r="ALV63" s="242"/>
      <c r="ALW63" s="242"/>
      <c r="ALX63" s="242"/>
      <c r="ALY63" s="244"/>
      <c r="ALZ63" s="242"/>
      <c r="AMA63" s="242"/>
      <c r="AMB63" s="242"/>
      <c r="AMC63" s="242"/>
      <c r="AMD63" s="242"/>
      <c r="AME63" s="245"/>
      <c r="AMF63" s="242"/>
      <c r="AMG63" s="242"/>
      <c r="AMH63" s="242"/>
      <c r="AMI63" s="242"/>
      <c r="AMJ63" s="242"/>
      <c r="AMK63" s="246"/>
      <c r="AML63" s="241"/>
      <c r="AMM63" s="242"/>
      <c r="AMN63" s="242"/>
      <c r="AMO63" s="242"/>
      <c r="AMP63" s="242"/>
      <c r="AMQ63" s="243"/>
      <c r="AMR63" s="242"/>
      <c r="AMS63" s="242"/>
      <c r="AMT63" s="242"/>
      <c r="AMU63" s="242"/>
      <c r="AMV63" s="242"/>
      <c r="AMW63" s="244"/>
      <c r="AMX63" s="242"/>
      <c r="AMY63" s="242"/>
      <c r="AMZ63" s="242"/>
      <c r="ANA63" s="242"/>
      <c r="ANB63" s="242"/>
      <c r="ANC63" s="245"/>
      <c r="AND63" s="242"/>
      <c r="ANE63" s="242"/>
      <c r="ANF63" s="242"/>
      <c r="ANG63" s="242"/>
      <c r="ANH63" s="242"/>
      <c r="ANI63" s="244"/>
      <c r="ANJ63" s="242"/>
      <c r="ANK63" s="242"/>
      <c r="ANL63" s="242"/>
      <c r="ANM63" s="242"/>
      <c r="ANN63" s="242"/>
      <c r="ANO63" s="245"/>
      <c r="ANP63" s="242"/>
      <c r="ANQ63" s="242"/>
      <c r="ANR63" s="242"/>
      <c r="ANS63" s="242"/>
      <c r="ANT63" s="242"/>
      <c r="ANU63" s="244"/>
      <c r="ANV63" s="242"/>
      <c r="ANW63" s="242"/>
      <c r="ANX63" s="242"/>
      <c r="ANY63" s="242"/>
      <c r="ANZ63" s="242"/>
      <c r="AOA63" s="245"/>
      <c r="AOB63" s="242"/>
      <c r="AOC63" s="242"/>
      <c r="AOD63" s="242"/>
      <c r="AOE63" s="242"/>
      <c r="AOF63" s="242"/>
      <c r="AOG63" s="244"/>
      <c r="AOH63" s="242"/>
      <c r="AOI63" s="242"/>
      <c r="AOJ63" s="242"/>
      <c r="AOK63" s="242"/>
      <c r="AOL63" s="242"/>
      <c r="AOM63" s="245"/>
      <c r="AON63" s="242"/>
      <c r="AOO63" s="242"/>
      <c r="AOP63" s="242"/>
      <c r="AOQ63" s="242"/>
      <c r="AOR63" s="242"/>
      <c r="AOS63" s="246"/>
      <c r="AOT63" s="241"/>
      <c r="AOU63" s="242"/>
      <c r="AOV63" s="242"/>
      <c r="AOW63" s="242"/>
      <c r="AOX63" s="242"/>
      <c r="AOY63" s="243"/>
      <c r="AOZ63" s="242"/>
      <c r="APA63" s="242"/>
      <c r="APB63" s="242"/>
      <c r="APC63" s="242"/>
      <c r="APD63" s="242"/>
      <c r="APE63" s="244"/>
      <c r="APF63" s="242"/>
      <c r="APG63" s="242"/>
      <c r="APH63" s="242"/>
      <c r="API63" s="242"/>
      <c r="APJ63" s="242"/>
      <c r="APK63" s="245"/>
      <c r="APL63" s="242"/>
      <c r="APM63" s="242"/>
      <c r="APN63" s="242"/>
      <c r="APO63" s="242"/>
      <c r="APP63" s="242"/>
      <c r="APQ63" s="244"/>
      <c r="APR63" s="242"/>
      <c r="APS63" s="242"/>
      <c r="APT63" s="242"/>
      <c r="APU63" s="242"/>
      <c r="APV63" s="242"/>
      <c r="APW63" s="245"/>
      <c r="APX63" s="242"/>
      <c r="APY63" s="242"/>
      <c r="APZ63" s="242"/>
      <c r="AQA63" s="242"/>
      <c r="AQB63" s="242"/>
      <c r="AQC63" s="244"/>
      <c r="AQD63" s="242"/>
      <c r="AQE63" s="242"/>
      <c r="AQF63" s="242"/>
      <c r="AQG63" s="242"/>
      <c r="AQH63" s="242"/>
      <c r="AQI63" s="245"/>
      <c r="AQJ63" s="242"/>
      <c r="AQK63" s="242"/>
      <c r="AQL63" s="242"/>
      <c r="AQM63" s="242"/>
      <c r="AQN63" s="242"/>
      <c r="AQO63" s="244"/>
      <c r="AQP63" s="242"/>
      <c r="AQQ63" s="242"/>
      <c r="AQR63" s="242"/>
      <c r="AQS63" s="242"/>
      <c r="AQT63" s="242"/>
      <c r="AQU63" s="245"/>
      <c r="AQV63" s="242"/>
      <c r="AQW63" s="242"/>
      <c r="AQX63" s="242"/>
      <c r="AQY63" s="242"/>
      <c r="AQZ63" s="242"/>
      <c r="ARA63" s="246"/>
      <c r="ARB63" s="241"/>
      <c r="ARC63" s="242"/>
      <c r="ARD63" s="242"/>
      <c r="ARE63" s="242"/>
      <c r="ARF63" s="242"/>
      <c r="ARG63" s="243"/>
      <c r="ARH63" s="242"/>
      <c r="ARI63" s="242"/>
      <c r="ARJ63" s="242"/>
      <c r="ARK63" s="242"/>
      <c r="ARL63" s="242"/>
      <c r="ARM63" s="244"/>
      <c r="ARN63" s="242"/>
      <c r="ARO63" s="242"/>
      <c r="ARP63" s="242"/>
      <c r="ARQ63" s="242"/>
      <c r="ARR63" s="242"/>
      <c r="ARS63" s="245"/>
      <c r="ART63" s="242"/>
      <c r="ARU63" s="242"/>
      <c r="ARV63" s="242"/>
      <c r="ARW63" s="242"/>
      <c r="ARX63" s="242"/>
      <c r="ARY63" s="244"/>
      <c r="ARZ63" s="242"/>
      <c r="ASA63" s="242"/>
      <c r="ASB63" s="242"/>
      <c r="ASC63" s="242"/>
      <c r="ASD63" s="242"/>
      <c r="ASE63" s="245"/>
      <c r="ASF63" s="242"/>
      <c r="ASG63" s="242"/>
      <c r="ASH63" s="242"/>
      <c r="ASI63" s="242"/>
      <c r="ASJ63" s="242"/>
      <c r="ASK63" s="244"/>
      <c r="ASL63" s="242"/>
      <c r="ASM63" s="242"/>
      <c r="ASN63" s="242"/>
      <c r="ASO63" s="242"/>
      <c r="ASP63" s="242"/>
      <c r="ASQ63" s="245"/>
      <c r="ASR63" s="242"/>
      <c r="ASS63" s="242"/>
      <c r="AST63" s="242"/>
      <c r="ASU63" s="242"/>
      <c r="ASV63" s="242"/>
      <c r="ASW63" s="244"/>
      <c r="ASX63" s="242"/>
      <c r="ASY63" s="242"/>
      <c r="ASZ63" s="242"/>
      <c r="ATA63" s="242"/>
      <c r="ATB63" s="242"/>
      <c r="ATC63" s="245"/>
      <c r="ATD63" s="242"/>
      <c r="ATE63" s="242"/>
      <c r="ATF63" s="242"/>
      <c r="ATG63" s="242"/>
      <c r="ATH63" s="242"/>
      <c r="ATI63" s="246"/>
      <c r="ATJ63" s="241"/>
      <c r="ATK63" s="242"/>
      <c r="ATL63" s="242"/>
      <c r="ATM63" s="242"/>
      <c r="ATN63" s="242"/>
      <c r="ATO63" s="243"/>
      <c r="ATP63" s="242"/>
      <c r="ATQ63" s="242"/>
      <c r="ATR63" s="242"/>
      <c r="ATS63" s="242"/>
      <c r="ATT63" s="242"/>
      <c r="ATU63" s="244"/>
      <c r="ATV63" s="242"/>
      <c r="ATW63" s="242"/>
      <c r="ATX63" s="242"/>
      <c r="ATY63" s="242"/>
      <c r="ATZ63" s="242"/>
      <c r="AUA63" s="245"/>
      <c r="AUB63" s="242"/>
      <c r="AUC63" s="242"/>
      <c r="AUD63" s="242"/>
      <c r="AUE63" s="242"/>
      <c r="AUF63" s="242"/>
      <c r="AUG63" s="244"/>
      <c r="AUH63" s="242"/>
      <c r="AUI63" s="242"/>
      <c r="AUJ63" s="242"/>
      <c r="AUK63" s="242"/>
      <c r="AUL63" s="242"/>
      <c r="AUM63" s="245"/>
      <c r="AUN63" s="242"/>
      <c r="AUO63" s="242"/>
      <c r="AUP63" s="242"/>
      <c r="AUQ63" s="242"/>
      <c r="AUR63" s="242"/>
      <c r="AUS63" s="244"/>
      <c r="AUT63" s="242"/>
      <c r="AUU63" s="242"/>
      <c r="AUV63" s="242"/>
      <c r="AUW63" s="242"/>
      <c r="AUX63" s="242"/>
      <c r="AUY63" s="245"/>
      <c r="AUZ63" s="242"/>
      <c r="AVA63" s="242"/>
      <c r="AVB63" s="242"/>
      <c r="AVC63" s="242"/>
      <c r="AVD63" s="242"/>
      <c r="AVE63" s="244"/>
      <c r="AVF63" s="242"/>
      <c r="AVG63" s="242"/>
      <c r="AVH63" s="242"/>
      <c r="AVI63" s="242"/>
      <c r="AVJ63" s="242"/>
      <c r="AVK63" s="245"/>
      <c r="AVL63" s="242"/>
      <c r="AVM63" s="242"/>
      <c r="AVN63" s="242"/>
      <c r="AVO63" s="242"/>
      <c r="AVP63" s="242"/>
      <c r="AVQ63" s="246"/>
      <c r="AVR63" s="241"/>
      <c r="AVS63" s="242"/>
      <c r="AVT63" s="242"/>
      <c r="AVU63" s="242"/>
      <c r="AVV63" s="242"/>
      <c r="AVW63" s="243"/>
      <c r="AVX63" s="242"/>
      <c r="AVY63" s="242"/>
      <c r="AVZ63" s="242"/>
      <c r="AWA63" s="242"/>
      <c r="AWB63" s="242"/>
      <c r="AWC63" s="244"/>
      <c r="AWD63" s="242"/>
      <c r="AWE63" s="242"/>
      <c r="AWF63" s="242"/>
      <c r="AWG63" s="242"/>
      <c r="AWH63" s="242"/>
      <c r="AWI63" s="245"/>
      <c r="AWJ63" s="242"/>
      <c r="AWK63" s="242"/>
      <c r="AWL63" s="242"/>
      <c r="AWM63" s="242"/>
      <c r="AWN63" s="242"/>
      <c r="AWO63" s="244"/>
      <c r="AWP63" s="242"/>
      <c r="AWQ63" s="242"/>
      <c r="AWR63" s="242"/>
      <c r="AWS63" s="242"/>
      <c r="AWT63" s="242"/>
      <c r="AWU63" s="245"/>
      <c r="AWV63" s="242"/>
      <c r="AWW63" s="242"/>
      <c r="AWX63" s="242"/>
      <c r="AWY63" s="242"/>
      <c r="AWZ63" s="242"/>
      <c r="AXA63" s="244"/>
      <c r="AXB63" s="242"/>
      <c r="AXC63" s="242"/>
      <c r="AXD63" s="242"/>
      <c r="AXE63" s="242"/>
      <c r="AXF63" s="242"/>
      <c r="AXG63" s="245"/>
      <c r="AXH63" s="242"/>
      <c r="AXI63" s="242"/>
      <c r="AXJ63" s="242"/>
      <c r="AXK63" s="242"/>
      <c r="AXL63" s="242"/>
      <c r="AXM63" s="244"/>
      <c r="AXN63" s="242"/>
      <c r="AXO63" s="242"/>
      <c r="AXP63" s="242"/>
      <c r="AXQ63" s="242"/>
      <c r="AXR63" s="242"/>
      <c r="AXS63" s="245"/>
      <c r="AXT63" s="242"/>
      <c r="AXU63" s="242"/>
      <c r="AXV63" s="242"/>
      <c r="AXW63" s="242"/>
      <c r="AXX63" s="242"/>
      <c r="AXY63" s="246"/>
      <c r="AXZ63" s="241"/>
      <c r="AYA63" s="242"/>
      <c r="AYB63" s="242"/>
      <c r="AYC63" s="242"/>
      <c r="AYD63" s="242"/>
      <c r="AYE63" s="243"/>
      <c r="AYF63" s="242"/>
      <c r="AYG63" s="242"/>
      <c r="AYH63" s="242"/>
      <c r="AYI63" s="242"/>
      <c r="AYJ63" s="242"/>
      <c r="AYK63" s="244"/>
      <c r="AYL63" s="242"/>
      <c r="AYM63" s="242"/>
      <c r="AYN63" s="242"/>
      <c r="AYO63" s="242"/>
      <c r="AYP63" s="242"/>
      <c r="AYQ63" s="245"/>
      <c r="AYR63" s="242"/>
      <c r="AYS63" s="242"/>
      <c r="AYT63" s="242"/>
      <c r="AYU63" s="242"/>
      <c r="AYV63" s="242"/>
      <c r="AYW63" s="244"/>
      <c r="AYX63" s="242"/>
      <c r="AYY63" s="242"/>
      <c r="AYZ63" s="242"/>
      <c r="AZA63" s="242"/>
      <c r="AZB63" s="242"/>
      <c r="AZC63" s="245"/>
      <c r="AZD63" s="242"/>
      <c r="AZE63" s="242"/>
      <c r="AZF63" s="242"/>
      <c r="AZG63" s="242"/>
      <c r="AZH63" s="242"/>
      <c r="AZI63" s="244"/>
      <c r="AZJ63" s="242"/>
      <c r="AZK63" s="242"/>
      <c r="AZL63" s="242"/>
      <c r="AZM63" s="242"/>
      <c r="AZN63" s="242"/>
      <c r="AZO63" s="245"/>
      <c r="AZP63" s="242"/>
      <c r="AZQ63" s="242"/>
      <c r="AZR63" s="242"/>
      <c r="AZS63" s="242"/>
      <c r="AZT63" s="242"/>
      <c r="AZU63" s="244"/>
      <c r="AZV63" s="242"/>
      <c r="AZW63" s="242"/>
      <c r="AZX63" s="242"/>
      <c r="AZY63" s="242"/>
      <c r="AZZ63" s="242"/>
      <c r="BAA63" s="245"/>
      <c r="BAB63" s="242"/>
      <c r="BAC63" s="242"/>
      <c r="BAD63" s="242"/>
      <c r="BAE63" s="242"/>
      <c r="BAF63" s="242"/>
      <c r="BAG63" s="246"/>
      <c r="BAH63" s="241"/>
      <c r="BAI63" s="242"/>
      <c r="BAJ63" s="242"/>
      <c r="BAK63" s="242"/>
      <c r="BAL63" s="242"/>
      <c r="BAM63" s="243"/>
      <c r="BAN63" s="242"/>
      <c r="BAO63" s="242"/>
      <c r="BAP63" s="242"/>
      <c r="BAQ63" s="242"/>
      <c r="BAR63" s="242"/>
      <c r="BAS63" s="244"/>
      <c r="BAT63" s="242"/>
      <c r="BAU63" s="242"/>
      <c r="BAV63" s="242"/>
      <c r="BAW63" s="242"/>
      <c r="BAX63" s="242"/>
      <c r="BAY63" s="245"/>
      <c r="BAZ63" s="242"/>
      <c r="BBA63" s="242"/>
      <c r="BBB63" s="242"/>
      <c r="BBC63" s="242"/>
      <c r="BBD63" s="242"/>
      <c r="BBE63" s="244"/>
      <c r="BBF63" s="242"/>
      <c r="BBG63" s="242"/>
      <c r="BBH63" s="242"/>
      <c r="BBI63" s="242"/>
      <c r="BBJ63" s="242"/>
      <c r="BBK63" s="245"/>
      <c r="BBL63" s="242"/>
      <c r="BBM63" s="242"/>
      <c r="BBN63" s="242"/>
      <c r="BBO63" s="242"/>
      <c r="BBP63" s="242"/>
      <c r="BBQ63" s="244"/>
      <c r="BBR63" s="242"/>
      <c r="BBS63" s="242"/>
      <c r="BBT63" s="242"/>
      <c r="BBU63" s="242"/>
      <c r="BBV63" s="242"/>
      <c r="BBW63" s="245"/>
      <c r="BBX63" s="242"/>
      <c r="BBY63" s="242"/>
      <c r="BBZ63" s="242"/>
      <c r="BCA63" s="242"/>
      <c r="BCB63" s="242"/>
      <c r="BCC63" s="244"/>
      <c r="BCD63" s="242"/>
      <c r="BCE63" s="242"/>
      <c r="BCF63" s="242"/>
      <c r="BCG63" s="242"/>
      <c r="BCH63" s="242"/>
      <c r="BCI63" s="245"/>
      <c r="BCJ63" s="242"/>
      <c r="BCK63" s="242"/>
      <c r="BCL63" s="242"/>
      <c r="BCM63" s="242"/>
      <c r="BCN63" s="242"/>
      <c r="BCO63" s="246"/>
      <c r="BCP63" s="241"/>
      <c r="BCQ63" s="242"/>
      <c r="BCR63" s="242"/>
      <c r="BCS63" s="242"/>
      <c r="BCT63" s="242"/>
      <c r="BCU63" s="243"/>
      <c r="BCV63" s="242"/>
      <c r="BCW63" s="242"/>
      <c r="BCX63" s="242"/>
      <c r="BCY63" s="242"/>
      <c r="BCZ63" s="242"/>
      <c r="BDA63" s="244"/>
      <c r="BDB63" s="242"/>
      <c r="BDC63" s="242"/>
      <c r="BDD63" s="242"/>
      <c r="BDE63" s="242"/>
      <c r="BDF63" s="242"/>
      <c r="BDG63" s="245"/>
      <c r="BDH63" s="242"/>
      <c r="BDI63" s="242"/>
      <c r="BDJ63" s="242"/>
      <c r="BDK63" s="242"/>
      <c r="BDL63" s="242"/>
      <c r="BDM63" s="244"/>
      <c r="BDN63" s="242"/>
      <c r="BDO63" s="242"/>
      <c r="BDP63" s="242"/>
      <c r="BDQ63" s="242"/>
      <c r="BDR63" s="242"/>
      <c r="BDS63" s="245"/>
      <c r="BDT63" s="242"/>
      <c r="BDU63" s="242"/>
      <c r="BDV63" s="242"/>
      <c r="BDW63" s="242"/>
      <c r="BDX63" s="242"/>
      <c r="BDY63" s="244"/>
      <c r="BDZ63" s="242"/>
      <c r="BEA63" s="242"/>
      <c r="BEB63" s="242"/>
      <c r="BEC63" s="242"/>
      <c r="BED63" s="242"/>
      <c r="BEE63" s="245"/>
      <c r="BEF63" s="242"/>
      <c r="BEG63" s="242"/>
      <c r="BEH63" s="242"/>
      <c r="BEI63" s="242"/>
      <c r="BEJ63" s="242"/>
      <c r="BEK63" s="244"/>
      <c r="BEL63" s="242"/>
      <c r="BEM63" s="242"/>
      <c r="BEN63" s="242"/>
      <c r="BEO63" s="242"/>
      <c r="BEP63" s="242"/>
      <c r="BEQ63" s="245"/>
      <c r="BER63" s="242"/>
      <c r="BES63" s="242"/>
      <c r="BET63" s="242"/>
      <c r="BEU63" s="242"/>
      <c r="BEV63" s="242"/>
      <c r="BEW63" s="246"/>
      <c r="BEX63" s="241"/>
      <c r="BEY63" s="242"/>
      <c r="BEZ63" s="242"/>
      <c r="BFA63" s="242"/>
      <c r="BFB63" s="242"/>
      <c r="BFC63" s="243"/>
      <c r="BFD63" s="242"/>
      <c r="BFE63" s="242"/>
      <c r="BFF63" s="242"/>
      <c r="BFG63" s="242"/>
      <c r="BFH63" s="242"/>
      <c r="BFI63" s="244"/>
      <c r="BFJ63" s="242"/>
      <c r="BFK63" s="242"/>
      <c r="BFL63" s="242"/>
      <c r="BFM63" s="242"/>
      <c r="BFN63" s="242"/>
      <c r="BFO63" s="245"/>
      <c r="BFP63" s="242"/>
      <c r="BFQ63" s="242"/>
      <c r="BFR63" s="242"/>
      <c r="BFS63" s="242"/>
      <c r="BFT63" s="242"/>
      <c r="BFU63" s="244"/>
      <c r="BFV63" s="242"/>
      <c r="BFW63" s="242"/>
      <c r="BFX63" s="242"/>
      <c r="BFY63" s="242"/>
      <c r="BFZ63" s="242"/>
      <c r="BGA63" s="245"/>
      <c r="BGB63" s="242"/>
      <c r="BGC63" s="242"/>
      <c r="BGD63" s="242"/>
      <c r="BGE63" s="242"/>
      <c r="BGF63" s="242"/>
      <c r="BGG63" s="244"/>
      <c r="BGH63" s="242"/>
      <c r="BGI63" s="242"/>
      <c r="BGJ63" s="242"/>
      <c r="BGK63" s="242"/>
      <c r="BGL63" s="242"/>
      <c r="BGM63" s="245"/>
      <c r="BGN63" s="242"/>
      <c r="BGO63" s="242"/>
      <c r="BGP63" s="242"/>
      <c r="BGQ63" s="242"/>
      <c r="BGR63" s="242"/>
      <c r="BGS63" s="244"/>
      <c r="BGT63" s="242"/>
      <c r="BGU63" s="242"/>
      <c r="BGV63" s="242"/>
      <c r="BGW63" s="242"/>
      <c r="BGX63" s="242"/>
      <c r="BGY63" s="245"/>
      <c r="BGZ63" s="242"/>
      <c r="BHA63" s="242"/>
      <c r="BHB63" s="242"/>
      <c r="BHC63" s="242"/>
      <c r="BHD63" s="242"/>
      <c r="BHE63" s="246"/>
      <c r="BHF63" s="241"/>
      <c r="BHG63" s="242"/>
      <c r="BHH63" s="242"/>
      <c r="BHI63" s="242"/>
      <c r="BHJ63" s="242"/>
      <c r="BHK63" s="243"/>
      <c r="BHL63" s="242"/>
      <c r="BHM63" s="242"/>
      <c r="BHN63" s="242"/>
      <c r="BHO63" s="242"/>
      <c r="BHP63" s="242"/>
      <c r="BHQ63" s="244"/>
      <c r="BHR63" s="242"/>
      <c r="BHS63" s="242"/>
      <c r="BHT63" s="242"/>
      <c r="BHU63" s="242"/>
      <c r="BHV63" s="242"/>
      <c r="BHW63" s="245"/>
      <c r="BHX63" s="242"/>
      <c r="BHY63" s="242"/>
      <c r="BHZ63" s="242"/>
      <c r="BIA63" s="242"/>
      <c r="BIB63" s="242"/>
      <c r="BIC63" s="244"/>
      <c r="BID63" s="242"/>
      <c r="BIE63" s="242"/>
      <c r="BIF63" s="242"/>
      <c r="BIG63" s="242"/>
      <c r="BIH63" s="242"/>
      <c r="BII63" s="245"/>
      <c r="BIJ63" s="242"/>
      <c r="BIK63" s="242"/>
      <c r="BIL63" s="242"/>
      <c r="BIM63" s="242"/>
      <c r="BIN63" s="242"/>
      <c r="BIO63" s="244"/>
      <c r="BIP63" s="242"/>
      <c r="BIQ63" s="242"/>
      <c r="BIR63" s="242"/>
      <c r="BIS63" s="242"/>
      <c r="BIT63" s="242"/>
      <c r="BIU63" s="245"/>
      <c r="BIV63" s="242"/>
      <c r="BIW63" s="242"/>
      <c r="BIX63" s="242"/>
      <c r="BIY63" s="242"/>
      <c r="BIZ63" s="242"/>
      <c r="BJA63" s="244"/>
      <c r="BJB63" s="242"/>
      <c r="BJC63" s="242"/>
      <c r="BJD63" s="242"/>
      <c r="BJE63" s="242"/>
      <c r="BJF63" s="242"/>
      <c r="BJG63" s="245"/>
      <c r="BJH63" s="242"/>
      <c r="BJI63" s="242"/>
      <c r="BJJ63" s="242"/>
      <c r="BJK63" s="242"/>
      <c r="BJL63" s="242"/>
      <c r="BJM63" s="246"/>
      <c r="BJN63" s="233"/>
      <c r="BJO63" s="234"/>
      <c r="BJP63" s="234"/>
      <c r="BJQ63" s="234"/>
      <c r="BJR63" s="234"/>
      <c r="BJS63" s="234"/>
      <c r="BJT63" s="234"/>
      <c r="BJU63" s="234"/>
      <c r="BJV63" s="234"/>
      <c r="BJW63" s="234"/>
      <c r="BJX63" s="234"/>
      <c r="BJY63" s="234"/>
      <c r="BJZ63" s="234"/>
      <c r="BKA63" s="234"/>
      <c r="BKB63" s="234"/>
      <c r="BKC63" s="234"/>
      <c r="BKD63" s="234"/>
      <c r="BKE63" s="234"/>
      <c r="BKF63" s="234"/>
      <c r="BKG63" s="234"/>
      <c r="BKH63" s="234"/>
      <c r="BKI63" s="234"/>
      <c r="BKJ63" s="234"/>
      <c r="BKK63" s="234"/>
      <c r="BKL63" s="234"/>
      <c r="BKM63" s="234"/>
      <c r="BKN63" s="234"/>
    </row>
    <row r="64" spans="1:1652" ht="20.100000000000001" customHeight="1" x14ac:dyDescent="0.3">
      <c r="A64" s="84" t="s">
        <v>20</v>
      </c>
      <c r="B64" s="53"/>
      <c r="C64" s="189"/>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174"/>
      <c r="BJO64" s="4"/>
      <c r="BJP64" s="4"/>
      <c r="BJQ64" s="4"/>
      <c r="BJR64" s="4"/>
      <c r="BJS64" s="4"/>
      <c r="BJT64" s="4"/>
      <c r="BJU64" s="4"/>
      <c r="BJV64" s="4"/>
      <c r="BJW64" s="4"/>
      <c r="BJX64" s="4"/>
      <c r="BJY64" s="4"/>
      <c r="BJZ64" s="4"/>
      <c r="BKA64" s="4"/>
      <c r="BKB64" s="4"/>
      <c r="BKC64" s="4"/>
      <c r="BKD64" s="4"/>
      <c r="BKE64" s="4"/>
      <c r="BKF64" s="4"/>
      <c r="BKG64" s="4"/>
      <c r="BKH64" s="4"/>
      <c r="BKI64" s="4"/>
      <c r="BKJ64" s="4"/>
      <c r="BKK64" s="4"/>
      <c r="BKL64" s="4"/>
      <c r="BKM64" s="4"/>
      <c r="BKN64" s="4"/>
    </row>
    <row r="65" spans="1:1652" ht="20.100000000000001" customHeight="1" x14ac:dyDescent="0.25">
      <c r="A65" s="84" t="s">
        <v>19</v>
      </c>
      <c r="B65" s="53"/>
      <c r="C65" s="177"/>
      <c r="D65" s="129" t="str">
        <f t="shared" si="0"/>
        <v>0h</v>
      </c>
      <c r="E65" s="26">
        <v>0</v>
      </c>
      <c r="F65" s="235"/>
      <c r="G65" s="236"/>
      <c r="H65" s="236"/>
      <c r="I65" s="236"/>
      <c r="J65" s="236"/>
      <c r="K65" s="237"/>
      <c r="L65" s="236"/>
      <c r="M65" s="236"/>
      <c r="N65" s="236"/>
      <c r="O65" s="236"/>
      <c r="P65" s="236"/>
      <c r="Q65" s="238"/>
      <c r="R65" s="236"/>
      <c r="S65" s="236"/>
      <c r="T65" s="236"/>
      <c r="U65" s="236"/>
      <c r="V65" s="236"/>
      <c r="W65" s="239"/>
      <c r="X65" s="236"/>
      <c r="Y65" s="236"/>
      <c r="Z65" s="236"/>
      <c r="AA65" s="236"/>
      <c r="AB65" s="236"/>
      <c r="AC65" s="238"/>
      <c r="AD65" s="236"/>
      <c r="AE65" s="236"/>
      <c r="AF65" s="236"/>
      <c r="AG65" s="236"/>
      <c r="AH65" s="236"/>
      <c r="AI65" s="239"/>
      <c r="AJ65" s="236"/>
      <c r="AK65" s="236"/>
      <c r="AL65" s="236"/>
      <c r="AM65" s="236"/>
      <c r="AN65" s="236"/>
      <c r="AO65" s="238"/>
      <c r="AP65" s="236"/>
      <c r="AQ65" s="236"/>
      <c r="AR65" s="236"/>
      <c r="AS65" s="236"/>
      <c r="AT65" s="236"/>
      <c r="AU65" s="239"/>
      <c r="AV65" s="236"/>
      <c r="AW65" s="236"/>
      <c r="AX65" s="236"/>
      <c r="AY65" s="236"/>
      <c r="AZ65" s="236"/>
      <c r="BA65" s="238"/>
      <c r="BB65" s="236"/>
      <c r="BC65" s="236"/>
      <c r="BD65" s="236"/>
      <c r="BE65" s="236"/>
      <c r="BF65" s="236"/>
      <c r="BG65" s="239"/>
      <c r="BH65" s="236"/>
      <c r="BI65" s="236"/>
      <c r="BJ65" s="236"/>
      <c r="BK65" s="236"/>
      <c r="BL65" s="236"/>
      <c r="BM65" s="240"/>
      <c r="BN65" s="235"/>
      <c r="BO65" s="236"/>
      <c r="BP65" s="236"/>
      <c r="BQ65" s="236"/>
      <c r="BR65" s="236"/>
      <c r="BS65" s="237"/>
      <c r="BT65" s="236"/>
      <c r="BU65" s="236"/>
      <c r="BV65" s="236"/>
      <c r="BW65" s="236"/>
      <c r="BX65" s="236"/>
      <c r="BY65" s="238"/>
      <c r="BZ65" s="236"/>
      <c r="CA65" s="236"/>
      <c r="CB65" s="236"/>
      <c r="CC65" s="236"/>
      <c r="CD65" s="236"/>
      <c r="CE65" s="239"/>
      <c r="CF65" s="236"/>
      <c r="CG65" s="236"/>
      <c r="CH65" s="236"/>
      <c r="CI65" s="236"/>
      <c r="CJ65" s="236"/>
      <c r="CK65" s="238"/>
      <c r="CL65" s="236"/>
      <c r="CM65" s="236"/>
      <c r="CN65" s="236"/>
      <c r="CO65" s="236"/>
      <c r="CP65" s="236"/>
      <c r="CQ65" s="239"/>
      <c r="CR65" s="236"/>
      <c r="CS65" s="236"/>
      <c r="CT65" s="236"/>
      <c r="CU65" s="236"/>
      <c r="CV65" s="236"/>
      <c r="CW65" s="238"/>
      <c r="CX65" s="236"/>
      <c r="CY65" s="236"/>
      <c r="CZ65" s="236"/>
      <c r="DA65" s="236"/>
      <c r="DB65" s="236"/>
      <c r="DC65" s="239"/>
      <c r="DD65" s="236"/>
      <c r="DE65" s="236"/>
      <c r="DF65" s="236"/>
      <c r="DG65" s="236"/>
      <c r="DH65" s="236"/>
      <c r="DI65" s="238"/>
      <c r="DJ65" s="236"/>
      <c r="DK65" s="236"/>
      <c r="DL65" s="236"/>
      <c r="DM65" s="236"/>
      <c r="DN65" s="236"/>
      <c r="DO65" s="239"/>
      <c r="DP65" s="236"/>
      <c r="DQ65" s="236"/>
      <c r="DR65" s="236"/>
      <c r="DS65" s="236"/>
      <c r="DT65" s="236"/>
      <c r="DU65" s="240"/>
      <c r="DV65" s="235"/>
      <c r="DW65" s="236"/>
      <c r="DX65" s="236"/>
      <c r="DY65" s="236"/>
      <c r="DZ65" s="236"/>
      <c r="EA65" s="237"/>
      <c r="EB65" s="236"/>
      <c r="EC65" s="236"/>
      <c r="ED65" s="236"/>
      <c r="EE65" s="236"/>
      <c r="EF65" s="236"/>
      <c r="EG65" s="238"/>
      <c r="EH65" s="236"/>
      <c r="EI65" s="236"/>
      <c r="EJ65" s="236"/>
      <c r="EK65" s="236"/>
      <c r="EL65" s="236"/>
      <c r="EM65" s="239"/>
      <c r="EN65" s="236"/>
      <c r="EO65" s="236"/>
      <c r="EP65" s="236"/>
      <c r="EQ65" s="236"/>
      <c r="ER65" s="236"/>
      <c r="ES65" s="238"/>
      <c r="ET65" s="236"/>
      <c r="EU65" s="236"/>
      <c r="EV65" s="236"/>
      <c r="EW65" s="236"/>
      <c r="EX65" s="236"/>
      <c r="EY65" s="239"/>
      <c r="EZ65" s="236"/>
      <c r="FA65" s="236"/>
      <c r="FB65" s="236"/>
      <c r="FC65" s="236"/>
      <c r="FD65" s="236"/>
      <c r="FE65" s="238"/>
      <c r="FF65" s="236"/>
      <c r="FG65" s="236"/>
      <c r="FH65" s="236"/>
      <c r="FI65" s="236"/>
      <c r="FJ65" s="236"/>
      <c r="FK65" s="239"/>
      <c r="FL65" s="236"/>
      <c r="FM65" s="236"/>
      <c r="FN65" s="236"/>
      <c r="FO65" s="236"/>
      <c r="FP65" s="236"/>
      <c r="FQ65" s="238"/>
      <c r="FR65" s="236"/>
      <c r="FS65" s="236"/>
      <c r="FT65" s="236"/>
      <c r="FU65" s="236"/>
      <c r="FV65" s="236"/>
      <c r="FW65" s="239"/>
      <c r="FX65" s="236"/>
      <c r="FY65" s="236"/>
      <c r="FZ65" s="236"/>
      <c r="GA65" s="236"/>
      <c r="GB65" s="236"/>
      <c r="GC65" s="240"/>
      <c r="GD65" s="235"/>
      <c r="GE65" s="236"/>
      <c r="GF65" s="236"/>
      <c r="GG65" s="236"/>
      <c r="GH65" s="236"/>
      <c r="GI65" s="237"/>
      <c r="GJ65" s="236"/>
      <c r="GK65" s="236"/>
      <c r="GL65" s="236"/>
      <c r="GM65" s="236"/>
      <c r="GN65" s="236"/>
      <c r="GO65" s="238"/>
      <c r="GP65" s="236"/>
      <c r="GQ65" s="236"/>
      <c r="GR65" s="236"/>
      <c r="GS65" s="236"/>
      <c r="GT65" s="236"/>
      <c r="GU65" s="239"/>
      <c r="GV65" s="236"/>
      <c r="GW65" s="236"/>
      <c r="GX65" s="236"/>
      <c r="GY65" s="236"/>
      <c r="GZ65" s="236"/>
      <c r="HA65" s="238"/>
      <c r="HB65" s="236"/>
      <c r="HC65" s="236"/>
      <c r="HD65" s="236"/>
      <c r="HE65" s="236"/>
      <c r="HF65" s="236"/>
      <c r="HG65" s="239"/>
      <c r="HH65" s="236"/>
      <c r="HI65" s="236"/>
      <c r="HJ65" s="236"/>
      <c r="HK65" s="236"/>
      <c r="HL65" s="236"/>
      <c r="HM65" s="238"/>
      <c r="HN65" s="236"/>
      <c r="HO65" s="236"/>
      <c r="HP65" s="236"/>
      <c r="HQ65" s="236"/>
      <c r="HR65" s="236"/>
      <c r="HS65" s="239"/>
      <c r="HT65" s="236"/>
      <c r="HU65" s="236"/>
      <c r="HV65" s="236"/>
      <c r="HW65" s="236"/>
      <c r="HX65" s="236"/>
      <c r="HY65" s="238"/>
      <c r="HZ65" s="236"/>
      <c r="IA65" s="236"/>
      <c r="IB65" s="236"/>
      <c r="IC65" s="236"/>
      <c r="ID65" s="236"/>
      <c r="IE65" s="239"/>
      <c r="IF65" s="236"/>
      <c r="IG65" s="236"/>
      <c r="IH65" s="236"/>
      <c r="II65" s="236"/>
      <c r="IJ65" s="236"/>
      <c r="IK65" s="240"/>
      <c r="IL65" s="235"/>
      <c r="IM65" s="236"/>
      <c r="IN65" s="236"/>
      <c r="IO65" s="236"/>
      <c r="IP65" s="236"/>
      <c r="IQ65" s="237"/>
      <c r="IR65" s="236"/>
      <c r="IS65" s="236"/>
      <c r="IT65" s="236"/>
      <c r="IU65" s="236"/>
      <c r="IV65" s="236"/>
      <c r="IW65" s="238"/>
      <c r="IX65" s="236"/>
      <c r="IY65" s="236"/>
      <c r="IZ65" s="236"/>
      <c r="JA65" s="236"/>
      <c r="JB65" s="236"/>
      <c r="JC65" s="239"/>
      <c r="JD65" s="236"/>
      <c r="JE65" s="236"/>
      <c r="JF65" s="236"/>
      <c r="JG65" s="236"/>
      <c r="JH65" s="236"/>
      <c r="JI65" s="238"/>
      <c r="JJ65" s="236"/>
      <c r="JK65" s="236"/>
      <c r="JL65" s="236"/>
      <c r="JM65" s="236"/>
      <c r="JN65" s="236"/>
      <c r="JO65" s="239"/>
      <c r="JP65" s="236"/>
      <c r="JQ65" s="236"/>
      <c r="JR65" s="236"/>
      <c r="JS65" s="236"/>
      <c r="JT65" s="236"/>
      <c r="JU65" s="238"/>
      <c r="JV65" s="236"/>
      <c r="JW65" s="236"/>
      <c r="JX65" s="236"/>
      <c r="JY65" s="236"/>
      <c r="JZ65" s="236"/>
      <c r="KA65" s="239"/>
      <c r="KB65" s="236"/>
      <c r="KC65" s="236"/>
      <c r="KD65" s="236"/>
      <c r="KE65" s="236"/>
      <c r="KF65" s="236"/>
      <c r="KG65" s="238"/>
      <c r="KH65" s="236"/>
      <c r="KI65" s="236"/>
      <c r="KJ65" s="236"/>
      <c r="KK65" s="236"/>
      <c r="KL65" s="236"/>
      <c r="KM65" s="239"/>
      <c r="KN65" s="236"/>
      <c r="KO65" s="236"/>
      <c r="KP65" s="236"/>
      <c r="KQ65" s="236"/>
      <c r="KR65" s="236"/>
      <c r="KS65" s="240"/>
      <c r="KT65" s="235"/>
      <c r="KU65" s="236"/>
      <c r="KV65" s="236"/>
      <c r="KW65" s="236"/>
      <c r="KX65" s="236"/>
      <c r="KY65" s="237"/>
      <c r="KZ65" s="236"/>
      <c r="LA65" s="236"/>
      <c r="LB65" s="236"/>
      <c r="LC65" s="236"/>
      <c r="LD65" s="236"/>
      <c r="LE65" s="238"/>
      <c r="LF65" s="236"/>
      <c r="LG65" s="236"/>
      <c r="LH65" s="236"/>
      <c r="LI65" s="236"/>
      <c r="LJ65" s="236"/>
      <c r="LK65" s="239"/>
      <c r="LL65" s="236"/>
      <c r="LM65" s="236"/>
      <c r="LN65" s="236"/>
      <c r="LO65" s="236"/>
      <c r="LP65" s="236"/>
      <c r="LQ65" s="238"/>
      <c r="LR65" s="236"/>
      <c r="LS65" s="236"/>
      <c r="LT65" s="236"/>
      <c r="LU65" s="236"/>
      <c r="LV65" s="236"/>
      <c r="LW65" s="239"/>
      <c r="LX65" s="236"/>
      <c r="LY65" s="236"/>
      <c r="LZ65" s="236"/>
      <c r="MA65" s="236"/>
      <c r="MB65" s="236"/>
      <c r="MC65" s="238"/>
      <c r="MD65" s="236"/>
      <c r="ME65" s="236"/>
      <c r="MF65" s="236"/>
      <c r="MG65" s="236"/>
      <c r="MH65" s="236"/>
      <c r="MI65" s="239"/>
      <c r="MJ65" s="236"/>
      <c r="MK65" s="236"/>
      <c r="ML65" s="236"/>
      <c r="MM65" s="236"/>
      <c r="MN65" s="236"/>
      <c r="MO65" s="238"/>
      <c r="MP65" s="236"/>
      <c r="MQ65" s="236"/>
      <c r="MR65" s="236"/>
      <c r="MS65" s="236"/>
      <c r="MT65" s="236"/>
      <c r="MU65" s="239"/>
      <c r="MV65" s="236"/>
      <c r="MW65" s="236"/>
      <c r="MX65" s="236"/>
      <c r="MY65" s="236"/>
      <c r="MZ65" s="236"/>
      <c r="NA65" s="240"/>
      <c r="NB65" s="235"/>
      <c r="NC65" s="236"/>
      <c r="ND65" s="236"/>
      <c r="NE65" s="236"/>
      <c r="NF65" s="236"/>
      <c r="NG65" s="237"/>
      <c r="NH65" s="236"/>
      <c r="NI65" s="236"/>
      <c r="NJ65" s="236"/>
      <c r="NK65" s="236"/>
      <c r="NL65" s="236"/>
      <c r="NM65" s="238"/>
      <c r="NN65" s="236"/>
      <c r="NO65" s="236"/>
      <c r="NP65" s="236"/>
      <c r="NQ65" s="236"/>
      <c r="NR65" s="236"/>
      <c r="NS65" s="239"/>
      <c r="NT65" s="236"/>
      <c r="NU65" s="236"/>
      <c r="NV65" s="236"/>
      <c r="NW65" s="236"/>
      <c r="NX65" s="236"/>
      <c r="NY65" s="238"/>
      <c r="NZ65" s="236"/>
      <c r="OA65" s="236"/>
      <c r="OB65" s="236"/>
      <c r="OC65" s="236"/>
      <c r="OD65" s="236"/>
      <c r="OE65" s="239"/>
      <c r="OF65" s="236"/>
      <c r="OG65" s="236"/>
      <c r="OH65" s="236"/>
      <c r="OI65" s="236"/>
      <c r="OJ65" s="236"/>
      <c r="OK65" s="238"/>
      <c r="OL65" s="236"/>
      <c r="OM65" s="236"/>
      <c r="ON65" s="236"/>
      <c r="OO65" s="236"/>
      <c r="OP65" s="236"/>
      <c r="OQ65" s="239"/>
      <c r="OR65" s="236"/>
      <c r="OS65" s="236"/>
      <c r="OT65" s="236"/>
      <c r="OU65" s="236"/>
      <c r="OV65" s="236"/>
      <c r="OW65" s="238"/>
      <c r="OX65" s="236"/>
      <c r="OY65" s="236"/>
      <c r="OZ65" s="236"/>
      <c r="PA65" s="236"/>
      <c r="PB65" s="236"/>
      <c r="PC65" s="239"/>
      <c r="PD65" s="236"/>
      <c r="PE65" s="236"/>
      <c r="PF65" s="236"/>
      <c r="PG65" s="236"/>
      <c r="PH65" s="236"/>
      <c r="PI65" s="240"/>
      <c r="PJ65" s="235"/>
      <c r="PK65" s="236"/>
      <c r="PL65" s="236"/>
      <c r="PM65" s="236"/>
      <c r="PN65" s="236"/>
      <c r="PO65" s="237"/>
      <c r="PP65" s="236"/>
      <c r="PQ65" s="236"/>
      <c r="PR65" s="236"/>
      <c r="PS65" s="236"/>
      <c r="PT65" s="236"/>
      <c r="PU65" s="238"/>
      <c r="PV65" s="236"/>
      <c r="PW65" s="236"/>
      <c r="PX65" s="236"/>
      <c r="PY65" s="236"/>
      <c r="PZ65" s="236"/>
      <c r="QA65" s="239"/>
      <c r="QB65" s="236"/>
      <c r="QC65" s="236"/>
      <c r="QD65" s="236"/>
      <c r="QE65" s="236"/>
      <c r="QF65" s="236"/>
      <c r="QG65" s="238"/>
      <c r="QH65" s="236"/>
      <c r="QI65" s="236"/>
      <c r="QJ65" s="236"/>
      <c r="QK65" s="236"/>
      <c r="QL65" s="236"/>
      <c r="QM65" s="239"/>
      <c r="QN65" s="236"/>
      <c r="QO65" s="236"/>
      <c r="QP65" s="236"/>
      <c r="QQ65" s="236"/>
      <c r="QR65" s="236"/>
      <c r="QS65" s="238"/>
      <c r="QT65" s="236"/>
      <c r="QU65" s="236"/>
      <c r="QV65" s="236"/>
      <c r="QW65" s="236"/>
      <c r="QX65" s="236"/>
      <c r="QY65" s="239"/>
      <c r="QZ65" s="236"/>
      <c r="RA65" s="236"/>
      <c r="RB65" s="236"/>
      <c r="RC65" s="236"/>
      <c r="RD65" s="236"/>
      <c r="RE65" s="238"/>
      <c r="RF65" s="236"/>
      <c r="RG65" s="236"/>
      <c r="RH65" s="236"/>
      <c r="RI65" s="236"/>
      <c r="RJ65" s="236"/>
      <c r="RK65" s="239"/>
      <c r="RL65" s="236"/>
      <c r="RM65" s="236"/>
      <c r="RN65" s="236"/>
      <c r="RO65" s="236"/>
      <c r="RP65" s="236"/>
      <c r="RQ65" s="240"/>
      <c r="RR65" s="235"/>
      <c r="RS65" s="236"/>
      <c r="RT65" s="236"/>
      <c r="RU65" s="236"/>
      <c r="RV65" s="236"/>
      <c r="RW65" s="237"/>
      <c r="RX65" s="236"/>
      <c r="RY65" s="236"/>
      <c r="RZ65" s="236"/>
      <c r="SA65" s="236"/>
      <c r="SB65" s="236"/>
      <c r="SC65" s="238"/>
      <c r="SD65" s="236"/>
      <c r="SE65" s="236"/>
      <c r="SF65" s="236"/>
      <c r="SG65" s="236"/>
      <c r="SH65" s="236"/>
      <c r="SI65" s="239"/>
      <c r="SJ65" s="236"/>
      <c r="SK65" s="236"/>
      <c r="SL65" s="236"/>
      <c r="SM65" s="236"/>
      <c r="SN65" s="236"/>
      <c r="SO65" s="238"/>
      <c r="SP65" s="236"/>
      <c r="SQ65" s="236"/>
      <c r="SR65" s="236"/>
      <c r="SS65" s="236"/>
      <c r="ST65" s="236"/>
      <c r="SU65" s="239"/>
      <c r="SV65" s="236"/>
      <c r="SW65" s="236"/>
      <c r="SX65" s="236"/>
      <c r="SY65" s="236"/>
      <c r="SZ65" s="236"/>
      <c r="TA65" s="238"/>
      <c r="TB65" s="236"/>
      <c r="TC65" s="236"/>
      <c r="TD65" s="236"/>
      <c r="TE65" s="236"/>
      <c r="TF65" s="236"/>
      <c r="TG65" s="239"/>
      <c r="TH65" s="236"/>
      <c r="TI65" s="236"/>
      <c r="TJ65" s="236"/>
      <c r="TK65" s="236"/>
      <c r="TL65" s="236"/>
      <c r="TM65" s="238"/>
      <c r="TN65" s="236"/>
      <c r="TO65" s="236"/>
      <c r="TP65" s="236"/>
      <c r="TQ65" s="236"/>
      <c r="TR65" s="236"/>
      <c r="TS65" s="239"/>
      <c r="TT65" s="236"/>
      <c r="TU65" s="236"/>
      <c r="TV65" s="236"/>
      <c r="TW65" s="236"/>
      <c r="TX65" s="236"/>
      <c r="TY65" s="240"/>
      <c r="TZ65" s="235"/>
      <c r="UA65" s="236"/>
      <c r="UB65" s="236"/>
      <c r="UC65" s="236"/>
      <c r="UD65" s="236"/>
      <c r="UE65" s="237"/>
      <c r="UF65" s="236"/>
      <c r="UG65" s="236"/>
      <c r="UH65" s="236"/>
      <c r="UI65" s="236"/>
      <c r="UJ65" s="236"/>
      <c r="UK65" s="238"/>
      <c r="UL65" s="236"/>
      <c r="UM65" s="236"/>
      <c r="UN65" s="236"/>
      <c r="UO65" s="236"/>
      <c r="UP65" s="236"/>
      <c r="UQ65" s="239"/>
      <c r="UR65" s="236"/>
      <c r="US65" s="236"/>
      <c r="UT65" s="236"/>
      <c r="UU65" s="236"/>
      <c r="UV65" s="236"/>
      <c r="UW65" s="238"/>
      <c r="UX65" s="236"/>
      <c r="UY65" s="236"/>
      <c r="UZ65" s="236"/>
      <c r="VA65" s="236"/>
      <c r="VB65" s="236"/>
      <c r="VC65" s="239"/>
      <c r="VD65" s="236"/>
      <c r="VE65" s="236"/>
      <c r="VF65" s="236"/>
      <c r="VG65" s="236"/>
      <c r="VH65" s="236"/>
      <c r="VI65" s="238"/>
      <c r="VJ65" s="236"/>
      <c r="VK65" s="236"/>
      <c r="VL65" s="236"/>
      <c r="VM65" s="236"/>
      <c r="VN65" s="236"/>
      <c r="VO65" s="239"/>
      <c r="VP65" s="236"/>
      <c r="VQ65" s="236"/>
      <c r="VR65" s="236"/>
      <c r="VS65" s="236"/>
      <c r="VT65" s="236"/>
      <c r="VU65" s="238"/>
      <c r="VV65" s="236"/>
      <c r="VW65" s="236"/>
      <c r="VX65" s="236"/>
      <c r="VY65" s="236"/>
      <c r="VZ65" s="236"/>
      <c r="WA65" s="239"/>
      <c r="WB65" s="236"/>
      <c r="WC65" s="236"/>
      <c r="WD65" s="236"/>
      <c r="WE65" s="236"/>
      <c r="WF65" s="236"/>
      <c r="WG65" s="240"/>
      <c r="WH65" s="235"/>
      <c r="WI65" s="236"/>
      <c r="WJ65" s="236"/>
      <c r="WK65" s="236"/>
      <c r="WL65" s="236"/>
      <c r="WM65" s="237"/>
      <c r="WN65" s="236"/>
      <c r="WO65" s="236"/>
      <c r="WP65" s="236"/>
      <c r="WQ65" s="236"/>
      <c r="WR65" s="236"/>
      <c r="WS65" s="238"/>
      <c r="WT65" s="236"/>
      <c r="WU65" s="236"/>
      <c r="WV65" s="236"/>
      <c r="WW65" s="236"/>
      <c r="WX65" s="236"/>
      <c r="WY65" s="239"/>
      <c r="WZ65" s="236"/>
      <c r="XA65" s="236"/>
      <c r="XB65" s="236"/>
      <c r="XC65" s="236"/>
      <c r="XD65" s="236"/>
      <c r="XE65" s="238"/>
      <c r="XF65" s="236"/>
      <c r="XG65" s="236"/>
      <c r="XH65" s="236"/>
      <c r="XI65" s="236"/>
      <c r="XJ65" s="236"/>
      <c r="XK65" s="239"/>
      <c r="XL65" s="236"/>
      <c r="XM65" s="236"/>
      <c r="XN65" s="236"/>
      <c r="XO65" s="236"/>
      <c r="XP65" s="236"/>
      <c r="XQ65" s="238"/>
      <c r="XR65" s="236"/>
      <c r="XS65" s="236"/>
      <c r="XT65" s="236"/>
      <c r="XU65" s="236"/>
      <c r="XV65" s="236"/>
      <c r="XW65" s="239"/>
      <c r="XX65" s="236"/>
      <c r="XY65" s="236"/>
      <c r="XZ65" s="236"/>
      <c r="YA65" s="236"/>
      <c r="YB65" s="236"/>
      <c r="YC65" s="238"/>
      <c r="YD65" s="236"/>
      <c r="YE65" s="236"/>
      <c r="YF65" s="236"/>
      <c r="YG65" s="236"/>
      <c r="YH65" s="236"/>
      <c r="YI65" s="239"/>
      <c r="YJ65" s="236"/>
      <c r="YK65" s="236"/>
      <c r="YL65" s="236"/>
      <c r="YM65" s="236"/>
      <c r="YN65" s="236"/>
      <c r="YO65" s="240"/>
      <c r="YP65" s="235"/>
      <c r="YQ65" s="236"/>
      <c r="YR65" s="236"/>
      <c r="YS65" s="236"/>
      <c r="YT65" s="236"/>
      <c r="YU65" s="237"/>
      <c r="YV65" s="236"/>
      <c r="YW65" s="236"/>
      <c r="YX65" s="236"/>
      <c r="YY65" s="236"/>
      <c r="YZ65" s="236"/>
      <c r="ZA65" s="238"/>
      <c r="ZB65" s="236"/>
      <c r="ZC65" s="236"/>
      <c r="ZD65" s="236"/>
      <c r="ZE65" s="236"/>
      <c r="ZF65" s="236"/>
      <c r="ZG65" s="239"/>
      <c r="ZH65" s="236"/>
      <c r="ZI65" s="236"/>
      <c r="ZJ65" s="236"/>
      <c r="ZK65" s="236"/>
      <c r="ZL65" s="236"/>
      <c r="ZM65" s="238"/>
      <c r="ZN65" s="236"/>
      <c r="ZO65" s="236"/>
      <c r="ZP65" s="236"/>
      <c r="ZQ65" s="236"/>
      <c r="ZR65" s="236"/>
      <c r="ZS65" s="239"/>
      <c r="ZT65" s="236"/>
      <c r="ZU65" s="236"/>
      <c r="ZV65" s="236"/>
      <c r="ZW65" s="236"/>
      <c r="ZX65" s="236"/>
      <c r="ZY65" s="238"/>
      <c r="ZZ65" s="236"/>
      <c r="AAA65" s="236"/>
      <c r="AAB65" s="236"/>
      <c r="AAC65" s="236"/>
      <c r="AAD65" s="236"/>
      <c r="AAE65" s="239"/>
      <c r="AAF65" s="236"/>
      <c r="AAG65" s="236"/>
      <c r="AAH65" s="236"/>
      <c r="AAI65" s="236"/>
      <c r="AAJ65" s="236"/>
      <c r="AAK65" s="238"/>
      <c r="AAL65" s="236"/>
      <c r="AAM65" s="236"/>
      <c r="AAN65" s="236"/>
      <c r="AAO65" s="236"/>
      <c r="AAP65" s="236"/>
      <c r="AAQ65" s="239"/>
      <c r="AAR65" s="236"/>
      <c r="AAS65" s="236"/>
      <c r="AAT65" s="236"/>
      <c r="AAU65" s="236"/>
      <c r="AAV65" s="236"/>
      <c r="AAW65" s="240"/>
      <c r="AAX65" s="235"/>
      <c r="AAY65" s="236"/>
      <c r="AAZ65" s="236"/>
      <c r="ABA65" s="236"/>
      <c r="ABB65" s="236"/>
      <c r="ABC65" s="237"/>
      <c r="ABD65" s="236"/>
      <c r="ABE65" s="236"/>
      <c r="ABF65" s="236"/>
      <c r="ABG65" s="236"/>
      <c r="ABH65" s="236"/>
      <c r="ABI65" s="238"/>
      <c r="ABJ65" s="236"/>
      <c r="ABK65" s="236"/>
      <c r="ABL65" s="236"/>
      <c r="ABM65" s="236"/>
      <c r="ABN65" s="236"/>
      <c r="ABO65" s="239"/>
      <c r="ABP65" s="236"/>
      <c r="ABQ65" s="236"/>
      <c r="ABR65" s="236"/>
      <c r="ABS65" s="236"/>
      <c r="ABT65" s="236"/>
      <c r="ABU65" s="238"/>
      <c r="ABV65" s="236"/>
      <c r="ABW65" s="236"/>
      <c r="ABX65" s="236"/>
      <c r="ABY65" s="236"/>
      <c r="ABZ65" s="236"/>
      <c r="ACA65" s="239"/>
      <c r="ACB65" s="236"/>
      <c r="ACC65" s="236"/>
      <c r="ACD65" s="236"/>
      <c r="ACE65" s="236"/>
      <c r="ACF65" s="236"/>
      <c r="ACG65" s="238"/>
      <c r="ACH65" s="236"/>
      <c r="ACI65" s="236"/>
      <c r="ACJ65" s="236"/>
      <c r="ACK65" s="236"/>
      <c r="ACL65" s="236"/>
      <c r="ACM65" s="239"/>
      <c r="ACN65" s="236"/>
      <c r="ACO65" s="236"/>
      <c r="ACP65" s="236"/>
      <c r="ACQ65" s="236"/>
      <c r="ACR65" s="236"/>
      <c r="ACS65" s="238"/>
      <c r="ACT65" s="236"/>
      <c r="ACU65" s="236"/>
      <c r="ACV65" s="236"/>
      <c r="ACW65" s="236"/>
      <c r="ACX65" s="236"/>
      <c r="ACY65" s="239"/>
      <c r="ACZ65" s="236"/>
      <c r="ADA65" s="236"/>
      <c r="ADB65" s="236"/>
      <c r="ADC65" s="236"/>
      <c r="ADD65" s="236"/>
      <c r="ADE65" s="240"/>
      <c r="ADF65" s="235"/>
      <c r="ADG65" s="236"/>
      <c r="ADH65" s="236"/>
      <c r="ADI65" s="236"/>
      <c r="ADJ65" s="236"/>
      <c r="ADK65" s="237"/>
      <c r="ADL65" s="236"/>
      <c r="ADM65" s="236"/>
      <c r="ADN65" s="236"/>
      <c r="ADO65" s="236"/>
      <c r="ADP65" s="236"/>
      <c r="ADQ65" s="238"/>
      <c r="ADR65" s="236"/>
      <c r="ADS65" s="236"/>
      <c r="ADT65" s="236"/>
      <c r="ADU65" s="236"/>
      <c r="ADV65" s="236"/>
      <c r="ADW65" s="239"/>
      <c r="ADX65" s="236"/>
      <c r="ADY65" s="236"/>
      <c r="ADZ65" s="236"/>
      <c r="AEA65" s="236"/>
      <c r="AEB65" s="236"/>
      <c r="AEC65" s="238"/>
      <c r="AED65" s="236"/>
      <c r="AEE65" s="236"/>
      <c r="AEF65" s="236"/>
      <c r="AEG65" s="236"/>
      <c r="AEH65" s="236"/>
      <c r="AEI65" s="239"/>
      <c r="AEJ65" s="236"/>
      <c r="AEK65" s="236"/>
      <c r="AEL65" s="236"/>
      <c r="AEM65" s="236"/>
      <c r="AEN65" s="236"/>
      <c r="AEO65" s="238"/>
      <c r="AEP65" s="236"/>
      <c r="AEQ65" s="236"/>
      <c r="AER65" s="236"/>
      <c r="AES65" s="236"/>
      <c r="AET65" s="236"/>
      <c r="AEU65" s="239"/>
      <c r="AEV65" s="236"/>
      <c r="AEW65" s="236"/>
      <c r="AEX65" s="236"/>
      <c r="AEY65" s="236"/>
      <c r="AEZ65" s="236"/>
      <c r="AFA65" s="238"/>
      <c r="AFB65" s="236"/>
      <c r="AFC65" s="236"/>
      <c r="AFD65" s="236"/>
      <c r="AFE65" s="236"/>
      <c r="AFF65" s="236"/>
      <c r="AFG65" s="239"/>
      <c r="AFH65" s="236"/>
      <c r="AFI65" s="236"/>
      <c r="AFJ65" s="236"/>
      <c r="AFK65" s="236"/>
      <c r="AFL65" s="236"/>
      <c r="AFM65" s="240"/>
      <c r="AFN65" s="235"/>
      <c r="AFO65" s="236"/>
      <c r="AFP65" s="236"/>
      <c r="AFQ65" s="236"/>
      <c r="AFR65" s="236"/>
      <c r="AFS65" s="237"/>
      <c r="AFT65" s="236"/>
      <c r="AFU65" s="236"/>
      <c r="AFV65" s="236"/>
      <c r="AFW65" s="236"/>
      <c r="AFX65" s="236"/>
      <c r="AFY65" s="238"/>
      <c r="AFZ65" s="236"/>
      <c r="AGA65" s="236"/>
      <c r="AGB65" s="236"/>
      <c r="AGC65" s="236"/>
      <c r="AGD65" s="236"/>
      <c r="AGE65" s="239"/>
      <c r="AGF65" s="236"/>
      <c r="AGG65" s="236"/>
      <c r="AGH65" s="236"/>
      <c r="AGI65" s="236"/>
      <c r="AGJ65" s="236"/>
      <c r="AGK65" s="238"/>
      <c r="AGL65" s="236"/>
      <c r="AGM65" s="236"/>
      <c r="AGN65" s="236"/>
      <c r="AGO65" s="236"/>
      <c r="AGP65" s="236"/>
      <c r="AGQ65" s="239"/>
      <c r="AGR65" s="236"/>
      <c r="AGS65" s="236"/>
      <c r="AGT65" s="236"/>
      <c r="AGU65" s="236"/>
      <c r="AGV65" s="236"/>
      <c r="AGW65" s="238"/>
      <c r="AGX65" s="236"/>
      <c r="AGY65" s="236"/>
      <c r="AGZ65" s="236"/>
      <c r="AHA65" s="236"/>
      <c r="AHB65" s="236"/>
      <c r="AHC65" s="239"/>
      <c r="AHD65" s="236"/>
      <c r="AHE65" s="236"/>
      <c r="AHF65" s="236"/>
      <c r="AHG65" s="236"/>
      <c r="AHH65" s="236"/>
      <c r="AHI65" s="238"/>
      <c r="AHJ65" s="236"/>
      <c r="AHK65" s="236"/>
      <c r="AHL65" s="236"/>
      <c r="AHM65" s="236"/>
      <c r="AHN65" s="236"/>
      <c r="AHO65" s="239"/>
      <c r="AHP65" s="236"/>
      <c r="AHQ65" s="236"/>
      <c r="AHR65" s="236"/>
      <c r="AHS65" s="236"/>
      <c r="AHT65" s="236"/>
      <c r="AHU65" s="240"/>
      <c r="AHV65" s="235"/>
      <c r="AHW65" s="236"/>
      <c r="AHX65" s="236"/>
      <c r="AHY65" s="236"/>
      <c r="AHZ65" s="236"/>
      <c r="AIA65" s="237"/>
      <c r="AIB65" s="236"/>
      <c r="AIC65" s="236"/>
      <c r="AID65" s="236"/>
      <c r="AIE65" s="236"/>
      <c r="AIF65" s="236"/>
      <c r="AIG65" s="238"/>
      <c r="AIH65" s="236"/>
      <c r="AII65" s="236"/>
      <c r="AIJ65" s="236"/>
      <c r="AIK65" s="236"/>
      <c r="AIL65" s="236"/>
      <c r="AIM65" s="239"/>
      <c r="AIN65" s="236"/>
      <c r="AIO65" s="236"/>
      <c r="AIP65" s="236"/>
      <c r="AIQ65" s="236"/>
      <c r="AIR65" s="236"/>
      <c r="AIS65" s="238"/>
      <c r="AIT65" s="236"/>
      <c r="AIU65" s="236"/>
      <c r="AIV65" s="236"/>
      <c r="AIW65" s="236"/>
      <c r="AIX65" s="236"/>
      <c r="AIY65" s="239"/>
      <c r="AIZ65" s="236"/>
      <c r="AJA65" s="236"/>
      <c r="AJB65" s="236"/>
      <c r="AJC65" s="236"/>
      <c r="AJD65" s="236"/>
      <c r="AJE65" s="238"/>
      <c r="AJF65" s="236"/>
      <c r="AJG65" s="236"/>
      <c r="AJH65" s="236"/>
      <c r="AJI65" s="236"/>
      <c r="AJJ65" s="236"/>
      <c r="AJK65" s="239"/>
      <c r="AJL65" s="236"/>
      <c r="AJM65" s="236"/>
      <c r="AJN65" s="236"/>
      <c r="AJO65" s="236"/>
      <c r="AJP65" s="236"/>
      <c r="AJQ65" s="238"/>
      <c r="AJR65" s="236"/>
      <c r="AJS65" s="236"/>
      <c r="AJT65" s="236"/>
      <c r="AJU65" s="236"/>
      <c r="AJV65" s="236"/>
      <c r="AJW65" s="239"/>
      <c r="AJX65" s="236"/>
      <c r="AJY65" s="236"/>
      <c r="AJZ65" s="236"/>
      <c r="AKA65" s="236"/>
      <c r="AKB65" s="236"/>
      <c r="AKC65" s="240"/>
      <c r="AKD65" s="235"/>
      <c r="AKE65" s="236"/>
      <c r="AKF65" s="236"/>
      <c r="AKG65" s="236"/>
      <c r="AKH65" s="236"/>
      <c r="AKI65" s="237"/>
      <c r="AKJ65" s="236"/>
      <c r="AKK65" s="236"/>
      <c r="AKL65" s="236"/>
      <c r="AKM65" s="236"/>
      <c r="AKN65" s="236"/>
      <c r="AKO65" s="238"/>
      <c r="AKP65" s="236"/>
      <c r="AKQ65" s="236"/>
      <c r="AKR65" s="236"/>
      <c r="AKS65" s="236"/>
      <c r="AKT65" s="236"/>
      <c r="AKU65" s="239"/>
      <c r="AKV65" s="236"/>
      <c r="AKW65" s="236"/>
      <c r="AKX65" s="236"/>
      <c r="AKY65" s="236"/>
      <c r="AKZ65" s="236"/>
      <c r="ALA65" s="238"/>
      <c r="ALB65" s="236"/>
      <c r="ALC65" s="236"/>
      <c r="ALD65" s="236"/>
      <c r="ALE65" s="236"/>
      <c r="ALF65" s="236"/>
      <c r="ALG65" s="239"/>
      <c r="ALH65" s="236"/>
      <c r="ALI65" s="236"/>
      <c r="ALJ65" s="236"/>
      <c r="ALK65" s="236"/>
      <c r="ALL65" s="236"/>
      <c r="ALM65" s="238"/>
      <c r="ALN65" s="236"/>
      <c r="ALO65" s="236"/>
      <c r="ALP65" s="236"/>
      <c r="ALQ65" s="236"/>
      <c r="ALR65" s="236"/>
      <c r="ALS65" s="239"/>
      <c r="ALT65" s="236"/>
      <c r="ALU65" s="236"/>
      <c r="ALV65" s="236"/>
      <c r="ALW65" s="236"/>
      <c r="ALX65" s="236"/>
      <c r="ALY65" s="238"/>
      <c r="ALZ65" s="236"/>
      <c r="AMA65" s="236"/>
      <c r="AMB65" s="236"/>
      <c r="AMC65" s="236"/>
      <c r="AMD65" s="236"/>
      <c r="AME65" s="239"/>
      <c r="AMF65" s="236"/>
      <c r="AMG65" s="236"/>
      <c r="AMH65" s="236"/>
      <c r="AMI65" s="236"/>
      <c r="AMJ65" s="236"/>
      <c r="AMK65" s="240"/>
      <c r="AML65" s="235"/>
      <c r="AMM65" s="236"/>
      <c r="AMN65" s="236"/>
      <c r="AMO65" s="236"/>
      <c r="AMP65" s="236"/>
      <c r="AMQ65" s="237"/>
      <c r="AMR65" s="236"/>
      <c r="AMS65" s="236"/>
      <c r="AMT65" s="236"/>
      <c r="AMU65" s="236"/>
      <c r="AMV65" s="236"/>
      <c r="AMW65" s="238"/>
      <c r="AMX65" s="236"/>
      <c r="AMY65" s="236"/>
      <c r="AMZ65" s="236"/>
      <c r="ANA65" s="236"/>
      <c r="ANB65" s="236"/>
      <c r="ANC65" s="239"/>
      <c r="AND65" s="236"/>
      <c r="ANE65" s="236"/>
      <c r="ANF65" s="236"/>
      <c r="ANG65" s="236"/>
      <c r="ANH65" s="236"/>
      <c r="ANI65" s="238"/>
      <c r="ANJ65" s="236"/>
      <c r="ANK65" s="236"/>
      <c r="ANL65" s="236"/>
      <c r="ANM65" s="236"/>
      <c r="ANN65" s="236"/>
      <c r="ANO65" s="239"/>
      <c r="ANP65" s="236"/>
      <c r="ANQ65" s="236"/>
      <c r="ANR65" s="236"/>
      <c r="ANS65" s="236"/>
      <c r="ANT65" s="236"/>
      <c r="ANU65" s="238"/>
      <c r="ANV65" s="236"/>
      <c r="ANW65" s="236"/>
      <c r="ANX65" s="236"/>
      <c r="ANY65" s="236"/>
      <c r="ANZ65" s="236"/>
      <c r="AOA65" s="239"/>
      <c r="AOB65" s="236"/>
      <c r="AOC65" s="236"/>
      <c r="AOD65" s="236"/>
      <c r="AOE65" s="236"/>
      <c r="AOF65" s="236"/>
      <c r="AOG65" s="238"/>
      <c r="AOH65" s="236"/>
      <c r="AOI65" s="236"/>
      <c r="AOJ65" s="236"/>
      <c r="AOK65" s="236"/>
      <c r="AOL65" s="236"/>
      <c r="AOM65" s="239"/>
      <c r="AON65" s="236"/>
      <c r="AOO65" s="236"/>
      <c r="AOP65" s="236"/>
      <c r="AOQ65" s="236"/>
      <c r="AOR65" s="236"/>
      <c r="AOS65" s="240"/>
      <c r="AOT65" s="235"/>
      <c r="AOU65" s="236"/>
      <c r="AOV65" s="236"/>
      <c r="AOW65" s="236"/>
      <c r="AOX65" s="236"/>
      <c r="AOY65" s="237"/>
      <c r="AOZ65" s="236"/>
      <c r="APA65" s="236"/>
      <c r="APB65" s="236"/>
      <c r="APC65" s="236"/>
      <c r="APD65" s="236"/>
      <c r="APE65" s="238"/>
      <c r="APF65" s="236"/>
      <c r="APG65" s="236"/>
      <c r="APH65" s="236"/>
      <c r="API65" s="236"/>
      <c r="APJ65" s="236"/>
      <c r="APK65" s="239"/>
      <c r="APL65" s="236"/>
      <c r="APM65" s="236"/>
      <c r="APN65" s="236"/>
      <c r="APO65" s="236"/>
      <c r="APP65" s="236"/>
      <c r="APQ65" s="238"/>
      <c r="APR65" s="236"/>
      <c r="APS65" s="236"/>
      <c r="APT65" s="236"/>
      <c r="APU65" s="236"/>
      <c r="APV65" s="236"/>
      <c r="APW65" s="239"/>
      <c r="APX65" s="236"/>
      <c r="APY65" s="236"/>
      <c r="APZ65" s="236"/>
      <c r="AQA65" s="236"/>
      <c r="AQB65" s="236"/>
      <c r="AQC65" s="238"/>
      <c r="AQD65" s="236"/>
      <c r="AQE65" s="236"/>
      <c r="AQF65" s="236"/>
      <c r="AQG65" s="236"/>
      <c r="AQH65" s="236"/>
      <c r="AQI65" s="239"/>
      <c r="AQJ65" s="236"/>
      <c r="AQK65" s="236"/>
      <c r="AQL65" s="236"/>
      <c r="AQM65" s="236"/>
      <c r="AQN65" s="236"/>
      <c r="AQO65" s="238"/>
      <c r="AQP65" s="236"/>
      <c r="AQQ65" s="236"/>
      <c r="AQR65" s="236"/>
      <c r="AQS65" s="236"/>
      <c r="AQT65" s="236"/>
      <c r="AQU65" s="239"/>
      <c r="AQV65" s="236"/>
      <c r="AQW65" s="236"/>
      <c r="AQX65" s="236"/>
      <c r="AQY65" s="236"/>
      <c r="AQZ65" s="236"/>
      <c r="ARA65" s="240"/>
      <c r="ARB65" s="235"/>
      <c r="ARC65" s="236"/>
      <c r="ARD65" s="236"/>
      <c r="ARE65" s="236"/>
      <c r="ARF65" s="236"/>
      <c r="ARG65" s="237"/>
      <c r="ARH65" s="236"/>
      <c r="ARI65" s="236"/>
      <c r="ARJ65" s="236"/>
      <c r="ARK65" s="236"/>
      <c r="ARL65" s="236"/>
      <c r="ARM65" s="238"/>
      <c r="ARN65" s="236"/>
      <c r="ARO65" s="236"/>
      <c r="ARP65" s="236"/>
      <c r="ARQ65" s="236"/>
      <c r="ARR65" s="236"/>
      <c r="ARS65" s="239"/>
      <c r="ART65" s="236"/>
      <c r="ARU65" s="236"/>
      <c r="ARV65" s="236"/>
      <c r="ARW65" s="236"/>
      <c r="ARX65" s="236"/>
      <c r="ARY65" s="238"/>
      <c r="ARZ65" s="236"/>
      <c r="ASA65" s="236"/>
      <c r="ASB65" s="236"/>
      <c r="ASC65" s="236"/>
      <c r="ASD65" s="236"/>
      <c r="ASE65" s="239"/>
      <c r="ASF65" s="236"/>
      <c r="ASG65" s="236"/>
      <c r="ASH65" s="236"/>
      <c r="ASI65" s="236"/>
      <c r="ASJ65" s="236"/>
      <c r="ASK65" s="238"/>
      <c r="ASL65" s="236"/>
      <c r="ASM65" s="236"/>
      <c r="ASN65" s="236"/>
      <c r="ASO65" s="236"/>
      <c r="ASP65" s="236"/>
      <c r="ASQ65" s="239"/>
      <c r="ASR65" s="236"/>
      <c r="ASS65" s="236"/>
      <c r="AST65" s="236"/>
      <c r="ASU65" s="236"/>
      <c r="ASV65" s="236"/>
      <c r="ASW65" s="238"/>
      <c r="ASX65" s="236"/>
      <c r="ASY65" s="236"/>
      <c r="ASZ65" s="236"/>
      <c r="ATA65" s="236"/>
      <c r="ATB65" s="236"/>
      <c r="ATC65" s="239"/>
      <c r="ATD65" s="236"/>
      <c r="ATE65" s="236"/>
      <c r="ATF65" s="236"/>
      <c r="ATG65" s="236"/>
      <c r="ATH65" s="236"/>
      <c r="ATI65" s="240"/>
      <c r="ATJ65" s="235"/>
      <c r="ATK65" s="236"/>
      <c r="ATL65" s="236"/>
      <c r="ATM65" s="236"/>
      <c r="ATN65" s="236"/>
      <c r="ATO65" s="237"/>
      <c r="ATP65" s="236"/>
      <c r="ATQ65" s="236"/>
      <c r="ATR65" s="236"/>
      <c r="ATS65" s="236"/>
      <c r="ATT65" s="236"/>
      <c r="ATU65" s="238"/>
      <c r="ATV65" s="236"/>
      <c r="ATW65" s="236"/>
      <c r="ATX65" s="236"/>
      <c r="ATY65" s="236"/>
      <c r="ATZ65" s="236"/>
      <c r="AUA65" s="239"/>
      <c r="AUB65" s="236"/>
      <c r="AUC65" s="236"/>
      <c r="AUD65" s="236"/>
      <c r="AUE65" s="236"/>
      <c r="AUF65" s="236"/>
      <c r="AUG65" s="238"/>
      <c r="AUH65" s="236"/>
      <c r="AUI65" s="236"/>
      <c r="AUJ65" s="236"/>
      <c r="AUK65" s="236"/>
      <c r="AUL65" s="236"/>
      <c r="AUM65" s="239"/>
      <c r="AUN65" s="236"/>
      <c r="AUO65" s="236"/>
      <c r="AUP65" s="236"/>
      <c r="AUQ65" s="236"/>
      <c r="AUR65" s="236"/>
      <c r="AUS65" s="238"/>
      <c r="AUT65" s="236"/>
      <c r="AUU65" s="236"/>
      <c r="AUV65" s="236"/>
      <c r="AUW65" s="236"/>
      <c r="AUX65" s="236"/>
      <c r="AUY65" s="239"/>
      <c r="AUZ65" s="236"/>
      <c r="AVA65" s="236"/>
      <c r="AVB65" s="236"/>
      <c r="AVC65" s="236"/>
      <c r="AVD65" s="236"/>
      <c r="AVE65" s="238"/>
      <c r="AVF65" s="236"/>
      <c r="AVG65" s="236"/>
      <c r="AVH65" s="236"/>
      <c r="AVI65" s="236"/>
      <c r="AVJ65" s="236"/>
      <c r="AVK65" s="239"/>
      <c r="AVL65" s="236"/>
      <c r="AVM65" s="236"/>
      <c r="AVN65" s="236"/>
      <c r="AVO65" s="236"/>
      <c r="AVP65" s="236"/>
      <c r="AVQ65" s="240"/>
      <c r="AVR65" s="235"/>
      <c r="AVS65" s="236"/>
      <c r="AVT65" s="236"/>
      <c r="AVU65" s="236"/>
      <c r="AVV65" s="236"/>
      <c r="AVW65" s="237"/>
      <c r="AVX65" s="236"/>
      <c r="AVY65" s="236"/>
      <c r="AVZ65" s="236"/>
      <c r="AWA65" s="236"/>
      <c r="AWB65" s="236"/>
      <c r="AWC65" s="238"/>
      <c r="AWD65" s="236"/>
      <c r="AWE65" s="236"/>
      <c r="AWF65" s="236"/>
      <c r="AWG65" s="236"/>
      <c r="AWH65" s="236"/>
      <c r="AWI65" s="239"/>
      <c r="AWJ65" s="236"/>
      <c r="AWK65" s="236"/>
      <c r="AWL65" s="236"/>
      <c r="AWM65" s="236"/>
      <c r="AWN65" s="236"/>
      <c r="AWO65" s="238"/>
      <c r="AWP65" s="236"/>
      <c r="AWQ65" s="236"/>
      <c r="AWR65" s="236"/>
      <c r="AWS65" s="236"/>
      <c r="AWT65" s="236"/>
      <c r="AWU65" s="239"/>
      <c r="AWV65" s="236"/>
      <c r="AWW65" s="236"/>
      <c r="AWX65" s="236"/>
      <c r="AWY65" s="236"/>
      <c r="AWZ65" s="236"/>
      <c r="AXA65" s="238"/>
      <c r="AXB65" s="236"/>
      <c r="AXC65" s="236"/>
      <c r="AXD65" s="236"/>
      <c r="AXE65" s="236"/>
      <c r="AXF65" s="236"/>
      <c r="AXG65" s="239"/>
      <c r="AXH65" s="236"/>
      <c r="AXI65" s="236"/>
      <c r="AXJ65" s="236"/>
      <c r="AXK65" s="236"/>
      <c r="AXL65" s="236"/>
      <c r="AXM65" s="238"/>
      <c r="AXN65" s="236"/>
      <c r="AXO65" s="236"/>
      <c r="AXP65" s="236"/>
      <c r="AXQ65" s="236"/>
      <c r="AXR65" s="236"/>
      <c r="AXS65" s="239"/>
      <c r="AXT65" s="236"/>
      <c r="AXU65" s="236"/>
      <c r="AXV65" s="236"/>
      <c r="AXW65" s="236"/>
      <c r="AXX65" s="236"/>
      <c r="AXY65" s="240"/>
      <c r="AXZ65" s="235"/>
      <c r="AYA65" s="236"/>
      <c r="AYB65" s="236"/>
      <c r="AYC65" s="236"/>
      <c r="AYD65" s="236"/>
      <c r="AYE65" s="237"/>
      <c r="AYF65" s="236"/>
      <c r="AYG65" s="236"/>
      <c r="AYH65" s="236"/>
      <c r="AYI65" s="236"/>
      <c r="AYJ65" s="236"/>
      <c r="AYK65" s="238"/>
      <c r="AYL65" s="236"/>
      <c r="AYM65" s="236"/>
      <c r="AYN65" s="236"/>
      <c r="AYO65" s="236"/>
      <c r="AYP65" s="236"/>
      <c r="AYQ65" s="239"/>
      <c r="AYR65" s="236"/>
      <c r="AYS65" s="236"/>
      <c r="AYT65" s="236"/>
      <c r="AYU65" s="236"/>
      <c r="AYV65" s="236"/>
      <c r="AYW65" s="238"/>
      <c r="AYX65" s="236"/>
      <c r="AYY65" s="236"/>
      <c r="AYZ65" s="236"/>
      <c r="AZA65" s="236"/>
      <c r="AZB65" s="236"/>
      <c r="AZC65" s="239"/>
      <c r="AZD65" s="236"/>
      <c r="AZE65" s="236"/>
      <c r="AZF65" s="236"/>
      <c r="AZG65" s="236"/>
      <c r="AZH65" s="236"/>
      <c r="AZI65" s="238"/>
      <c r="AZJ65" s="236"/>
      <c r="AZK65" s="236"/>
      <c r="AZL65" s="236"/>
      <c r="AZM65" s="236"/>
      <c r="AZN65" s="236"/>
      <c r="AZO65" s="239"/>
      <c r="AZP65" s="236"/>
      <c r="AZQ65" s="236"/>
      <c r="AZR65" s="236"/>
      <c r="AZS65" s="236"/>
      <c r="AZT65" s="236"/>
      <c r="AZU65" s="238"/>
      <c r="AZV65" s="236"/>
      <c r="AZW65" s="236"/>
      <c r="AZX65" s="236"/>
      <c r="AZY65" s="236"/>
      <c r="AZZ65" s="236"/>
      <c r="BAA65" s="239"/>
      <c r="BAB65" s="236"/>
      <c r="BAC65" s="236"/>
      <c r="BAD65" s="236"/>
      <c r="BAE65" s="236"/>
      <c r="BAF65" s="236"/>
      <c r="BAG65" s="240"/>
      <c r="BAH65" s="235"/>
      <c r="BAI65" s="236"/>
      <c r="BAJ65" s="236"/>
      <c r="BAK65" s="236"/>
      <c r="BAL65" s="236"/>
      <c r="BAM65" s="237"/>
      <c r="BAN65" s="236"/>
      <c r="BAO65" s="236"/>
      <c r="BAP65" s="236"/>
      <c r="BAQ65" s="236"/>
      <c r="BAR65" s="236"/>
      <c r="BAS65" s="238"/>
      <c r="BAT65" s="236"/>
      <c r="BAU65" s="236"/>
      <c r="BAV65" s="236"/>
      <c r="BAW65" s="236"/>
      <c r="BAX65" s="236"/>
      <c r="BAY65" s="239"/>
      <c r="BAZ65" s="236"/>
      <c r="BBA65" s="236"/>
      <c r="BBB65" s="236"/>
      <c r="BBC65" s="236"/>
      <c r="BBD65" s="236"/>
      <c r="BBE65" s="238"/>
      <c r="BBF65" s="236"/>
      <c r="BBG65" s="236"/>
      <c r="BBH65" s="236"/>
      <c r="BBI65" s="236"/>
      <c r="BBJ65" s="236"/>
      <c r="BBK65" s="239"/>
      <c r="BBL65" s="236"/>
      <c r="BBM65" s="236"/>
      <c r="BBN65" s="236"/>
      <c r="BBO65" s="236"/>
      <c r="BBP65" s="236"/>
      <c r="BBQ65" s="238"/>
      <c r="BBR65" s="236"/>
      <c r="BBS65" s="236"/>
      <c r="BBT65" s="236"/>
      <c r="BBU65" s="236"/>
      <c r="BBV65" s="236"/>
      <c r="BBW65" s="239"/>
      <c r="BBX65" s="236"/>
      <c r="BBY65" s="236"/>
      <c r="BBZ65" s="236"/>
      <c r="BCA65" s="236"/>
      <c r="BCB65" s="236"/>
      <c r="BCC65" s="238"/>
      <c r="BCD65" s="236"/>
      <c r="BCE65" s="236"/>
      <c r="BCF65" s="236"/>
      <c r="BCG65" s="236"/>
      <c r="BCH65" s="236"/>
      <c r="BCI65" s="239"/>
      <c r="BCJ65" s="236"/>
      <c r="BCK65" s="236"/>
      <c r="BCL65" s="236"/>
      <c r="BCM65" s="236"/>
      <c r="BCN65" s="236"/>
      <c r="BCO65" s="240"/>
      <c r="BCP65" s="235"/>
      <c r="BCQ65" s="236"/>
      <c r="BCR65" s="236"/>
      <c r="BCS65" s="236"/>
      <c r="BCT65" s="236"/>
      <c r="BCU65" s="237"/>
      <c r="BCV65" s="236"/>
      <c r="BCW65" s="236"/>
      <c r="BCX65" s="236"/>
      <c r="BCY65" s="236"/>
      <c r="BCZ65" s="236"/>
      <c r="BDA65" s="238"/>
      <c r="BDB65" s="236"/>
      <c r="BDC65" s="236"/>
      <c r="BDD65" s="236"/>
      <c r="BDE65" s="236"/>
      <c r="BDF65" s="236"/>
      <c r="BDG65" s="239"/>
      <c r="BDH65" s="236"/>
      <c r="BDI65" s="236"/>
      <c r="BDJ65" s="236"/>
      <c r="BDK65" s="236"/>
      <c r="BDL65" s="236"/>
      <c r="BDM65" s="238"/>
      <c r="BDN65" s="236"/>
      <c r="BDO65" s="236"/>
      <c r="BDP65" s="236"/>
      <c r="BDQ65" s="236"/>
      <c r="BDR65" s="236"/>
      <c r="BDS65" s="239"/>
      <c r="BDT65" s="236"/>
      <c r="BDU65" s="236"/>
      <c r="BDV65" s="236"/>
      <c r="BDW65" s="236"/>
      <c r="BDX65" s="236"/>
      <c r="BDY65" s="238"/>
      <c r="BDZ65" s="236"/>
      <c r="BEA65" s="236"/>
      <c r="BEB65" s="236"/>
      <c r="BEC65" s="236"/>
      <c r="BED65" s="236"/>
      <c r="BEE65" s="239"/>
      <c r="BEF65" s="236"/>
      <c r="BEG65" s="236"/>
      <c r="BEH65" s="236"/>
      <c r="BEI65" s="236"/>
      <c r="BEJ65" s="236"/>
      <c r="BEK65" s="238"/>
      <c r="BEL65" s="236"/>
      <c r="BEM65" s="236"/>
      <c r="BEN65" s="236"/>
      <c r="BEO65" s="236"/>
      <c r="BEP65" s="236"/>
      <c r="BEQ65" s="239"/>
      <c r="BER65" s="236"/>
      <c r="BES65" s="236"/>
      <c r="BET65" s="236"/>
      <c r="BEU65" s="236"/>
      <c r="BEV65" s="236"/>
      <c r="BEW65" s="240"/>
      <c r="BEX65" s="235"/>
      <c r="BEY65" s="236"/>
      <c r="BEZ65" s="236"/>
      <c r="BFA65" s="236"/>
      <c r="BFB65" s="236"/>
      <c r="BFC65" s="237"/>
      <c r="BFD65" s="236"/>
      <c r="BFE65" s="236"/>
      <c r="BFF65" s="236"/>
      <c r="BFG65" s="236"/>
      <c r="BFH65" s="236"/>
      <c r="BFI65" s="238"/>
      <c r="BFJ65" s="236"/>
      <c r="BFK65" s="236"/>
      <c r="BFL65" s="236"/>
      <c r="BFM65" s="236"/>
      <c r="BFN65" s="236"/>
      <c r="BFO65" s="239"/>
      <c r="BFP65" s="236"/>
      <c r="BFQ65" s="236"/>
      <c r="BFR65" s="236"/>
      <c r="BFS65" s="236"/>
      <c r="BFT65" s="236"/>
      <c r="BFU65" s="238"/>
      <c r="BFV65" s="236"/>
      <c r="BFW65" s="236"/>
      <c r="BFX65" s="236"/>
      <c r="BFY65" s="236"/>
      <c r="BFZ65" s="236"/>
      <c r="BGA65" s="239"/>
      <c r="BGB65" s="236"/>
      <c r="BGC65" s="236"/>
      <c r="BGD65" s="236"/>
      <c r="BGE65" s="236"/>
      <c r="BGF65" s="236"/>
      <c r="BGG65" s="238"/>
      <c r="BGH65" s="236"/>
      <c r="BGI65" s="236"/>
      <c r="BGJ65" s="236"/>
      <c r="BGK65" s="236"/>
      <c r="BGL65" s="236"/>
      <c r="BGM65" s="239"/>
      <c r="BGN65" s="236"/>
      <c r="BGO65" s="236"/>
      <c r="BGP65" s="236"/>
      <c r="BGQ65" s="236"/>
      <c r="BGR65" s="236"/>
      <c r="BGS65" s="238"/>
      <c r="BGT65" s="236"/>
      <c r="BGU65" s="236"/>
      <c r="BGV65" s="236"/>
      <c r="BGW65" s="236"/>
      <c r="BGX65" s="236"/>
      <c r="BGY65" s="239"/>
      <c r="BGZ65" s="236"/>
      <c r="BHA65" s="236"/>
      <c r="BHB65" s="236"/>
      <c r="BHC65" s="236"/>
      <c r="BHD65" s="236"/>
      <c r="BHE65" s="240"/>
      <c r="BHF65" s="235"/>
      <c r="BHG65" s="236"/>
      <c r="BHH65" s="236"/>
      <c r="BHI65" s="236"/>
      <c r="BHJ65" s="236"/>
      <c r="BHK65" s="237"/>
      <c r="BHL65" s="236"/>
      <c r="BHM65" s="236"/>
      <c r="BHN65" s="236"/>
      <c r="BHO65" s="236"/>
      <c r="BHP65" s="236"/>
      <c r="BHQ65" s="238"/>
      <c r="BHR65" s="236"/>
      <c r="BHS65" s="236"/>
      <c r="BHT65" s="236"/>
      <c r="BHU65" s="236"/>
      <c r="BHV65" s="236"/>
      <c r="BHW65" s="239"/>
      <c r="BHX65" s="236"/>
      <c r="BHY65" s="236"/>
      <c r="BHZ65" s="236"/>
      <c r="BIA65" s="236"/>
      <c r="BIB65" s="236"/>
      <c r="BIC65" s="238"/>
      <c r="BID65" s="236"/>
      <c r="BIE65" s="236"/>
      <c r="BIF65" s="236"/>
      <c r="BIG65" s="236"/>
      <c r="BIH65" s="236"/>
      <c r="BII65" s="239"/>
      <c r="BIJ65" s="236"/>
      <c r="BIK65" s="236"/>
      <c r="BIL65" s="236"/>
      <c r="BIM65" s="236"/>
      <c r="BIN65" s="236"/>
      <c r="BIO65" s="238"/>
      <c r="BIP65" s="236"/>
      <c r="BIQ65" s="236"/>
      <c r="BIR65" s="236"/>
      <c r="BIS65" s="236"/>
      <c r="BIT65" s="236"/>
      <c r="BIU65" s="239"/>
      <c r="BIV65" s="236"/>
      <c r="BIW65" s="236"/>
      <c r="BIX65" s="236"/>
      <c r="BIY65" s="236"/>
      <c r="BIZ65" s="236"/>
      <c r="BJA65" s="238"/>
      <c r="BJB65" s="236"/>
      <c r="BJC65" s="236"/>
      <c r="BJD65" s="236"/>
      <c r="BJE65" s="236"/>
      <c r="BJF65" s="236"/>
      <c r="BJG65" s="239"/>
      <c r="BJH65" s="236"/>
      <c r="BJI65" s="236"/>
      <c r="BJJ65" s="236"/>
      <c r="BJK65" s="236"/>
      <c r="BJL65" s="236"/>
      <c r="BJM65" s="240"/>
      <c r="BJN65" s="233"/>
      <c r="BJO65" s="234"/>
      <c r="BJP65" s="234"/>
      <c r="BJQ65" s="234"/>
      <c r="BJR65" s="234"/>
      <c r="BJS65" s="234"/>
      <c r="BJT65" s="234"/>
      <c r="BJU65" s="234"/>
      <c r="BJV65" s="234"/>
      <c r="BJW65" s="234"/>
      <c r="BJX65" s="234"/>
      <c r="BJY65" s="234"/>
      <c r="BJZ65" s="234"/>
      <c r="BKA65" s="234"/>
      <c r="BKB65" s="234"/>
      <c r="BKC65" s="234"/>
      <c r="BKD65" s="234"/>
      <c r="BKE65" s="234"/>
      <c r="BKF65" s="234"/>
      <c r="BKG65" s="234"/>
      <c r="BKH65" s="234"/>
      <c r="BKI65" s="234"/>
      <c r="BKJ65" s="234"/>
      <c r="BKK65" s="234"/>
      <c r="BKL65" s="234"/>
      <c r="BKM65" s="234"/>
      <c r="BKN65" s="234"/>
    </row>
    <row r="66" spans="1:1652" ht="20.100000000000001" customHeight="1" x14ac:dyDescent="0.3">
      <c r="A66" s="84" t="s">
        <v>20</v>
      </c>
      <c r="B66" s="53"/>
      <c r="C66" s="189"/>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174"/>
      <c r="BJO66" s="4"/>
      <c r="BJP66" s="4"/>
      <c r="BJQ66" s="4"/>
      <c r="BJR66" s="4"/>
      <c r="BJS66" s="4"/>
      <c r="BJT66" s="4"/>
      <c r="BJU66" s="4"/>
      <c r="BJV66" s="4"/>
      <c r="BJW66" s="4"/>
      <c r="BJX66" s="4"/>
      <c r="BJY66" s="4"/>
      <c r="BJZ66" s="4"/>
      <c r="BKA66" s="4"/>
      <c r="BKB66" s="4"/>
      <c r="BKC66" s="4"/>
      <c r="BKD66" s="4"/>
      <c r="BKE66" s="4"/>
      <c r="BKF66" s="4"/>
      <c r="BKG66" s="4"/>
      <c r="BKH66" s="4"/>
      <c r="BKI66" s="4"/>
      <c r="BKJ66" s="4"/>
      <c r="BKK66" s="4"/>
      <c r="BKL66" s="4"/>
      <c r="BKM66" s="4"/>
      <c r="BKN66" s="4"/>
    </row>
    <row r="67" spans="1:1652" ht="20.100000000000001" customHeight="1" x14ac:dyDescent="0.25">
      <c r="A67" s="84" t="s">
        <v>19</v>
      </c>
      <c r="B67" s="53"/>
      <c r="C67" s="177"/>
      <c r="D67" s="129" t="str">
        <f t="shared" si="0"/>
        <v>0h</v>
      </c>
      <c r="E67" s="34">
        <v>0</v>
      </c>
      <c r="F67" s="241"/>
      <c r="G67" s="242"/>
      <c r="H67" s="242"/>
      <c r="I67" s="242"/>
      <c r="J67" s="242"/>
      <c r="K67" s="243"/>
      <c r="L67" s="242"/>
      <c r="M67" s="242"/>
      <c r="N67" s="242"/>
      <c r="O67" s="242"/>
      <c r="P67" s="242"/>
      <c r="Q67" s="244"/>
      <c r="R67" s="242"/>
      <c r="S67" s="242"/>
      <c r="T67" s="242"/>
      <c r="U67" s="242"/>
      <c r="V67" s="242"/>
      <c r="W67" s="245"/>
      <c r="X67" s="242"/>
      <c r="Y67" s="242"/>
      <c r="Z67" s="242"/>
      <c r="AA67" s="242"/>
      <c r="AB67" s="242"/>
      <c r="AC67" s="244"/>
      <c r="AD67" s="242"/>
      <c r="AE67" s="242"/>
      <c r="AF67" s="242"/>
      <c r="AG67" s="242"/>
      <c r="AH67" s="242"/>
      <c r="AI67" s="245"/>
      <c r="AJ67" s="242"/>
      <c r="AK67" s="242"/>
      <c r="AL67" s="242"/>
      <c r="AM67" s="242"/>
      <c r="AN67" s="242"/>
      <c r="AO67" s="244"/>
      <c r="AP67" s="242"/>
      <c r="AQ67" s="242"/>
      <c r="AR67" s="242"/>
      <c r="AS67" s="242"/>
      <c r="AT67" s="242"/>
      <c r="AU67" s="245"/>
      <c r="AV67" s="242"/>
      <c r="AW67" s="242"/>
      <c r="AX67" s="242"/>
      <c r="AY67" s="242"/>
      <c r="AZ67" s="242"/>
      <c r="BA67" s="244"/>
      <c r="BB67" s="242"/>
      <c r="BC67" s="242"/>
      <c r="BD67" s="242"/>
      <c r="BE67" s="242"/>
      <c r="BF67" s="242"/>
      <c r="BG67" s="245"/>
      <c r="BH67" s="242"/>
      <c r="BI67" s="242"/>
      <c r="BJ67" s="242"/>
      <c r="BK67" s="242"/>
      <c r="BL67" s="242"/>
      <c r="BM67" s="246"/>
      <c r="BN67" s="241"/>
      <c r="BO67" s="242"/>
      <c r="BP67" s="242"/>
      <c r="BQ67" s="242"/>
      <c r="BR67" s="242"/>
      <c r="BS67" s="243"/>
      <c r="BT67" s="242"/>
      <c r="BU67" s="242"/>
      <c r="BV67" s="242"/>
      <c r="BW67" s="242"/>
      <c r="BX67" s="242"/>
      <c r="BY67" s="244"/>
      <c r="BZ67" s="242"/>
      <c r="CA67" s="242"/>
      <c r="CB67" s="242"/>
      <c r="CC67" s="242"/>
      <c r="CD67" s="242"/>
      <c r="CE67" s="245"/>
      <c r="CF67" s="242"/>
      <c r="CG67" s="242"/>
      <c r="CH67" s="242"/>
      <c r="CI67" s="242"/>
      <c r="CJ67" s="242"/>
      <c r="CK67" s="244"/>
      <c r="CL67" s="242"/>
      <c r="CM67" s="242"/>
      <c r="CN67" s="242"/>
      <c r="CO67" s="242"/>
      <c r="CP67" s="242"/>
      <c r="CQ67" s="245"/>
      <c r="CR67" s="242"/>
      <c r="CS67" s="242"/>
      <c r="CT67" s="242"/>
      <c r="CU67" s="242"/>
      <c r="CV67" s="242"/>
      <c r="CW67" s="244"/>
      <c r="CX67" s="242"/>
      <c r="CY67" s="242"/>
      <c r="CZ67" s="242"/>
      <c r="DA67" s="242"/>
      <c r="DB67" s="242"/>
      <c r="DC67" s="245"/>
      <c r="DD67" s="242"/>
      <c r="DE67" s="242"/>
      <c r="DF67" s="242"/>
      <c r="DG67" s="242"/>
      <c r="DH67" s="242"/>
      <c r="DI67" s="244"/>
      <c r="DJ67" s="242"/>
      <c r="DK67" s="242"/>
      <c r="DL67" s="242"/>
      <c r="DM67" s="242"/>
      <c r="DN67" s="242"/>
      <c r="DO67" s="245"/>
      <c r="DP67" s="242"/>
      <c r="DQ67" s="242"/>
      <c r="DR67" s="242"/>
      <c r="DS67" s="242"/>
      <c r="DT67" s="242"/>
      <c r="DU67" s="246"/>
      <c r="DV67" s="241"/>
      <c r="DW67" s="242"/>
      <c r="DX67" s="242"/>
      <c r="DY67" s="242"/>
      <c r="DZ67" s="242"/>
      <c r="EA67" s="243"/>
      <c r="EB67" s="242"/>
      <c r="EC67" s="242"/>
      <c r="ED67" s="242"/>
      <c r="EE67" s="242"/>
      <c r="EF67" s="242"/>
      <c r="EG67" s="244"/>
      <c r="EH67" s="242"/>
      <c r="EI67" s="242"/>
      <c r="EJ67" s="242"/>
      <c r="EK67" s="242"/>
      <c r="EL67" s="242"/>
      <c r="EM67" s="245"/>
      <c r="EN67" s="242"/>
      <c r="EO67" s="242"/>
      <c r="EP67" s="242"/>
      <c r="EQ67" s="242"/>
      <c r="ER67" s="242"/>
      <c r="ES67" s="244"/>
      <c r="ET67" s="242"/>
      <c r="EU67" s="242"/>
      <c r="EV67" s="242"/>
      <c r="EW67" s="242"/>
      <c r="EX67" s="242"/>
      <c r="EY67" s="245"/>
      <c r="EZ67" s="242"/>
      <c r="FA67" s="242"/>
      <c r="FB67" s="242"/>
      <c r="FC67" s="242"/>
      <c r="FD67" s="242"/>
      <c r="FE67" s="244"/>
      <c r="FF67" s="242"/>
      <c r="FG67" s="242"/>
      <c r="FH67" s="242"/>
      <c r="FI67" s="242"/>
      <c r="FJ67" s="242"/>
      <c r="FK67" s="245"/>
      <c r="FL67" s="242"/>
      <c r="FM67" s="242"/>
      <c r="FN67" s="242"/>
      <c r="FO67" s="242"/>
      <c r="FP67" s="242"/>
      <c r="FQ67" s="244"/>
      <c r="FR67" s="242"/>
      <c r="FS67" s="242"/>
      <c r="FT67" s="242"/>
      <c r="FU67" s="242"/>
      <c r="FV67" s="242"/>
      <c r="FW67" s="245"/>
      <c r="FX67" s="242"/>
      <c r="FY67" s="242"/>
      <c r="FZ67" s="242"/>
      <c r="GA67" s="242"/>
      <c r="GB67" s="242"/>
      <c r="GC67" s="246"/>
      <c r="GD67" s="241"/>
      <c r="GE67" s="242"/>
      <c r="GF67" s="242"/>
      <c r="GG67" s="242"/>
      <c r="GH67" s="242"/>
      <c r="GI67" s="243"/>
      <c r="GJ67" s="242"/>
      <c r="GK67" s="242"/>
      <c r="GL67" s="242"/>
      <c r="GM67" s="242"/>
      <c r="GN67" s="242"/>
      <c r="GO67" s="244"/>
      <c r="GP67" s="242"/>
      <c r="GQ67" s="242"/>
      <c r="GR67" s="242"/>
      <c r="GS67" s="242"/>
      <c r="GT67" s="242"/>
      <c r="GU67" s="245"/>
      <c r="GV67" s="242"/>
      <c r="GW67" s="242"/>
      <c r="GX67" s="242"/>
      <c r="GY67" s="242"/>
      <c r="GZ67" s="242"/>
      <c r="HA67" s="244"/>
      <c r="HB67" s="242"/>
      <c r="HC67" s="242"/>
      <c r="HD67" s="242"/>
      <c r="HE67" s="242"/>
      <c r="HF67" s="242"/>
      <c r="HG67" s="245"/>
      <c r="HH67" s="242"/>
      <c r="HI67" s="242"/>
      <c r="HJ67" s="242"/>
      <c r="HK67" s="242"/>
      <c r="HL67" s="242"/>
      <c r="HM67" s="244"/>
      <c r="HN67" s="242"/>
      <c r="HO67" s="242"/>
      <c r="HP67" s="242"/>
      <c r="HQ67" s="242"/>
      <c r="HR67" s="242"/>
      <c r="HS67" s="245"/>
      <c r="HT67" s="242"/>
      <c r="HU67" s="242"/>
      <c r="HV67" s="242"/>
      <c r="HW67" s="242"/>
      <c r="HX67" s="242"/>
      <c r="HY67" s="244"/>
      <c r="HZ67" s="242"/>
      <c r="IA67" s="242"/>
      <c r="IB67" s="242"/>
      <c r="IC67" s="242"/>
      <c r="ID67" s="242"/>
      <c r="IE67" s="245"/>
      <c r="IF67" s="242"/>
      <c r="IG67" s="242"/>
      <c r="IH67" s="242"/>
      <c r="II67" s="242"/>
      <c r="IJ67" s="242"/>
      <c r="IK67" s="246"/>
      <c r="IL67" s="241"/>
      <c r="IM67" s="242"/>
      <c r="IN67" s="242"/>
      <c r="IO67" s="242"/>
      <c r="IP67" s="242"/>
      <c r="IQ67" s="243"/>
      <c r="IR67" s="242"/>
      <c r="IS67" s="242"/>
      <c r="IT67" s="242"/>
      <c r="IU67" s="242"/>
      <c r="IV67" s="242"/>
      <c r="IW67" s="244"/>
      <c r="IX67" s="242"/>
      <c r="IY67" s="242"/>
      <c r="IZ67" s="242"/>
      <c r="JA67" s="242"/>
      <c r="JB67" s="242"/>
      <c r="JC67" s="245"/>
      <c r="JD67" s="242"/>
      <c r="JE67" s="242"/>
      <c r="JF67" s="242"/>
      <c r="JG67" s="242"/>
      <c r="JH67" s="242"/>
      <c r="JI67" s="244"/>
      <c r="JJ67" s="242"/>
      <c r="JK67" s="242"/>
      <c r="JL67" s="242"/>
      <c r="JM67" s="242"/>
      <c r="JN67" s="242"/>
      <c r="JO67" s="245"/>
      <c r="JP67" s="242"/>
      <c r="JQ67" s="242"/>
      <c r="JR67" s="242"/>
      <c r="JS67" s="242"/>
      <c r="JT67" s="242"/>
      <c r="JU67" s="244"/>
      <c r="JV67" s="242"/>
      <c r="JW67" s="242"/>
      <c r="JX67" s="242"/>
      <c r="JY67" s="242"/>
      <c r="JZ67" s="242"/>
      <c r="KA67" s="245"/>
      <c r="KB67" s="242"/>
      <c r="KC67" s="242"/>
      <c r="KD67" s="242"/>
      <c r="KE67" s="242"/>
      <c r="KF67" s="242"/>
      <c r="KG67" s="244"/>
      <c r="KH67" s="242"/>
      <c r="KI67" s="242"/>
      <c r="KJ67" s="242"/>
      <c r="KK67" s="242"/>
      <c r="KL67" s="242"/>
      <c r="KM67" s="245"/>
      <c r="KN67" s="242"/>
      <c r="KO67" s="242"/>
      <c r="KP67" s="242"/>
      <c r="KQ67" s="242"/>
      <c r="KR67" s="242"/>
      <c r="KS67" s="246"/>
      <c r="KT67" s="241"/>
      <c r="KU67" s="242"/>
      <c r="KV67" s="242"/>
      <c r="KW67" s="242"/>
      <c r="KX67" s="242"/>
      <c r="KY67" s="243"/>
      <c r="KZ67" s="242"/>
      <c r="LA67" s="242"/>
      <c r="LB67" s="242"/>
      <c r="LC67" s="242"/>
      <c r="LD67" s="242"/>
      <c r="LE67" s="244"/>
      <c r="LF67" s="242"/>
      <c r="LG67" s="242"/>
      <c r="LH67" s="242"/>
      <c r="LI67" s="242"/>
      <c r="LJ67" s="242"/>
      <c r="LK67" s="245"/>
      <c r="LL67" s="242"/>
      <c r="LM67" s="242"/>
      <c r="LN67" s="242"/>
      <c r="LO67" s="242"/>
      <c r="LP67" s="242"/>
      <c r="LQ67" s="244"/>
      <c r="LR67" s="242"/>
      <c r="LS67" s="242"/>
      <c r="LT67" s="242"/>
      <c r="LU67" s="242"/>
      <c r="LV67" s="242"/>
      <c r="LW67" s="245"/>
      <c r="LX67" s="242"/>
      <c r="LY67" s="242"/>
      <c r="LZ67" s="242"/>
      <c r="MA67" s="242"/>
      <c r="MB67" s="242"/>
      <c r="MC67" s="244"/>
      <c r="MD67" s="242"/>
      <c r="ME67" s="242"/>
      <c r="MF67" s="242"/>
      <c r="MG67" s="242"/>
      <c r="MH67" s="242"/>
      <c r="MI67" s="245"/>
      <c r="MJ67" s="242"/>
      <c r="MK67" s="242"/>
      <c r="ML67" s="242"/>
      <c r="MM67" s="242"/>
      <c r="MN67" s="242"/>
      <c r="MO67" s="244"/>
      <c r="MP67" s="242"/>
      <c r="MQ67" s="242"/>
      <c r="MR67" s="242"/>
      <c r="MS67" s="242"/>
      <c r="MT67" s="242"/>
      <c r="MU67" s="245"/>
      <c r="MV67" s="242"/>
      <c r="MW67" s="242"/>
      <c r="MX67" s="242"/>
      <c r="MY67" s="242"/>
      <c r="MZ67" s="242"/>
      <c r="NA67" s="246"/>
      <c r="NB67" s="241"/>
      <c r="NC67" s="242"/>
      <c r="ND67" s="242"/>
      <c r="NE67" s="242"/>
      <c r="NF67" s="242"/>
      <c r="NG67" s="243"/>
      <c r="NH67" s="242"/>
      <c r="NI67" s="242"/>
      <c r="NJ67" s="242"/>
      <c r="NK67" s="242"/>
      <c r="NL67" s="242"/>
      <c r="NM67" s="244"/>
      <c r="NN67" s="242"/>
      <c r="NO67" s="242"/>
      <c r="NP67" s="242"/>
      <c r="NQ67" s="242"/>
      <c r="NR67" s="242"/>
      <c r="NS67" s="245"/>
      <c r="NT67" s="242"/>
      <c r="NU67" s="242"/>
      <c r="NV67" s="242"/>
      <c r="NW67" s="242"/>
      <c r="NX67" s="242"/>
      <c r="NY67" s="244"/>
      <c r="NZ67" s="242"/>
      <c r="OA67" s="242"/>
      <c r="OB67" s="242"/>
      <c r="OC67" s="242"/>
      <c r="OD67" s="242"/>
      <c r="OE67" s="245"/>
      <c r="OF67" s="242"/>
      <c r="OG67" s="242"/>
      <c r="OH67" s="242"/>
      <c r="OI67" s="242"/>
      <c r="OJ67" s="242"/>
      <c r="OK67" s="244"/>
      <c r="OL67" s="242"/>
      <c r="OM67" s="242"/>
      <c r="ON67" s="242"/>
      <c r="OO67" s="242"/>
      <c r="OP67" s="242"/>
      <c r="OQ67" s="245"/>
      <c r="OR67" s="242"/>
      <c r="OS67" s="242"/>
      <c r="OT67" s="242"/>
      <c r="OU67" s="242"/>
      <c r="OV67" s="242"/>
      <c r="OW67" s="244"/>
      <c r="OX67" s="242"/>
      <c r="OY67" s="242"/>
      <c r="OZ67" s="242"/>
      <c r="PA67" s="242"/>
      <c r="PB67" s="242"/>
      <c r="PC67" s="245"/>
      <c r="PD67" s="242"/>
      <c r="PE67" s="242"/>
      <c r="PF67" s="242"/>
      <c r="PG67" s="242"/>
      <c r="PH67" s="242"/>
      <c r="PI67" s="246"/>
      <c r="PJ67" s="241"/>
      <c r="PK67" s="242"/>
      <c r="PL67" s="242"/>
      <c r="PM67" s="242"/>
      <c r="PN67" s="242"/>
      <c r="PO67" s="243"/>
      <c r="PP67" s="242"/>
      <c r="PQ67" s="242"/>
      <c r="PR67" s="242"/>
      <c r="PS67" s="242"/>
      <c r="PT67" s="242"/>
      <c r="PU67" s="244"/>
      <c r="PV67" s="242"/>
      <c r="PW67" s="242"/>
      <c r="PX67" s="242"/>
      <c r="PY67" s="242"/>
      <c r="PZ67" s="242"/>
      <c r="QA67" s="245"/>
      <c r="QB67" s="242"/>
      <c r="QC67" s="242"/>
      <c r="QD67" s="242"/>
      <c r="QE67" s="242"/>
      <c r="QF67" s="242"/>
      <c r="QG67" s="244"/>
      <c r="QH67" s="242"/>
      <c r="QI67" s="242"/>
      <c r="QJ67" s="242"/>
      <c r="QK67" s="242"/>
      <c r="QL67" s="242"/>
      <c r="QM67" s="245"/>
      <c r="QN67" s="242"/>
      <c r="QO67" s="242"/>
      <c r="QP67" s="242"/>
      <c r="QQ67" s="242"/>
      <c r="QR67" s="242"/>
      <c r="QS67" s="244"/>
      <c r="QT67" s="242"/>
      <c r="QU67" s="242"/>
      <c r="QV67" s="242"/>
      <c r="QW67" s="242"/>
      <c r="QX67" s="242"/>
      <c r="QY67" s="245"/>
      <c r="QZ67" s="242"/>
      <c r="RA67" s="242"/>
      <c r="RB67" s="242"/>
      <c r="RC67" s="242"/>
      <c r="RD67" s="242"/>
      <c r="RE67" s="244"/>
      <c r="RF67" s="242"/>
      <c r="RG67" s="242"/>
      <c r="RH67" s="242"/>
      <c r="RI67" s="242"/>
      <c r="RJ67" s="242"/>
      <c r="RK67" s="245"/>
      <c r="RL67" s="242"/>
      <c r="RM67" s="242"/>
      <c r="RN67" s="242"/>
      <c r="RO67" s="242"/>
      <c r="RP67" s="242"/>
      <c r="RQ67" s="246"/>
      <c r="RR67" s="241"/>
      <c r="RS67" s="242"/>
      <c r="RT67" s="242"/>
      <c r="RU67" s="242"/>
      <c r="RV67" s="242"/>
      <c r="RW67" s="243"/>
      <c r="RX67" s="242"/>
      <c r="RY67" s="242"/>
      <c r="RZ67" s="242"/>
      <c r="SA67" s="242"/>
      <c r="SB67" s="242"/>
      <c r="SC67" s="244"/>
      <c r="SD67" s="242"/>
      <c r="SE67" s="242"/>
      <c r="SF67" s="242"/>
      <c r="SG67" s="242"/>
      <c r="SH67" s="242"/>
      <c r="SI67" s="245"/>
      <c r="SJ67" s="242"/>
      <c r="SK67" s="242"/>
      <c r="SL67" s="242"/>
      <c r="SM67" s="242"/>
      <c r="SN67" s="242"/>
      <c r="SO67" s="244"/>
      <c r="SP67" s="242"/>
      <c r="SQ67" s="242"/>
      <c r="SR67" s="242"/>
      <c r="SS67" s="242"/>
      <c r="ST67" s="242"/>
      <c r="SU67" s="245"/>
      <c r="SV67" s="242"/>
      <c r="SW67" s="242"/>
      <c r="SX67" s="242"/>
      <c r="SY67" s="242"/>
      <c r="SZ67" s="242"/>
      <c r="TA67" s="244"/>
      <c r="TB67" s="242"/>
      <c r="TC67" s="242"/>
      <c r="TD67" s="242"/>
      <c r="TE67" s="242"/>
      <c r="TF67" s="242"/>
      <c r="TG67" s="245"/>
      <c r="TH67" s="242"/>
      <c r="TI67" s="242"/>
      <c r="TJ67" s="242"/>
      <c r="TK67" s="242"/>
      <c r="TL67" s="242"/>
      <c r="TM67" s="244"/>
      <c r="TN67" s="242"/>
      <c r="TO67" s="242"/>
      <c r="TP67" s="242"/>
      <c r="TQ67" s="242"/>
      <c r="TR67" s="242"/>
      <c r="TS67" s="245"/>
      <c r="TT67" s="242"/>
      <c r="TU67" s="242"/>
      <c r="TV67" s="242"/>
      <c r="TW67" s="242"/>
      <c r="TX67" s="242"/>
      <c r="TY67" s="246"/>
      <c r="TZ67" s="241"/>
      <c r="UA67" s="242"/>
      <c r="UB67" s="242"/>
      <c r="UC67" s="242"/>
      <c r="UD67" s="242"/>
      <c r="UE67" s="243"/>
      <c r="UF67" s="242"/>
      <c r="UG67" s="242"/>
      <c r="UH67" s="242"/>
      <c r="UI67" s="242"/>
      <c r="UJ67" s="242"/>
      <c r="UK67" s="244"/>
      <c r="UL67" s="242"/>
      <c r="UM67" s="242"/>
      <c r="UN67" s="242"/>
      <c r="UO67" s="242"/>
      <c r="UP67" s="242"/>
      <c r="UQ67" s="245"/>
      <c r="UR67" s="242"/>
      <c r="US67" s="242"/>
      <c r="UT67" s="242"/>
      <c r="UU67" s="242"/>
      <c r="UV67" s="242"/>
      <c r="UW67" s="244"/>
      <c r="UX67" s="242"/>
      <c r="UY67" s="242"/>
      <c r="UZ67" s="242"/>
      <c r="VA67" s="242"/>
      <c r="VB67" s="242"/>
      <c r="VC67" s="245"/>
      <c r="VD67" s="242"/>
      <c r="VE67" s="242"/>
      <c r="VF67" s="242"/>
      <c r="VG67" s="242"/>
      <c r="VH67" s="242"/>
      <c r="VI67" s="244"/>
      <c r="VJ67" s="242"/>
      <c r="VK67" s="242"/>
      <c r="VL67" s="242"/>
      <c r="VM67" s="242"/>
      <c r="VN67" s="242"/>
      <c r="VO67" s="245"/>
      <c r="VP67" s="242"/>
      <c r="VQ67" s="242"/>
      <c r="VR67" s="242"/>
      <c r="VS67" s="242"/>
      <c r="VT67" s="242"/>
      <c r="VU67" s="244"/>
      <c r="VV67" s="242"/>
      <c r="VW67" s="242"/>
      <c r="VX67" s="242"/>
      <c r="VY67" s="242"/>
      <c r="VZ67" s="242"/>
      <c r="WA67" s="245"/>
      <c r="WB67" s="242"/>
      <c r="WC67" s="242"/>
      <c r="WD67" s="242"/>
      <c r="WE67" s="242"/>
      <c r="WF67" s="242"/>
      <c r="WG67" s="246"/>
      <c r="WH67" s="241"/>
      <c r="WI67" s="242"/>
      <c r="WJ67" s="242"/>
      <c r="WK67" s="242"/>
      <c r="WL67" s="242"/>
      <c r="WM67" s="243"/>
      <c r="WN67" s="242"/>
      <c r="WO67" s="242"/>
      <c r="WP67" s="242"/>
      <c r="WQ67" s="242"/>
      <c r="WR67" s="242"/>
      <c r="WS67" s="244"/>
      <c r="WT67" s="242"/>
      <c r="WU67" s="242"/>
      <c r="WV67" s="242"/>
      <c r="WW67" s="242"/>
      <c r="WX67" s="242"/>
      <c r="WY67" s="245"/>
      <c r="WZ67" s="242"/>
      <c r="XA67" s="242"/>
      <c r="XB67" s="242"/>
      <c r="XC67" s="242"/>
      <c r="XD67" s="242"/>
      <c r="XE67" s="244"/>
      <c r="XF67" s="242"/>
      <c r="XG67" s="242"/>
      <c r="XH67" s="242"/>
      <c r="XI67" s="242"/>
      <c r="XJ67" s="242"/>
      <c r="XK67" s="245"/>
      <c r="XL67" s="242"/>
      <c r="XM67" s="242"/>
      <c r="XN67" s="242"/>
      <c r="XO67" s="242"/>
      <c r="XP67" s="242"/>
      <c r="XQ67" s="244"/>
      <c r="XR67" s="242"/>
      <c r="XS67" s="242"/>
      <c r="XT67" s="242"/>
      <c r="XU67" s="242"/>
      <c r="XV67" s="242"/>
      <c r="XW67" s="245"/>
      <c r="XX67" s="242"/>
      <c r="XY67" s="242"/>
      <c r="XZ67" s="242"/>
      <c r="YA67" s="242"/>
      <c r="YB67" s="242"/>
      <c r="YC67" s="244"/>
      <c r="YD67" s="242"/>
      <c r="YE67" s="242"/>
      <c r="YF67" s="242"/>
      <c r="YG67" s="242"/>
      <c r="YH67" s="242"/>
      <c r="YI67" s="245"/>
      <c r="YJ67" s="242"/>
      <c r="YK67" s="242"/>
      <c r="YL67" s="242"/>
      <c r="YM67" s="242"/>
      <c r="YN67" s="242"/>
      <c r="YO67" s="246"/>
      <c r="YP67" s="241"/>
      <c r="YQ67" s="242"/>
      <c r="YR67" s="242"/>
      <c r="YS67" s="242"/>
      <c r="YT67" s="242"/>
      <c r="YU67" s="243"/>
      <c r="YV67" s="242"/>
      <c r="YW67" s="242"/>
      <c r="YX67" s="242"/>
      <c r="YY67" s="242"/>
      <c r="YZ67" s="242"/>
      <c r="ZA67" s="244"/>
      <c r="ZB67" s="242"/>
      <c r="ZC67" s="242"/>
      <c r="ZD67" s="242"/>
      <c r="ZE67" s="242"/>
      <c r="ZF67" s="242"/>
      <c r="ZG67" s="245"/>
      <c r="ZH67" s="242"/>
      <c r="ZI67" s="242"/>
      <c r="ZJ67" s="242"/>
      <c r="ZK67" s="242"/>
      <c r="ZL67" s="242"/>
      <c r="ZM67" s="244"/>
      <c r="ZN67" s="242"/>
      <c r="ZO67" s="242"/>
      <c r="ZP67" s="242"/>
      <c r="ZQ67" s="242"/>
      <c r="ZR67" s="242"/>
      <c r="ZS67" s="245"/>
      <c r="ZT67" s="242"/>
      <c r="ZU67" s="242"/>
      <c r="ZV67" s="242"/>
      <c r="ZW67" s="242"/>
      <c r="ZX67" s="242"/>
      <c r="ZY67" s="244"/>
      <c r="ZZ67" s="242"/>
      <c r="AAA67" s="242"/>
      <c r="AAB67" s="242"/>
      <c r="AAC67" s="242"/>
      <c r="AAD67" s="242"/>
      <c r="AAE67" s="245"/>
      <c r="AAF67" s="242"/>
      <c r="AAG67" s="242"/>
      <c r="AAH67" s="242"/>
      <c r="AAI67" s="242"/>
      <c r="AAJ67" s="242"/>
      <c r="AAK67" s="244"/>
      <c r="AAL67" s="242"/>
      <c r="AAM67" s="242"/>
      <c r="AAN67" s="242"/>
      <c r="AAO67" s="242"/>
      <c r="AAP67" s="242"/>
      <c r="AAQ67" s="245"/>
      <c r="AAR67" s="242"/>
      <c r="AAS67" s="242"/>
      <c r="AAT67" s="242"/>
      <c r="AAU67" s="242"/>
      <c r="AAV67" s="242"/>
      <c r="AAW67" s="246"/>
      <c r="AAX67" s="241"/>
      <c r="AAY67" s="242"/>
      <c r="AAZ67" s="242"/>
      <c r="ABA67" s="242"/>
      <c r="ABB67" s="242"/>
      <c r="ABC67" s="243"/>
      <c r="ABD67" s="242"/>
      <c r="ABE67" s="242"/>
      <c r="ABF67" s="242"/>
      <c r="ABG67" s="242"/>
      <c r="ABH67" s="242"/>
      <c r="ABI67" s="244"/>
      <c r="ABJ67" s="242"/>
      <c r="ABK67" s="242"/>
      <c r="ABL67" s="242"/>
      <c r="ABM67" s="242"/>
      <c r="ABN67" s="242"/>
      <c r="ABO67" s="245"/>
      <c r="ABP67" s="242"/>
      <c r="ABQ67" s="242"/>
      <c r="ABR67" s="242"/>
      <c r="ABS67" s="242"/>
      <c r="ABT67" s="242"/>
      <c r="ABU67" s="244"/>
      <c r="ABV67" s="242"/>
      <c r="ABW67" s="242"/>
      <c r="ABX67" s="242"/>
      <c r="ABY67" s="242"/>
      <c r="ABZ67" s="242"/>
      <c r="ACA67" s="245"/>
      <c r="ACB67" s="242"/>
      <c r="ACC67" s="242"/>
      <c r="ACD67" s="242"/>
      <c r="ACE67" s="242"/>
      <c r="ACF67" s="242"/>
      <c r="ACG67" s="244"/>
      <c r="ACH67" s="242"/>
      <c r="ACI67" s="242"/>
      <c r="ACJ67" s="242"/>
      <c r="ACK67" s="242"/>
      <c r="ACL67" s="242"/>
      <c r="ACM67" s="245"/>
      <c r="ACN67" s="242"/>
      <c r="ACO67" s="242"/>
      <c r="ACP67" s="242"/>
      <c r="ACQ67" s="242"/>
      <c r="ACR67" s="242"/>
      <c r="ACS67" s="244"/>
      <c r="ACT67" s="242"/>
      <c r="ACU67" s="242"/>
      <c r="ACV67" s="242"/>
      <c r="ACW67" s="242"/>
      <c r="ACX67" s="242"/>
      <c r="ACY67" s="245"/>
      <c r="ACZ67" s="242"/>
      <c r="ADA67" s="242"/>
      <c r="ADB67" s="242"/>
      <c r="ADC67" s="242"/>
      <c r="ADD67" s="242"/>
      <c r="ADE67" s="246"/>
      <c r="ADF67" s="241"/>
      <c r="ADG67" s="242"/>
      <c r="ADH67" s="242"/>
      <c r="ADI67" s="242"/>
      <c r="ADJ67" s="242"/>
      <c r="ADK67" s="243"/>
      <c r="ADL67" s="242"/>
      <c r="ADM67" s="242"/>
      <c r="ADN67" s="242"/>
      <c r="ADO67" s="242"/>
      <c r="ADP67" s="242"/>
      <c r="ADQ67" s="244"/>
      <c r="ADR67" s="242"/>
      <c r="ADS67" s="242"/>
      <c r="ADT67" s="242"/>
      <c r="ADU67" s="242"/>
      <c r="ADV67" s="242"/>
      <c r="ADW67" s="245"/>
      <c r="ADX67" s="242"/>
      <c r="ADY67" s="242"/>
      <c r="ADZ67" s="242"/>
      <c r="AEA67" s="242"/>
      <c r="AEB67" s="242"/>
      <c r="AEC67" s="244"/>
      <c r="AED67" s="242"/>
      <c r="AEE67" s="242"/>
      <c r="AEF67" s="242"/>
      <c r="AEG67" s="242"/>
      <c r="AEH67" s="242"/>
      <c r="AEI67" s="245"/>
      <c r="AEJ67" s="242"/>
      <c r="AEK67" s="242"/>
      <c r="AEL67" s="242"/>
      <c r="AEM67" s="242"/>
      <c r="AEN67" s="242"/>
      <c r="AEO67" s="244"/>
      <c r="AEP67" s="242"/>
      <c r="AEQ67" s="242"/>
      <c r="AER67" s="242"/>
      <c r="AES67" s="242"/>
      <c r="AET67" s="242"/>
      <c r="AEU67" s="245"/>
      <c r="AEV67" s="242"/>
      <c r="AEW67" s="242"/>
      <c r="AEX67" s="242"/>
      <c r="AEY67" s="242"/>
      <c r="AEZ67" s="242"/>
      <c r="AFA67" s="244"/>
      <c r="AFB67" s="242"/>
      <c r="AFC67" s="242"/>
      <c r="AFD67" s="242"/>
      <c r="AFE67" s="242"/>
      <c r="AFF67" s="242"/>
      <c r="AFG67" s="245"/>
      <c r="AFH67" s="242"/>
      <c r="AFI67" s="242"/>
      <c r="AFJ67" s="242"/>
      <c r="AFK67" s="242"/>
      <c r="AFL67" s="242"/>
      <c r="AFM67" s="246"/>
      <c r="AFN67" s="241"/>
      <c r="AFO67" s="242"/>
      <c r="AFP67" s="242"/>
      <c r="AFQ67" s="242"/>
      <c r="AFR67" s="242"/>
      <c r="AFS67" s="243"/>
      <c r="AFT67" s="242"/>
      <c r="AFU67" s="242"/>
      <c r="AFV67" s="242"/>
      <c r="AFW67" s="242"/>
      <c r="AFX67" s="242"/>
      <c r="AFY67" s="244"/>
      <c r="AFZ67" s="242"/>
      <c r="AGA67" s="242"/>
      <c r="AGB67" s="242"/>
      <c r="AGC67" s="242"/>
      <c r="AGD67" s="242"/>
      <c r="AGE67" s="245"/>
      <c r="AGF67" s="242"/>
      <c r="AGG67" s="242"/>
      <c r="AGH67" s="242"/>
      <c r="AGI67" s="242"/>
      <c r="AGJ67" s="242"/>
      <c r="AGK67" s="244"/>
      <c r="AGL67" s="242"/>
      <c r="AGM67" s="242"/>
      <c r="AGN67" s="242"/>
      <c r="AGO67" s="242"/>
      <c r="AGP67" s="242"/>
      <c r="AGQ67" s="245"/>
      <c r="AGR67" s="242"/>
      <c r="AGS67" s="242"/>
      <c r="AGT67" s="242"/>
      <c r="AGU67" s="242"/>
      <c r="AGV67" s="242"/>
      <c r="AGW67" s="244"/>
      <c r="AGX67" s="242"/>
      <c r="AGY67" s="242"/>
      <c r="AGZ67" s="242"/>
      <c r="AHA67" s="242"/>
      <c r="AHB67" s="242"/>
      <c r="AHC67" s="245"/>
      <c r="AHD67" s="242"/>
      <c r="AHE67" s="242"/>
      <c r="AHF67" s="242"/>
      <c r="AHG67" s="242"/>
      <c r="AHH67" s="242"/>
      <c r="AHI67" s="244"/>
      <c r="AHJ67" s="242"/>
      <c r="AHK67" s="242"/>
      <c r="AHL67" s="242"/>
      <c r="AHM67" s="242"/>
      <c r="AHN67" s="242"/>
      <c r="AHO67" s="245"/>
      <c r="AHP67" s="242"/>
      <c r="AHQ67" s="242"/>
      <c r="AHR67" s="242"/>
      <c r="AHS67" s="242"/>
      <c r="AHT67" s="242"/>
      <c r="AHU67" s="246"/>
      <c r="AHV67" s="241"/>
      <c r="AHW67" s="242"/>
      <c r="AHX67" s="242"/>
      <c r="AHY67" s="242"/>
      <c r="AHZ67" s="242"/>
      <c r="AIA67" s="243"/>
      <c r="AIB67" s="242"/>
      <c r="AIC67" s="242"/>
      <c r="AID67" s="242"/>
      <c r="AIE67" s="242"/>
      <c r="AIF67" s="242"/>
      <c r="AIG67" s="244"/>
      <c r="AIH67" s="242"/>
      <c r="AII67" s="242"/>
      <c r="AIJ67" s="242"/>
      <c r="AIK67" s="242"/>
      <c r="AIL67" s="242"/>
      <c r="AIM67" s="245"/>
      <c r="AIN67" s="242"/>
      <c r="AIO67" s="242"/>
      <c r="AIP67" s="242"/>
      <c r="AIQ67" s="242"/>
      <c r="AIR67" s="242"/>
      <c r="AIS67" s="244"/>
      <c r="AIT67" s="242"/>
      <c r="AIU67" s="242"/>
      <c r="AIV67" s="242"/>
      <c r="AIW67" s="242"/>
      <c r="AIX67" s="242"/>
      <c r="AIY67" s="245"/>
      <c r="AIZ67" s="242"/>
      <c r="AJA67" s="242"/>
      <c r="AJB67" s="242"/>
      <c r="AJC67" s="242"/>
      <c r="AJD67" s="242"/>
      <c r="AJE67" s="244"/>
      <c r="AJF67" s="242"/>
      <c r="AJG67" s="242"/>
      <c r="AJH67" s="242"/>
      <c r="AJI67" s="242"/>
      <c r="AJJ67" s="242"/>
      <c r="AJK67" s="245"/>
      <c r="AJL67" s="242"/>
      <c r="AJM67" s="242"/>
      <c r="AJN67" s="242"/>
      <c r="AJO67" s="242"/>
      <c r="AJP67" s="242"/>
      <c r="AJQ67" s="244"/>
      <c r="AJR67" s="242"/>
      <c r="AJS67" s="242"/>
      <c r="AJT67" s="242"/>
      <c r="AJU67" s="242"/>
      <c r="AJV67" s="242"/>
      <c r="AJW67" s="245"/>
      <c r="AJX67" s="242"/>
      <c r="AJY67" s="242"/>
      <c r="AJZ67" s="242"/>
      <c r="AKA67" s="242"/>
      <c r="AKB67" s="242"/>
      <c r="AKC67" s="246"/>
      <c r="AKD67" s="241"/>
      <c r="AKE67" s="242"/>
      <c r="AKF67" s="242"/>
      <c r="AKG67" s="242"/>
      <c r="AKH67" s="242"/>
      <c r="AKI67" s="243"/>
      <c r="AKJ67" s="242"/>
      <c r="AKK67" s="242"/>
      <c r="AKL67" s="242"/>
      <c r="AKM67" s="242"/>
      <c r="AKN67" s="242"/>
      <c r="AKO67" s="244"/>
      <c r="AKP67" s="242"/>
      <c r="AKQ67" s="242"/>
      <c r="AKR67" s="242"/>
      <c r="AKS67" s="242"/>
      <c r="AKT67" s="242"/>
      <c r="AKU67" s="245"/>
      <c r="AKV67" s="242"/>
      <c r="AKW67" s="242"/>
      <c r="AKX67" s="242"/>
      <c r="AKY67" s="242"/>
      <c r="AKZ67" s="242"/>
      <c r="ALA67" s="244"/>
      <c r="ALB67" s="242"/>
      <c r="ALC67" s="242"/>
      <c r="ALD67" s="242"/>
      <c r="ALE67" s="242"/>
      <c r="ALF67" s="242"/>
      <c r="ALG67" s="245"/>
      <c r="ALH67" s="242"/>
      <c r="ALI67" s="242"/>
      <c r="ALJ67" s="242"/>
      <c r="ALK67" s="242"/>
      <c r="ALL67" s="242"/>
      <c r="ALM67" s="244"/>
      <c r="ALN67" s="242"/>
      <c r="ALO67" s="242"/>
      <c r="ALP67" s="242"/>
      <c r="ALQ67" s="242"/>
      <c r="ALR67" s="242"/>
      <c r="ALS67" s="245"/>
      <c r="ALT67" s="242"/>
      <c r="ALU67" s="242"/>
      <c r="ALV67" s="242"/>
      <c r="ALW67" s="242"/>
      <c r="ALX67" s="242"/>
      <c r="ALY67" s="244"/>
      <c r="ALZ67" s="242"/>
      <c r="AMA67" s="242"/>
      <c r="AMB67" s="242"/>
      <c r="AMC67" s="242"/>
      <c r="AMD67" s="242"/>
      <c r="AME67" s="245"/>
      <c r="AMF67" s="242"/>
      <c r="AMG67" s="242"/>
      <c r="AMH67" s="242"/>
      <c r="AMI67" s="242"/>
      <c r="AMJ67" s="242"/>
      <c r="AMK67" s="246"/>
      <c r="AML67" s="241"/>
      <c r="AMM67" s="242"/>
      <c r="AMN67" s="242"/>
      <c r="AMO67" s="242"/>
      <c r="AMP67" s="242"/>
      <c r="AMQ67" s="243"/>
      <c r="AMR67" s="242"/>
      <c r="AMS67" s="242"/>
      <c r="AMT67" s="242"/>
      <c r="AMU67" s="242"/>
      <c r="AMV67" s="242"/>
      <c r="AMW67" s="244"/>
      <c r="AMX67" s="242"/>
      <c r="AMY67" s="242"/>
      <c r="AMZ67" s="242"/>
      <c r="ANA67" s="242"/>
      <c r="ANB67" s="242"/>
      <c r="ANC67" s="245"/>
      <c r="AND67" s="242"/>
      <c r="ANE67" s="242"/>
      <c r="ANF67" s="242"/>
      <c r="ANG67" s="242"/>
      <c r="ANH67" s="242"/>
      <c r="ANI67" s="244"/>
      <c r="ANJ67" s="242"/>
      <c r="ANK67" s="242"/>
      <c r="ANL67" s="242"/>
      <c r="ANM67" s="242"/>
      <c r="ANN67" s="242"/>
      <c r="ANO67" s="245"/>
      <c r="ANP67" s="242"/>
      <c r="ANQ67" s="242"/>
      <c r="ANR67" s="242"/>
      <c r="ANS67" s="242"/>
      <c r="ANT67" s="242"/>
      <c r="ANU67" s="244"/>
      <c r="ANV67" s="242"/>
      <c r="ANW67" s="242"/>
      <c r="ANX67" s="242"/>
      <c r="ANY67" s="242"/>
      <c r="ANZ67" s="242"/>
      <c r="AOA67" s="245"/>
      <c r="AOB67" s="242"/>
      <c r="AOC67" s="242"/>
      <c r="AOD67" s="242"/>
      <c r="AOE67" s="242"/>
      <c r="AOF67" s="242"/>
      <c r="AOG67" s="244"/>
      <c r="AOH67" s="242"/>
      <c r="AOI67" s="242"/>
      <c r="AOJ67" s="242"/>
      <c r="AOK67" s="242"/>
      <c r="AOL67" s="242"/>
      <c r="AOM67" s="245"/>
      <c r="AON67" s="242"/>
      <c r="AOO67" s="242"/>
      <c r="AOP67" s="242"/>
      <c r="AOQ67" s="242"/>
      <c r="AOR67" s="242"/>
      <c r="AOS67" s="246"/>
      <c r="AOT67" s="241"/>
      <c r="AOU67" s="242"/>
      <c r="AOV67" s="242"/>
      <c r="AOW67" s="242"/>
      <c r="AOX67" s="242"/>
      <c r="AOY67" s="243"/>
      <c r="AOZ67" s="242"/>
      <c r="APA67" s="242"/>
      <c r="APB67" s="242"/>
      <c r="APC67" s="242"/>
      <c r="APD67" s="242"/>
      <c r="APE67" s="244"/>
      <c r="APF67" s="242"/>
      <c r="APG67" s="242"/>
      <c r="APH67" s="242"/>
      <c r="API67" s="242"/>
      <c r="APJ67" s="242"/>
      <c r="APK67" s="245"/>
      <c r="APL67" s="242"/>
      <c r="APM67" s="242"/>
      <c r="APN67" s="242"/>
      <c r="APO67" s="242"/>
      <c r="APP67" s="242"/>
      <c r="APQ67" s="244"/>
      <c r="APR67" s="242"/>
      <c r="APS67" s="242"/>
      <c r="APT67" s="242"/>
      <c r="APU67" s="242"/>
      <c r="APV67" s="242"/>
      <c r="APW67" s="245"/>
      <c r="APX67" s="242"/>
      <c r="APY67" s="242"/>
      <c r="APZ67" s="242"/>
      <c r="AQA67" s="242"/>
      <c r="AQB67" s="242"/>
      <c r="AQC67" s="244"/>
      <c r="AQD67" s="242"/>
      <c r="AQE67" s="242"/>
      <c r="AQF67" s="242"/>
      <c r="AQG67" s="242"/>
      <c r="AQH67" s="242"/>
      <c r="AQI67" s="245"/>
      <c r="AQJ67" s="242"/>
      <c r="AQK67" s="242"/>
      <c r="AQL67" s="242"/>
      <c r="AQM67" s="242"/>
      <c r="AQN67" s="242"/>
      <c r="AQO67" s="244"/>
      <c r="AQP67" s="242"/>
      <c r="AQQ67" s="242"/>
      <c r="AQR67" s="242"/>
      <c r="AQS67" s="242"/>
      <c r="AQT67" s="242"/>
      <c r="AQU67" s="245"/>
      <c r="AQV67" s="242"/>
      <c r="AQW67" s="242"/>
      <c r="AQX67" s="242"/>
      <c r="AQY67" s="242"/>
      <c r="AQZ67" s="242"/>
      <c r="ARA67" s="246"/>
      <c r="ARB67" s="241"/>
      <c r="ARC67" s="242"/>
      <c r="ARD67" s="242"/>
      <c r="ARE67" s="242"/>
      <c r="ARF67" s="242"/>
      <c r="ARG67" s="243"/>
      <c r="ARH67" s="242"/>
      <c r="ARI67" s="242"/>
      <c r="ARJ67" s="242"/>
      <c r="ARK67" s="242"/>
      <c r="ARL67" s="242"/>
      <c r="ARM67" s="244"/>
      <c r="ARN67" s="242"/>
      <c r="ARO67" s="242"/>
      <c r="ARP67" s="242"/>
      <c r="ARQ67" s="242"/>
      <c r="ARR67" s="242"/>
      <c r="ARS67" s="245"/>
      <c r="ART67" s="242"/>
      <c r="ARU67" s="242"/>
      <c r="ARV67" s="242"/>
      <c r="ARW67" s="242"/>
      <c r="ARX67" s="242"/>
      <c r="ARY67" s="244"/>
      <c r="ARZ67" s="242"/>
      <c r="ASA67" s="242"/>
      <c r="ASB67" s="242"/>
      <c r="ASC67" s="242"/>
      <c r="ASD67" s="242"/>
      <c r="ASE67" s="245"/>
      <c r="ASF67" s="242"/>
      <c r="ASG67" s="242"/>
      <c r="ASH67" s="242"/>
      <c r="ASI67" s="242"/>
      <c r="ASJ67" s="242"/>
      <c r="ASK67" s="244"/>
      <c r="ASL67" s="242"/>
      <c r="ASM67" s="242"/>
      <c r="ASN67" s="242"/>
      <c r="ASO67" s="242"/>
      <c r="ASP67" s="242"/>
      <c r="ASQ67" s="245"/>
      <c r="ASR67" s="242"/>
      <c r="ASS67" s="242"/>
      <c r="AST67" s="242"/>
      <c r="ASU67" s="242"/>
      <c r="ASV67" s="242"/>
      <c r="ASW67" s="244"/>
      <c r="ASX67" s="242"/>
      <c r="ASY67" s="242"/>
      <c r="ASZ67" s="242"/>
      <c r="ATA67" s="242"/>
      <c r="ATB67" s="242"/>
      <c r="ATC67" s="245"/>
      <c r="ATD67" s="242"/>
      <c r="ATE67" s="242"/>
      <c r="ATF67" s="242"/>
      <c r="ATG67" s="242"/>
      <c r="ATH67" s="242"/>
      <c r="ATI67" s="246"/>
      <c r="ATJ67" s="241"/>
      <c r="ATK67" s="242"/>
      <c r="ATL67" s="242"/>
      <c r="ATM67" s="242"/>
      <c r="ATN67" s="242"/>
      <c r="ATO67" s="243"/>
      <c r="ATP67" s="242"/>
      <c r="ATQ67" s="242"/>
      <c r="ATR67" s="242"/>
      <c r="ATS67" s="242"/>
      <c r="ATT67" s="242"/>
      <c r="ATU67" s="244"/>
      <c r="ATV67" s="242"/>
      <c r="ATW67" s="242"/>
      <c r="ATX67" s="242"/>
      <c r="ATY67" s="242"/>
      <c r="ATZ67" s="242"/>
      <c r="AUA67" s="245"/>
      <c r="AUB67" s="242"/>
      <c r="AUC67" s="242"/>
      <c r="AUD67" s="242"/>
      <c r="AUE67" s="242"/>
      <c r="AUF67" s="242"/>
      <c r="AUG67" s="244"/>
      <c r="AUH67" s="242"/>
      <c r="AUI67" s="242"/>
      <c r="AUJ67" s="242"/>
      <c r="AUK67" s="242"/>
      <c r="AUL67" s="242"/>
      <c r="AUM67" s="245"/>
      <c r="AUN67" s="242"/>
      <c r="AUO67" s="242"/>
      <c r="AUP67" s="242"/>
      <c r="AUQ67" s="242"/>
      <c r="AUR67" s="242"/>
      <c r="AUS67" s="244"/>
      <c r="AUT67" s="242"/>
      <c r="AUU67" s="242"/>
      <c r="AUV67" s="242"/>
      <c r="AUW67" s="242"/>
      <c r="AUX67" s="242"/>
      <c r="AUY67" s="245"/>
      <c r="AUZ67" s="242"/>
      <c r="AVA67" s="242"/>
      <c r="AVB67" s="242"/>
      <c r="AVC67" s="242"/>
      <c r="AVD67" s="242"/>
      <c r="AVE67" s="244"/>
      <c r="AVF67" s="242"/>
      <c r="AVG67" s="242"/>
      <c r="AVH67" s="242"/>
      <c r="AVI67" s="242"/>
      <c r="AVJ67" s="242"/>
      <c r="AVK67" s="245"/>
      <c r="AVL67" s="242"/>
      <c r="AVM67" s="242"/>
      <c r="AVN67" s="242"/>
      <c r="AVO67" s="242"/>
      <c r="AVP67" s="242"/>
      <c r="AVQ67" s="246"/>
      <c r="AVR67" s="241"/>
      <c r="AVS67" s="242"/>
      <c r="AVT67" s="242"/>
      <c r="AVU67" s="242"/>
      <c r="AVV67" s="242"/>
      <c r="AVW67" s="243"/>
      <c r="AVX67" s="242"/>
      <c r="AVY67" s="242"/>
      <c r="AVZ67" s="242"/>
      <c r="AWA67" s="242"/>
      <c r="AWB67" s="242"/>
      <c r="AWC67" s="244"/>
      <c r="AWD67" s="242"/>
      <c r="AWE67" s="242"/>
      <c r="AWF67" s="242"/>
      <c r="AWG67" s="242"/>
      <c r="AWH67" s="242"/>
      <c r="AWI67" s="245"/>
      <c r="AWJ67" s="242"/>
      <c r="AWK67" s="242"/>
      <c r="AWL67" s="242"/>
      <c r="AWM67" s="242"/>
      <c r="AWN67" s="242"/>
      <c r="AWO67" s="244"/>
      <c r="AWP67" s="242"/>
      <c r="AWQ67" s="242"/>
      <c r="AWR67" s="242"/>
      <c r="AWS67" s="242"/>
      <c r="AWT67" s="242"/>
      <c r="AWU67" s="245"/>
      <c r="AWV67" s="242"/>
      <c r="AWW67" s="242"/>
      <c r="AWX67" s="242"/>
      <c r="AWY67" s="242"/>
      <c r="AWZ67" s="242"/>
      <c r="AXA67" s="244"/>
      <c r="AXB67" s="242"/>
      <c r="AXC67" s="242"/>
      <c r="AXD67" s="242"/>
      <c r="AXE67" s="242"/>
      <c r="AXF67" s="242"/>
      <c r="AXG67" s="245"/>
      <c r="AXH67" s="242"/>
      <c r="AXI67" s="242"/>
      <c r="AXJ67" s="242"/>
      <c r="AXK67" s="242"/>
      <c r="AXL67" s="242"/>
      <c r="AXM67" s="244"/>
      <c r="AXN67" s="242"/>
      <c r="AXO67" s="242"/>
      <c r="AXP67" s="242"/>
      <c r="AXQ67" s="242"/>
      <c r="AXR67" s="242"/>
      <c r="AXS67" s="245"/>
      <c r="AXT67" s="242"/>
      <c r="AXU67" s="242"/>
      <c r="AXV67" s="242"/>
      <c r="AXW67" s="242"/>
      <c r="AXX67" s="242"/>
      <c r="AXY67" s="246"/>
      <c r="AXZ67" s="241"/>
      <c r="AYA67" s="242"/>
      <c r="AYB67" s="242"/>
      <c r="AYC67" s="242"/>
      <c r="AYD67" s="242"/>
      <c r="AYE67" s="243"/>
      <c r="AYF67" s="242"/>
      <c r="AYG67" s="242"/>
      <c r="AYH67" s="242"/>
      <c r="AYI67" s="242"/>
      <c r="AYJ67" s="242"/>
      <c r="AYK67" s="244"/>
      <c r="AYL67" s="242"/>
      <c r="AYM67" s="242"/>
      <c r="AYN67" s="242"/>
      <c r="AYO67" s="242"/>
      <c r="AYP67" s="242"/>
      <c r="AYQ67" s="245"/>
      <c r="AYR67" s="242"/>
      <c r="AYS67" s="242"/>
      <c r="AYT67" s="242"/>
      <c r="AYU67" s="242"/>
      <c r="AYV67" s="242"/>
      <c r="AYW67" s="244"/>
      <c r="AYX67" s="242"/>
      <c r="AYY67" s="242"/>
      <c r="AYZ67" s="242"/>
      <c r="AZA67" s="242"/>
      <c r="AZB67" s="242"/>
      <c r="AZC67" s="245"/>
      <c r="AZD67" s="242"/>
      <c r="AZE67" s="242"/>
      <c r="AZF67" s="242"/>
      <c r="AZG67" s="242"/>
      <c r="AZH67" s="242"/>
      <c r="AZI67" s="244"/>
      <c r="AZJ67" s="242"/>
      <c r="AZK67" s="242"/>
      <c r="AZL67" s="242"/>
      <c r="AZM67" s="242"/>
      <c r="AZN67" s="242"/>
      <c r="AZO67" s="245"/>
      <c r="AZP67" s="242"/>
      <c r="AZQ67" s="242"/>
      <c r="AZR67" s="242"/>
      <c r="AZS67" s="242"/>
      <c r="AZT67" s="242"/>
      <c r="AZU67" s="244"/>
      <c r="AZV67" s="242"/>
      <c r="AZW67" s="242"/>
      <c r="AZX67" s="242"/>
      <c r="AZY67" s="242"/>
      <c r="AZZ67" s="242"/>
      <c r="BAA67" s="245"/>
      <c r="BAB67" s="242"/>
      <c r="BAC67" s="242"/>
      <c r="BAD67" s="242"/>
      <c r="BAE67" s="242"/>
      <c r="BAF67" s="242"/>
      <c r="BAG67" s="246"/>
      <c r="BAH67" s="241"/>
      <c r="BAI67" s="242"/>
      <c r="BAJ67" s="242"/>
      <c r="BAK67" s="242"/>
      <c r="BAL67" s="242"/>
      <c r="BAM67" s="243"/>
      <c r="BAN67" s="242"/>
      <c r="BAO67" s="242"/>
      <c r="BAP67" s="242"/>
      <c r="BAQ67" s="242"/>
      <c r="BAR67" s="242"/>
      <c r="BAS67" s="244"/>
      <c r="BAT67" s="242"/>
      <c r="BAU67" s="242"/>
      <c r="BAV67" s="242"/>
      <c r="BAW67" s="242"/>
      <c r="BAX67" s="242"/>
      <c r="BAY67" s="245"/>
      <c r="BAZ67" s="242"/>
      <c r="BBA67" s="242"/>
      <c r="BBB67" s="242"/>
      <c r="BBC67" s="242"/>
      <c r="BBD67" s="242"/>
      <c r="BBE67" s="244"/>
      <c r="BBF67" s="242"/>
      <c r="BBG67" s="242"/>
      <c r="BBH67" s="242"/>
      <c r="BBI67" s="242"/>
      <c r="BBJ67" s="242"/>
      <c r="BBK67" s="245"/>
      <c r="BBL67" s="242"/>
      <c r="BBM67" s="242"/>
      <c r="BBN67" s="242"/>
      <c r="BBO67" s="242"/>
      <c r="BBP67" s="242"/>
      <c r="BBQ67" s="244"/>
      <c r="BBR67" s="242"/>
      <c r="BBS67" s="242"/>
      <c r="BBT67" s="242"/>
      <c r="BBU67" s="242"/>
      <c r="BBV67" s="242"/>
      <c r="BBW67" s="245"/>
      <c r="BBX67" s="242"/>
      <c r="BBY67" s="242"/>
      <c r="BBZ67" s="242"/>
      <c r="BCA67" s="242"/>
      <c r="BCB67" s="242"/>
      <c r="BCC67" s="244"/>
      <c r="BCD67" s="242"/>
      <c r="BCE67" s="242"/>
      <c r="BCF67" s="242"/>
      <c r="BCG67" s="242"/>
      <c r="BCH67" s="242"/>
      <c r="BCI67" s="245"/>
      <c r="BCJ67" s="242"/>
      <c r="BCK67" s="242"/>
      <c r="BCL67" s="242"/>
      <c r="BCM67" s="242"/>
      <c r="BCN67" s="242"/>
      <c r="BCO67" s="246"/>
      <c r="BCP67" s="241"/>
      <c r="BCQ67" s="242"/>
      <c r="BCR67" s="242"/>
      <c r="BCS67" s="242"/>
      <c r="BCT67" s="242"/>
      <c r="BCU67" s="243"/>
      <c r="BCV67" s="242"/>
      <c r="BCW67" s="242"/>
      <c r="BCX67" s="242"/>
      <c r="BCY67" s="242"/>
      <c r="BCZ67" s="242"/>
      <c r="BDA67" s="244"/>
      <c r="BDB67" s="242"/>
      <c r="BDC67" s="242"/>
      <c r="BDD67" s="242"/>
      <c r="BDE67" s="242"/>
      <c r="BDF67" s="242"/>
      <c r="BDG67" s="245"/>
      <c r="BDH67" s="242"/>
      <c r="BDI67" s="242"/>
      <c r="BDJ67" s="242"/>
      <c r="BDK67" s="242"/>
      <c r="BDL67" s="242"/>
      <c r="BDM67" s="244"/>
      <c r="BDN67" s="242"/>
      <c r="BDO67" s="242"/>
      <c r="BDP67" s="242"/>
      <c r="BDQ67" s="242"/>
      <c r="BDR67" s="242"/>
      <c r="BDS67" s="245"/>
      <c r="BDT67" s="242"/>
      <c r="BDU67" s="242"/>
      <c r="BDV67" s="242"/>
      <c r="BDW67" s="242"/>
      <c r="BDX67" s="242"/>
      <c r="BDY67" s="244"/>
      <c r="BDZ67" s="242"/>
      <c r="BEA67" s="242"/>
      <c r="BEB67" s="242"/>
      <c r="BEC67" s="242"/>
      <c r="BED67" s="242"/>
      <c r="BEE67" s="245"/>
      <c r="BEF67" s="242"/>
      <c r="BEG67" s="242"/>
      <c r="BEH67" s="242"/>
      <c r="BEI67" s="242"/>
      <c r="BEJ67" s="242"/>
      <c r="BEK67" s="244"/>
      <c r="BEL67" s="242"/>
      <c r="BEM67" s="242"/>
      <c r="BEN67" s="242"/>
      <c r="BEO67" s="242"/>
      <c r="BEP67" s="242"/>
      <c r="BEQ67" s="245"/>
      <c r="BER67" s="242"/>
      <c r="BES67" s="242"/>
      <c r="BET67" s="242"/>
      <c r="BEU67" s="242"/>
      <c r="BEV67" s="242"/>
      <c r="BEW67" s="246"/>
      <c r="BEX67" s="241"/>
      <c r="BEY67" s="242"/>
      <c r="BEZ67" s="242"/>
      <c r="BFA67" s="242"/>
      <c r="BFB67" s="242"/>
      <c r="BFC67" s="243"/>
      <c r="BFD67" s="242"/>
      <c r="BFE67" s="242"/>
      <c r="BFF67" s="242"/>
      <c r="BFG67" s="242"/>
      <c r="BFH67" s="242"/>
      <c r="BFI67" s="244"/>
      <c r="BFJ67" s="242"/>
      <c r="BFK67" s="242"/>
      <c r="BFL67" s="242"/>
      <c r="BFM67" s="242"/>
      <c r="BFN67" s="242"/>
      <c r="BFO67" s="245"/>
      <c r="BFP67" s="242"/>
      <c r="BFQ67" s="242"/>
      <c r="BFR67" s="242"/>
      <c r="BFS67" s="242"/>
      <c r="BFT67" s="242"/>
      <c r="BFU67" s="244"/>
      <c r="BFV67" s="242"/>
      <c r="BFW67" s="242"/>
      <c r="BFX67" s="242"/>
      <c r="BFY67" s="242"/>
      <c r="BFZ67" s="242"/>
      <c r="BGA67" s="245"/>
      <c r="BGB67" s="242"/>
      <c r="BGC67" s="242"/>
      <c r="BGD67" s="242"/>
      <c r="BGE67" s="242"/>
      <c r="BGF67" s="242"/>
      <c r="BGG67" s="244"/>
      <c r="BGH67" s="242"/>
      <c r="BGI67" s="242"/>
      <c r="BGJ67" s="242"/>
      <c r="BGK67" s="242"/>
      <c r="BGL67" s="242"/>
      <c r="BGM67" s="245"/>
      <c r="BGN67" s="242"/>
      <c r="BGO67" s="242"/>
      <c r="BGP67" s="242"/>
      <c r="BGQ67" s="242"/>
      <c r="BGR67" s="242"/>
      <c r="BGS67" s="244"/>
      <c r="BGT67" s="242"/>
      <c r="BGU67" s="242"/>
      <c r="BGV67" s="242"/>
      <c r="BGW67" s="242"/>
      <c r="BGX67" s="242"/>
      <c r="BGY67" s="245"/>
      <c r="BGZ67" s="242"/>
      <c r="BHA67" s="242"/>
      <c r="BHB67" s="242"/>
      <c r="BHC67" s="242"/>
      <c r="BHD67" s="242"/>
      <c r="BHE67" s="246"/>
      <c r="BHF67" s="241"/>
      <c r="BHG67" s="242"/>
      <c r="BHH67" s="242"/>
      <c r="BHI67" s="242"/>
      <c r="BHJ67" s="242"/>
      <c r="BHK67" s="243"/>
      <c r="BHL67" s="242"/>
      <c r="BHM67" s="242"/>
      <c r="BHN67" s="242"/>
      <c r="BHO67" s="242"/>
      <c r="BHP67" s="242"/>
      <c r="BHQ67" s="244"/>
      <c r="BHR67" s="242"/>
      <c r="BHS67" s="242"/>
      <c r="BHT67" s="242"/>
      <c r="BHU67" s="242"/>
      <c r="BHV67" s="242"/>
      <c r="BHW67" s="245"/>
      <c r="BHX67" s="242"/>
      <c r="BHY67" s="242"/>
      <c r="BHZ67" s="242"/>
      <c r="BIA67" s="242"/>
      <c r="BIB67" s="242"/>
      <c r="BIC67" s="244"/>
      <c r="BID67" s="242"/>
      <c r="BIE67" s="242"/>
      <c r="BIF67" s="242"/>
      <c r="BIG67" s="242"/>
      <c r="BIH67" s="242"/>
      <c r="BII67" s="245"/>
      <c r="BIJ67" s="242"/>
      <c r="BIK67" s="242"/>
      <c r="BIL67" s="242"/>
      <c r="BIM67" s="242"/>
      <c r="BIN67" s="242"/>
      <c r="BIO67" s="244"/>
      <c r="BIP67" s="242"/>
      <c r="BIQ67" s="242"/>
      <c r="BIR67" s="242"/>
      <c r="BIS67" s="242"/>
      <c r="BIT67" s="242"/>
      <c r="BIU67" s="245"/>
      <c r="BIV67" s="242"/>
      <c r="BIW67" s="242"/>
      <c r="BIX67" s="242"/>
      <c r="BIY67" s="242"/>
      <c r="BIZ67" s="242"/>
      <c r="BJA67" s="244"/>
      <c r="BJB67" s="242"/>
      <c r="BJC67" s="242"/>
      <c r="BJD67" s="242"/>
      <c r="BJE67" s="242"/>
      <c r="BJF67" s="242"/>
      <c r="BJG67" s="245"/>
      <c r="BJH67" s="242"/>
      <c r="BJI67" s="242"/>
      <c r="BJJ67" s="242"/>
      <c r="BJK67" s="242"/>
      <c r="BJL67" s="242"/>
      <c r="BJM67" s="246"/>
      <c r="BJN67" s="233"/>
      <c r="BJO67" s="234"/>
      <c r="BJP67" s="234"/>
      <c r="BJQ67" s="234"/>
      <c r="BJR67" s="234"/>
      <c r="BJS67" s="234"/>
      <c r="BJT67" s="234"/>
      <c r="BJU67" s="234"/>
      <c r="BJV67" s="234"/>
      <c r="BJW67" s="234"/>
      <c r="BJX67" s="234"/>
      <c r="BJY67" s="234"/>
      <c r="BJZ67" s="234"/>
      <c r="BKA67" s="234"/>
      <c r="BKB67" s="234"/>
      <c r="BKC67" s="234"/>
      <c r="BKD67" s="234"/>
      <c r="BKE67" s="234"/>
      <c r="BKF67" s="234"/>
      <c r="BKG67" s="234"/>
      <c r="BKH67" s="234"/>
      <c r="BKI67" s="234"/>
      <c r="BKJ67" s="234"/>
      <c r="BKK67" s="234"/>
      <c r="BKL67" s="234"/>
      <c r="BKM67" s="234"/>
      <c r="BKN67" s="234"/>
    </row>
    <row r="68" spans="1:1652" ht="20.100000000000001" customHeight="1" x14ac:dyDescent="0.25">
      <c r="A68" s="84" t="s">
        <v>20</v>
      </c>
      <c r="B68" s="53"/>
      <c r="C68" s="178"/>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174"/>
      <c r="BJO68" s="4"/>
      <c r="BJP68" s="4"/>
      <c r="BJQ68" s="4"/>
      <c r="BJR68" s="4"/>
      <c r="BJS68" s="4"/>
      <c r="BJT68" s="4"/>
      <c r="BJU68" s="4"/>
      <c r="BJV68" s="4"/>
      <c r="BJW68" s="4"/>
      <c r="BJX68" s="4"/>
      <c r="BJY68" s="4"/>
      <c r="BJZ68" s="4"/>
      <c r="BKA68" s="4"/>
      <c r="BKB68" s="4"/>
      <c r="BKC68" s="4"/>
      <c r="BKD68" s="4"/>
      <c r="BKE68" s="4"/>
      <c r="BKF68" s="4"/>
      <c r="BKG68" s="4"/>
      <c r="BKH68" s="4"/>
      <c r="BKI68" s="4"/>
      <c r="BKJ68" s="4"/>
      <c r="BKK68" s="4"/>
      <c r="BKL68" s="4"/>
      <c r="BKM68" s="4"/>
      <c r="BKN68" s="4"/>
    </row>
    <row r="69" spans="1:1652" ht="20.100000000000001" customHeight="1" x14ac:dyDescent="0.25">
      <c r="A69" s="84" t="s">
        <v>19</v>
      </c>
      <c r="B69" s="53"/>
      <c r="C69" s="177"/>
      <c r="D69" s="129" t="str">
        <f t="shared" si="0"/>
        <v>0h</v>
      </c>
      <c r="E69" s="26">
        <v>0</v>
      </c>
      <c r="F69" s="235"/>
      <c r="G69" s="236"/>
      <c r="H69" s="236"/>
      <c r="I69" s="236"/>
      <c r="J69" s="236"/>
      <c r="K69" s="237"/>
      <c r="L69" s="236"/>
      <c r="M69" s="236"/>
      <c r="N69" s="236"/>
      <c r="O69" s="236"/>
      <c r="P69" s="236"/>
      <c r="Q69" s="238"/>
      <c r="R69" s="236"/>
      <c r="S69" s="236"/>
      <c r="T69" s="236"/>
      <c r="U69" s="236"/>
      <c r="V69" s="236"/>
      <c r="W69" s="239"/>
      <c r="X69" s="236"/>
      <c r="Y69" s="236"/>
      <c r="Z69" s="236"/>
      <c r="AA69" s="236"/>
      <c r="AB69" s="236"/>
      <c r="AC69" s="238"/>
      <c r="AD69" s="236"/>
      <c r="AE69" s="236"/>
      <c r="AF69" s="236"/>
      <c r="AG69" s="236"/>
      <c r="AH69" s="236"/>
      <c r="AI69" s="239"/>
      <c r="AJ69" s="236"/>
      <c r="AK69" s="236"/>
      <c r="AL69" s="236"/>
      <c r="AM69" s="236"/>
      <c r="AN69" s="236"/>
      <c r="AO69" s="238"/>
      <c r="AP69" s="236"/>
      <c r="AQ69" s="236"/>
      <c r="AR69" s="236"/>
      <c r="AS69" s="236"/>
      <c r="AT69" s="236"/>
      <c r="AU69" s="239"/>
      <c r="AV69" s="236"/>
      <c r="AW69" s="236"/>
      <c r="AX69" s="236"/>
      <c r="AY69" s="236"/>
      <c r="AZ69" s="236"/>
      <c r="BA69" s="238"/>
      <c r="BB69" s="236"/>
      <c r="BC69" s="236"/>
      <c r="BD69" s="236"/>
      <c r="BE69" s="236"/>
      <c r="BF69" s="236"/>
      <c r="BG69" s="239"/>
      <c r="BH69" s="236"/>
      <c r="BI69" s="236"/>
      <c r="BJ69" s="236"/>
      <c r="BK69" s="236"/>
      <c r="BL69" s="236"/>
      <c r="BM69" s="240"/>
      <c r="BN69" s="235"/>
      <c r="BO69" s="236"/>
      <c r="BP69" s="236"/>
      <c r="BQ69" s="236"/>
      <c r="BR69" s="236"/>
      <c r="BS69" s="237"/>
      <c r="BT69" s="236"/>
      <c r="BU69" s="236"/>
      <c r="BV69" s="236"/>
      <c r="BW69" s="236"/>
      <c r="BX69" s="236"/>
      <c r="BY69" s="238"/>
      <c r="BZ69" s="236"/>
      <c r="CA69" s="236"/>
      <c r="CB69" s="236"/>
      <c r="CC69" s="236"/>
      <c r="CD69" s="236"/>
      <c r="CE69" s="239"/>
      <c r="CF69" s="236"/>
      <c r="CG69" s="236"/>
      <c r="CH69" s="236"/>
      <c r="CI69" s="236"/>
      <c r="CJ69" s="236"/>
      <c r="CK69" s="238"/>
      <c r="CL69" s="236"/>
      <c r="CM69" s="236"/>
      <c r="CN69" s="236"/>
      <c r="CO69" s="236"/>
      <c r="CP69" s="236"/>
      <c r="CQ69" s="239"/>
      <c r="CR69" s="236"/>
      <c r="CS69" s="236"/>
      <c r="CT69" s="236"/>
      <c r="CU69" s="236"/>
      <c r="CV69" s="236"/>
      <c r="CW69" s="238"/>
      <c r="CX69" s="236"/>
      <c r="CY69" s="236"/>
      <c r="CZ69" s="236"/>
      <c r="DA69" s="236"/>
      <c r="DB69" s="236"/>
      <c r="DC69" s="239"/>
      <c r="DD69" s="236"/>
      <c r="DE69" s="236"/>
      <c r="DF69" s="236"/>
      <c r="DG69" s="236"/>
      <c r="DH69" s="236"/>
      <c r="DI69" s="238"/>
      <c r="DJ69" s="236"/>
      <c r="DK69" s="236"/>
      <c r="DL69" s="236"/>
      <c r="DM69" s="236"/>
      <c r="DN69" s="236"/>
      <c r="DO69" s="239"/>
      <c r="DP69" s="236"/>
      <c r="DQ69" s="236"/>
      <c r="DR69" s="236"/>
      <c r="DS69" s="236"/>
      <c r="DT69" s="236"/>
      <c r="DU69" s="240"/>
      <c r="DV69" s="235"/>
      <c r="DW69" s="236"/>
      <c r="DX69" s="236"/>
      <c r="DY69" s="236"/>
      <c r="DZ69" s="236"/>
      <c r="EA69" s="237"/>
      <c r="EB69" s="236"/>
      <c r="EC69" s="236"/>
      <c r="ED69" s="236"/>
      <c r="EE69" s="236"/>
      <c r="EF69" s="236"/>
      <c r="EG69" s="238"/>
      <c r="EH69" s="236"/>
      <c r="EI69" s="236"/>
      <c r="EJ69" s="236"/>
      <c r="EK69" s="236"/>
      <c r="EL69" s="236"/>
      <c r="EM69" s="239"/>
      <c r="EN69" s="236"/>
      <c r="EO69" s="236"/>
      <c r="EP69" s="236"/>
      <c r="EQ69" s="236"/>
      <c r="ER69" s="236"/>
      <c r="ES69" s="238"/>
      <c r="ET69" s="236"/>
      <c r="EU69" s="236"/>
      <c r="EV69" s="236"/>
      <c r="EW69" s="236"/>
      <c r="EX69" s="236"/>
      <c r="EY69" s="239"/>
      <c r="EZ69" s="236"/>
      <c r="FA69" s="236"/>
      <c r="FB69" s="236"/>
      <c r="FC69" s="236"/>
      <c r="FD69" s="236"/>
      <c r="FE69" s="238"/>
      <c r="FF69" s="236"/>
      <c r="FG69" s="236"/>
      <c r="FH69" s="236"/>
      <c r="FI69" s="236"/>
      <c r="FJ69" s="236"/>
      <c r="FK69" s="239"/>
      <c r="FL69" s="236"/>
      <c r="FM69" s="236"/>
      <c r="FN69" s="236"/>
      <c r="FO69" s="236"/>
      <c r="FP69" s="236"/>
      <c r="FQ69" s="238"/>
      <c r="FR69" s="236"/>
      <c r="FS69" s="236"/>
      <c r="FT69" s="236"/>
      <c r="FU69" s="236"/>
      <c r="FV69" s="236"/>
      <c r="FW69" s="239"/>
      <c r="FX69" s="236"/>
      <c r="FY69" s="236"/>
      <c r="FZ69" s="236"/>
      <c r="GA69" s="236"/>
      <c r="GB69" s="236"/>
      <c r="GC69" s="240"/>
      <c r="GD69" s="235"/>
      <c r="GE69" s="236"/>
      <c r="GF69" s="236"/>
      <c r="GG69" s="236"/>
      <c r="GH69" s="236"/>
      <c r="GI69" s="237"/>
      <c r="GJ69" s="236"/>
      <c r="GK69" s="236"/>
      <c r="GL69" s="236"/>
      <c r="GM69" s="236"/>
      <c r="GN69" s="236"/>
      <c r="GO69" s="238"/>
      <c r="GP69" s="236"/>
      <c r="GQ69" s="236"/>
      <c r="GR69" s="236"/>
      <c r="GS69" s="236"/>
      <c r="GT69" s="236"/>
      <c r="GU69" s="239"/>
      <c r="GV69" s="236"/>
      <c r="GW69" s="236"/>
      <c r="GX69" s="236"/>
      <c r="GY69" s="236"/>
      <c r="GZ69" s="236"/>
      <c r="HA69" s="238"/>
      <c r="HB69" s="236"/>
      <c r="HC69" s="236"/>
      <c r="HD69" s="236"/>
      <c r="HE69" s="236"/>
      <c r="HF69" s="236"/>
      <c r="HG69" s="239"/>
      <c r="HH69" s="236"/>
      <c r="HI69" s="236"/>
      <c r="HJ69" s="236"/>
      <c r="HK69" s="236"/>
      <c r="HL69" s="236"/>
      <c r="HM69" s="238"/>
      <c r="HN69" s="236"/>
      <c r="HO69" s="236"/>
      <c r="HP69" s="236"/>
      <c r="HQ69" s="236"/>
      <c r="HR69" s="236"/>
      <c r="HS69" s="239"/>
      <c r="HT69" s="236"/>
      <c r="HU69" s="236"/>
      <c r="HV69" s="236"/>
      <c r="HW69" s="236"/>
      <c r="HX69" s="236"/>
      <c r="HY69" s="238"/>
      <c r="HZ69" s="236"/>
      <c r="IA69" s="236"/>
      <c r="IB69" s="236"/>
      <c r="IC69" s="236"/>
      <c r="ID69" s="236"/>
      <c r="IE69" s="239"/>
      <c r="IF69" s="236"/>
      <c r="IG69" s="236"/>
      <c r="IH69" s="236"/>
      <c r="II69" s="236"/>
      <c r="IJ69" s="236"/>
      <c r="IK69" s="240"/>
      <c r="IL69" s="235"/>
      <c r="IM69" s="236"/>
      <c r="IN69" s="236"/>
      <c r="IO69" s="236"/>
      <c r="IP69" s="236"/>
      <c r="IQ69" s="237"/>
      <c r="IR69" s="236"/>
      <c r="IS69" s="236"/>
      <c r="IT69" s="236"/>
      <c r="IU69" s="236"/>
      <c r="IV69" s="236"/>
      <c r="IW69" s="238"/>
      <c r="IX69" s="236"/>
      <c r="IY69" s="236"/>
      <c r="IZ69" s="236"/>
      <c r="JA69" s="236"/>
      <c r="JB69" s="236"/>
      <c r="JC69" s="239"/>
      <c r="JD69" s="236"/>
      <c r="JE69" s="236"/>
      <c r="JF69" s="236"/>
      <c r="JG69" s="236"/>
      <c r="JH69" s="236"/>
      <c r="JI69" s="238"/>
      <c r="JJ69" s="236"/>
      <c r="JK69" s="236"/>
      <c r="JL69" s="236"/>
      <c r="JM69" s="236"/>
      <c r="JN69" s="236"/>
      <c r="JO69" s="239"/>
      <c r="JP69" s="236"/>
      <c r="JQ69" s="236"/>
      <c r="JR69" s="236"/>
      <c r="JS69" s="236"/>
      <c r="JT69" s="236"/>
      <c r="JU69" s="238"/>
      <c r="JV69" s="236"/>
      <c r="JW69" s="236"/>
      <c r="JX69" s="236"/>
      <c r="JY69" s="236"/>
      <c r="JZ69" s="236"/>
      <c r="KA69" s="239"/>
      <c r="KB69" s="236"/>
      <c r="KC69" s="236"/>
      <c r="KD69" s="236"/>
      <c r="KE69" s="236"/>
      <c r="KF69" s="236"/>
      <c r="KG69" s="238"/>
      <c r="KH69" s="236"/>
      <c r="KI69" s="236"/>
      <c r="KJ69" s="236"/>
      <c r="KK69" s="236"/>
      <c r="KL69" s="236"/>
      <c r="KM69" s="239"/>
      <c r="KN69" s="236"/>
      <c r="KO69" s="236"/>
      <c r="KP69" s="236"/>
      <c r="KQ69" s="236"/>
      <c r="KR69" s="236"/>
      <c r="KS69" s="240"/>
      <c r="KT69" s="235"/>
      <c r="KU69" s="236"/>
      <c r="KV69" s="236"/>
      <c r="KW69" s="236"/>
      <c r="KX69" s="236"/>
      <c r="KY69" s="237"/>
      <c r="KZ69" s="236"/>
      <c r="LA69" s="236"/>
      <c r="LB69" s="236"/>
      <c r="LC69" s="236"/>
      <c r="LD69" s="236"/>
      <c r="LE69" s="238"/>
      <c r="LF69" s="236"/>
      <c r="LG69" s="236"/>
      <c r="LH69" s="236"/>
      <c r="LI69" s="236"/>
      <c r="LJ69" s="236"/>
      <c r="LK69" s="239"/>
      <c r="LL69" s="236"/>
      <c r="LM69" s="236"/>
      <c r="LN69" s="236"/>
      <c r="LO69" s="236"/>
      <c r="LP69" s="236"/>
      <c r="LQ69" s="238"/>
      <c r="LR69" s="236"/>
      <c r="LS69" s="236"/>
      <c r="LT69" s="236"/>
      <c r="LU69" s="236"/>
      <c r="LV69" s="236"/>
      <c r="LW69" s="239"/>
      <c r="LX69" s="236"/>
      <c r="LY69" s="236"/>
      <c r="LZ69" s="236"/>
      <c r="MA69" s="236"/>
      <c r="MB69" s="236"/>
      <c r="MC69" s="238"/>
      <c r="MD69" s="236"/>
      <c r="ME69" s="236"/>
      <c r="MF69" s="236"/>
      <c r="MG69" s="236"/>
      <c r="MH69" s="236"/>
      <c r="MI69" s="239"/>
      <c r="MJ69" s="236"/>
      <c r="MK69" s="236"/>
      <c r="ML69" s="236"/>
      <c r="MM69" s="236"/>
      <c r="MN69" s="236"/>
      <c r="MO69" s="238"/>
      <c r="MP69" s="236"/>
      <c r="MQ69" s="236"/>
      <c r="MR69" s="236"/>
      <c r="MS69" s="236"/>
      <c r="MT69" s="236"/>
      <c r="MU69" s="239"/>
      <c r="MV69" s="236"/>
      <c r="MW69" s="236"/>
      <c r="MX69" s="236"/>
      <c r="MY69" s="236"/>
      <c r="MZ69" s="236"/>
      <c r="NA69" s="240"/>
      <c r="NB69" s="235"/>
      <c r="NC69" s="236"/>
      <c r="ND69" s="236"/>
      <c r="NE69" s="236"/>
      <c r="NF69" s="236"/>
      <c r="NG69" s="237"/>
      <c r="NH69" s="236"/>
      <c r="NI69" s="236"/>
      <c r="NJ69" s="236"/>
      <c r="NK69" s="236"/>
      <c r="NL69" s="236"/>
      <c r="NM69" s="238"/>
      <c r="NN69" s="236"/>
      <c r="NO69" s="236"/>
      <c r="NP69" s="236"/>
      <c r="NQ69" s="236"/>
      <c r="NR69" s="236"/>
      <c r="NS69" s="239"/>
      <c r="NT69" s="236"/>
      <c r="NU69" s="236"/>
      <c r="NV69" s="236"/>
      <c r="NW69" s="236"/>
      <c r="NX69" s="236"/>
      <c r="NY69" s="238"/>
      <c r="NZ69" s="236"/>
      <c r="OA69" s="236"/>
      <c r="OB69" s="236"/>
      <c r="OC69" s="236"/>
      <c r="OD69" s="236"/>
      <c r="OE69" s="239"/>
      <c r="OF69" s="236"/>
      <c r="OG69" s="236"/>
      <c r="OH69" s="236"/>
      <c r="OI69" s="236"/>
      <c r="OJ69" s="236"/>
      <c r="OK69" s="238"/>
      <c r="OL69" s="236"/>
      <c r="OM69" s="236"/>
      <c r="ON69" s="236"/>
      <c r="OO69" s="236"/>
      <c r="OP69" s="236"/>
      <c r="OQ69" s="239"/>
      <c r="OR69" s="236"/>
      <c r="OS69" s="236"/>
      <c r="OT69" s="236"/>
      <c r="OU69" s="236"/>
      <c r="OV69" s="236"/>
      <c r="OW69" s="238"/>
      <c r="OX69" s="236"/>
      <c r="OY69" s="236"/>
      <c r="OZ69" s="236"/>
      <c r="PA69" s="236"/>
      <c r="PB69" s="236"/>
      <c r="PC69" s="239"/>
      <c r="PD69" s="236"/>
      <c r="PE69" s="236"/>
      <c r="PF69" s="236"/>
      <c r="PG69" s="236"/>
      <c r="PH69" s="236"/>
      <c r="PI69" s="240"/>
      <c r="PJ69" s="235"/>
      <c r="PK69" s="236"/>
      <c r="PL69" s="236"/>
      <c r="PM69" s="236"/>
      <c r="PN69" s="236"/>
      <c r="PO69" s="237"/>
      <c r="PP69" s="236"/>
      <c r="PQ69" s="236"/>
      <c r="PR69" s="236"/>
      <c r="PS69" s="236"/>
      <c r="PT69" s="236"/>
      <c r="PU69" s="238"/>
      <c r="PV69" s="236"/>
      <c r="PW69" s="236"/>
      <c r="PX69" s="236"/>
      <c r="PY69" s="236"/>
      <c r="PZ69" s="236"/>
      <c r="QA69" s="239"/>
      <c r="QB69" s="236"/>
      <c r="QC69" s="236"/>
      <c r="QD69" s="236"/>
      <c r="QE69" s="236"/>
      <c r="QF69" s="236"/>
      <c r="QG69" s="238"/>
      <c r="QH69" s="236"/>
      <c r="QI69" s="236"/>
      <c r="QJ69" s="236"/>
      <c r="QK69" s="236"/>
      <c r="QL69" s="236"/>
      <c r="QM69" s="239"/>
      <c r="QN69" s="236"/>
      <c r="QO69" s="236"/>
      <c r="QP69" s="236"/>
      <c r="QQ69" s="236"/>
      <c r="QR69" s="236"/>
      <c r="QS69" s="238"/>
      <c r="QT69" s="236"/>
      <c r="QU69" s="236"/>
      <c r="QV69" s="236"/>
      <c r="QW69" s="236"/>
      <c r="QX69" s="236"/>
      <c r="QY69" s="239"/>
      <c r="QZ69" s="236"/>
      <c r="RA69" s="236"/>
      <c r="RB69" s="236"/>
      <c r="RC69" s="236"/>
      <c r="RD69" s="236"/>
      <c r="RE69" s="238"/>
      <c r="RF69" s="236"/>
      <c r="RG69" s="236"/>
      <c r="RH69" s="236"/>
      <c r="RI69" s="236"/>
      <c r="RJ69" s="236"/>
      <c r="RK69" s="239"/>
      <c r="RL69" s="236"/>
      <c r="RM69" s="236"/>
      <c r="RN69" s="236"/>
      <c r="RO69" s="236"/>
      <c r="RP69" s="236"/>
      <c r="RQ69" s="240"/>
      <c r="RR69" s="235"/>
      <c r="RS69" s="236"/>
      <c r="RT69" s="236"/>
      <c r="RU69" s="236"/>
      <c r="RV69" s="236"/>
      <c r="RW69" s="237"/>
      <c r="RX69" s="236"/>
      <c r="RY69" s="236"/>
      <c r="RZ69" s="236"/>
      <c r="SA69" s="236"/>
      <c r="SB69" s="236"/>
      <c r="SC69" s="238"/>
      <c r="SD69" s="236"/>
      <c r="SE69" s="236"/>
      <c r="SF69" s="236"/>
      <c r="SG69" s="236"/>
      <c r="SH69" s="236"/>
      <c r="SI69" s="239"/>
      <c r="SJ69" s="236"/>
      <c r="SK69" s="236"/>
      <c r="SL69" s="236"/>
      <c r="SM69" s="236"/>
      <c r="SN69" s="236"/>
      <c r="SO69" s="238"/>
      <c r="SP69" s="236"/>
      <c r="SQ69" s="236"/>
      <c r="SR69" s="236"/>
      <c r="SS69" s="236"/>
      <c r="ST69" s="236"/>
      <c r="SU69" s="239"/>
      <c r="SV69" s="236"/>
      <c r="SW69" s="236"/>
      <c r="SX69" s="236"/>
      <c r="SY69" s="236"/>
      <c r="SZ69" s="236"/>
      <c r="TA69" s="238"/>
      <c r="TB69" s="236"/>
      <c r="TC69" s="236"/>
      <c r="TD69" s="236"/>
      <c r="TE69" s="236"/>
      <c r="TF69" s="236"/>
      <c r="TG69" s="239"/>
      <c r="TH69" s="236"/>
      <c r="TI69" s="236"/>
      <c r="TJ69" s="236"/>
      <c r="TK69" s="236"/>
      <c r="TL69" s="236"/>
      <c r="TM69" s="238"/>
      <c r="TN69" s="236"/>
      <c r="TO69" s="236"/>
      <c r="TP69" s="236"/>
      <c r="TQ69" s="236"/>
      <c r="TR69" s="236"/>
      <c r="TS69" s="239"/>
      <c r="TT69" s="236"/>
      <c r="TU69" s="236"/>
      <c r="TV69" s="236"/>
      <c r="TW69" s="236"/>
      <c r="TX69" s="236"/>
      <c r="TY69" s="240"/>
      <c r="TZ69" s="235"/>
      <c r="UA69" s="236"/>
      <c r="UB69" s="236"/>
      <c r="UC69" s="236"/>
      <c r="UD69" s="236"/>
      <c r="UE69" s="237"/>
      <c r="UF69" s="236"/>
      <c r="UG69" s="236"/>
      <c r="UH69" s="236"/>
      <c r="UI69" s="236"/>
      <c r="UJ69" s="236"/>
      <c r="UK69" s="238"/>
      <c r="UL69" s="236"/>
      <c r="UM69" s="236"/>
      <c r="UN69" s="236"/>
      <c r="UO69" s="236"/>
      <c r="UP69" s="236"/>
      <c r="UQ69" s="239"/>
      <c r="UR69" s="236"/>
      <c r="US69" s="236"/>
      <c r="UT69" s="236"/>
      <c r="UU69" s="236"/>
      <c r="UV69" s="236"/>
      <c r="UW69" s="238"/>
      <c r="UX69" s="236"/>
      <c r="UY69" s="236"/>
      <c r="UZ69" s="236"/>
      <c r="VA69" s="236"/>
      <c r="VB69" s="236"/>
      <c r="VC69" s="239"/>
      <c r="VD69" s="236"/>
      <c r="VE69" s="236"/>
      <c r="VF69" s="236"/>
      <c r="VG69" s="236"/>
      <c r="VH69" s="236"/>
      <c r="VI69" s="238"/>
      <c r="VJ69" s="236"/>
      <c r="VK69" s="236"/>
      <c r="VL69" s="236"/>
      <c r="VM69" s="236"/>
      <c r="VN69" s="236"/>
      <c r="VO69" s="239"/>
      <c r="VP69" s="236"/>
      <c r="VQ69" s="236"/>
      <c r="VR69" s="236"/>
      <c r="VS69" s="236"/>
      <c r="VT69" s="236"/>
      <c r="VU69" s="238"/>
      <c r="VV69" s="236"/>
      <c r="VW69" s="236"/>
      <c r="VX69" s="236"/>
      <c r="VY69" s="236"/>
      <c r="VZ69" s="236"/>
      <c r="WA69" s="239"/>
      <c r="WB69" s="236"/>
      <c r="WC69" s="236"/>
      <c r="WD69" s="236"/>
      <c r="WE69" s="236"/>
      <c r="WF69" s="236"/>
      <c r="WG69" s="240"/>
      <c r="WH69" s="235"/>
      <c r="WI69" s="236"/>
      <c r="WJ69" s="236"/>
      <c r="WK69" s="236"/>
      <c r="WL69" s="236"/>
      <c r="WM69" s="237"/>
      <c r="WN69" s="236"/>
      <c r="WO69" s="236"/>
      <c r="WP69" s="236"/>
      <c r="WQ69" s="236"/>
      <c r="WR69" s="236"/>
      <c r="WS69" s="238"/>
      <c r="WT69" s="236"/>
      <c r="WU69" s="236"/>
      <c r="WV69" s="236"/>
      <c r="WW69" s="236"/>
      <c r="WX69" s="236"/>
      <c r="WY69" s="239"/>
      <c r="WZ69" s="236"/>
      <c r="XA69" s="236"/>
      <c r="XB69" s="236"/>
      <c r="XC69" s="236"/>
      <c r="XD69" s="236"/>
      <c r="XE69" s="238"/>
      <c r="XF69" s="236"/>
      <c r="XG69" s="236"/>
      <c r="XH69" s="236"/>
      <c r="XI69" s="236"/>
      <c r="XJ69" s="236"/>
      <c r="XK69" s="239"/>
      <c r="XL69" s="236"/>
      <c r="XM69" s="236"/>
      <c r="XN69" s="236"/>
      <c r="XO69" s="236"/>
      <c r="XP69" s="236"/>
      <c r="XQ69" s="238"/>
      <c r="XR69" s="236"/>
      <c r="XS69" s="236"/>
      <c r="XT69" s="236"/>
      <c r="XU69" s="236"/>
      <c r="XV69" s="236"/>
      <c r="XW69" s="239"/>
      <c r="XX69" s="236"/>
      <c r="XY69" s="236"/>
      <c r="XZ69" s="236"/>
      <c r="YA69" s="236"/>
      <c r="YB69" s="236"/>
      <c r="YC69" s="238"/>
      <c r="YD69" s="236"/>
      <c r="YE69" s="236"/>
      <c r="YF69" s="236"/>
      <c r="YG69" s="236"/>
      <c r="YH69" s="236"/>
      <c r="YI69" s="239"/>
      <c r="YJ69" s="236"/>
      <c r="YK69" s="236"/>
      <c r="YL69" s="236"/>
      <c r="YM69" s="236"/>
      <c r="YN69" s="236"/>
      <c r="YO69" s="240"/>
      <c r="YP69" s="235"/>
      <c r="YQ69" s="236"/>
      <c r="YR69" s="236"/>
      <c r="YS69" s="236"/>
      <c r="YT69" s="236"/>
      <c r="YU69" s="237"/>
      <c r="YV69" s="236"/>
      <c r="YW69" s="236"/>
      <c r="YX69" s="236"/>
      <c r="YY69" s="236"/>
      <c r="YZ69" s="236"/>
      <c r="ZA69" s="238"/>
      <c r="ZB69" s="236"/>
      <c r="ZC69" s="236"/>
      <c r="ZD69" s="236"/>
      <c r="ZE69" s="236"/>
      <c r="ZF69" s="236"/>
      <c r="ZG69" s="239"/>
      <c r="ZH69" s="236"/>
      <c r="ZI69" s="236"/>
      <c r="ZJ69" s="236"/>
      <c r="ZK69" s="236"/>
      <c r="ZL69" s="236"/>
      <c r="ZM69" s="238"/>
      <c r="ZN69" s="236"/>
      <c r="ZO69" s="236"/>
      <c r="ZP69" s="236"/>
      <c r="ZQ69" s="236"/>
      <c r="ZR69" s="236"/>
      <c r="ZS69" s="239"/>
      <c r="ZT69" s="236"/>
      <c r="ZU69" s="236"/>
      <c r="ZV69" s="236"/>
      <c r="ZW69" s="236"/>
      <c r="ZX69" s="236"/>
      <c r="ZY69" s="238"/>
      <c r="ZZ69" s="236"/>
      <c r="AAA69" s="236"/>
      <c r="AAB69" s="236"/>
      <c r="AAC69" s="236"/>
      <c r="AAD69" s="236"/>
      <c r="AAE69" s="239"/>
      <c r="AAF69" s="236"/>
      <c r="AAG69" s="236"/>
      <c r="AAH69" s="236"/>
      <c r="AAI69" s="236"/>
      <c r="AAJ69" s="236"/>
      <c r="AAK69" s="238"/>
      <c r="AAL69" s="236"/>
      <c r="AAM69" s="236"/>
      <c r="AAN69" s="236"/>
      <c r="AAO69" s="236"/>
      <c r="AAP69" s="236"/>
      <c r="AAQ69" s="239"/>
      <c r="AAR69" s="236"/>
      <c r="AAS69" s="236"/>
      <c r="AAT69" s="236"/>
      <c r="AAU69" s="236"/>
      <c r="AAV69" s="236"/>
      <c r="AAW69" s="240"/>
      <c r="AAX69" s="235"/>
      <c r="AAY69" s="236"/>
      <c r="AAZ69" s="236"/>
      <c r="ABA69" s="236"/>
      <c r="ABB69" s="236"/>
      <c r="ABC69" s="237"/>
      <c r="ABD69" s="236"/>
      <c r="ABE69" s="236"/>
      <c r="ABF69" s="236"/>
      <c r="ABG69" s="236"/>
      <c r="ABH69" s="236"/>
      <c r="ABI69" s="238"/>
      <c r="ABJ69" s="236"/>
      <c r="ABK69" s="236"/>
      <c r="ABL69" s="236"/>
      <c r="ABM69" s="236"/>
      <c r="ABN69" s="236"/>
      <c r="ABO69" s="239"/>
      <c r="ABP69" s="236"/>
      <c r="ABQ69" s="236"/>
      <c r="ABR69" s="236"/>
      <c r="ABS69" s="236"/>
      <c r="ABT69" s="236"/>
      <c r="ABU69" s="238"/>
      <c r="ABV69" s="236"/>
      <c r="ABW69" s="236"/>
      <c r="ABX69" s="236"/>
      <c r="ABY69" s="236"/>
      <c r="ABZ69" s="236"/>
      <c r="ACA69" s="239"/>
      <c r="ACB69" s="236"/>
      <c r="ACC69" s="236"/>
      <c r="ACD69" s="236"/>
      <c r="ACE69" s="236"/>
      <c r="ACF69" s="236"/>
      <c r="ACG69" s="238"/>
      <c r="ACH69" s="236"/>
      <c r="ACI69" s="236"/>
      <c r="ACJ69" s="236"/>
      <c r="ACK69" s="236"/>
      <c r="ACL69" s="236"/>
      <c r="ACM69" s="239"/>
      <c r="ACN69" s="236"/>
      <c r="ACO69" s="236"/>
      <c r="ACP69" s="236"/>
      <c r="ACQ69" s="236"/>
      <c r="ACR69" s="236"/>
      <c r="ACS69" s="238"/>
      <c r="ACT69" s="236"/>
      <c r="ACU69" s="236"/>
      <c r="ACV69" s="236"/>
      <c r="ACW69" s="236"/>
      <c r="ACX69" s="236"/>
      <c r="ACY69" s="239"/>
      <c r="ACZ69" s="236"/>
      <c r="ADA69" s="236"/>
      <c r="ADB69" s="236"/>
      <c r="ADC69" s="236"/>
      <c r="ADD69" s="236"/>
      <c r="ADE69" s="240"/>
      <c r="ADF69" s="235"/>
      <c r="ADG69" s="236"/>
      <c r="ADH69" s="236"/>
      <c r="ADI69" s="236"/>
      <c r="ADJ69" s="236"/>
      <c r="ADK69" s="237"/>
      <c r="ADL69" s="236"/>
      <c r="ADM69" s="236"/>
      <c r="ADN69" s="236"/>
      <c r="ADO69" s="236"/>
      <c r="ADP69" s="236"/>
      <c r="ADQ69" s="238"/>
      <c r="ADR69" s="236"/>
      <c r="ADS69" s="236"/>
      <c r="ADT69" s="236"/>
      <c r="ADU69" s="236"/>
      <c r="ADV69" s="236"/>
      <c r="ADW69" s="239"/>
      <c r="ADX69" s="236"/>
      <c r="ADY69" s="236"/>
      <c r="ADZ69" s="236"/>
      <c r="AEA69" s="236"/>
      <c r="AEB69" s="236"/>
      <c r="AEC69" s="238"/>
      <c r="AED69" s="236"/>
      <c r="AEE69" s="236"/>
      <c r="AEF69" s="236"/>
      <c r="AEG69" s="236"/>
      <c r="AEH69" s="236"/>
      <c r="AEI69" s="239"/>
      <c r="AEJ69" s="236"/>
      <c r="AEK69" s="236"/>
      <c r="AEL69" s="236"/>
      <c r="AEM69" s="236"/>
      <c r="AEN69" s="236"/>
      <c r="AEO69" s="238"/>
      <c r="AEP69" s="236"/>
      <c r="AEQ69" s="236"/>
      <c r="AER69" s="236"/>
      <c r="AES69" s="236"/>
      <c r="AET69" s="236"/>
      <c r="AEU69" s="239"/>
      <c r="AEV69" s="236"/>
      <c r="AEW69" s="236"/>
      <c r="AEX69" s="236"/>
      <c r="AEY69" s="236"/>
      <c r="AEZ69" s="236"/>
      <c r="AFA69" s="238"/>
      <c r="AFB69" s="236"/>
      <c r="AFC69" s="236"/>
      <c r="AFD69" s="236"/>
      <c r="AFE69" s="236"/>
      <c r="AFF69" s="236"/>
      <c r="AFG69" s="239"/>
      <c r="AFH69" s="236"/>
      <c r="AFI69" s="236"/>
      <c r="AFJ69" s="236"/>
      <c r="AFK69" s="236"/>
      <c r="AFL69" s="236"/>
      <c r="AFM69" s="240"/>
      <c r="AFN69" s="235"/>
      <c r="AFO69" s="236"/>
      <c r="AFP69" s="236"/>
      <c r="AFQ69" s="236"/>
      <c r="AFR69" s="236"/>
      <c r="AFS69" s="237"/>
      <c r="AFT69" s="236"/>
      <c r="AFU69" s="236"/>
      <c r="AFV69" s="236"/>
      <c r="AFW69" s="236"/>
      <c r="AFX69" s="236"/>
      <c r="AFY69" s="238"/>
      <c r="AFZ69" s="236"/>
      <c r="AGA69" s="236"/>
      <c r="AGB69" s="236"/>
      <c r="AGC69" s="236"/>
      <c r="AGD69" s="236"/>
      <c r="AGE69" s="239"/>
      <c r="AGF69" s="236"/>
      <c r="AGG69" s="236"/>
      <c r="AGH69" s="236"/>
      <c r="AGI69" s="236"/>
      <c r="AGJ69" s="236"/>
      <c r="AGK69" s="238"/>
      <c r="AGL69" s="236"/>
      <c r="AGM69" s="236"/>
      <c r="AGN69" s="236"/>
      <c r="AGO69" s="236"/>
      <c r="AGP69" s="236"/>
      <c r="AGQ69" s="239"/>
      <c r="AGR69" s="236"/>
      <c r="AGS69" s="236"/>
      <c r="AGT69" s="236"/>
      <c r="AGU69" s="236"/>
      <c r="AGV69" s="236"/>
      <c r="AGW69" s="238"/>
      <c r="AGX69" s="236"/>
      <c r="AGY69" s="236"/>
      <c r="AGZ69" s="236"/>
      <c r="AHA69" s="236"/>
      <c r="AHB69" s="236"/>
      <c r="AHC69" s="239"/>
      <c r="AHD69" s="236"/>
      <c r="AHE69" s="236"/>
      <c r="AHF69" s="236"/>
      <c r="AHG69" s="236"/>
      <c r="AHH69" s="236"/>
      <c r="AHI69" s="238"/>
      <c r="AHJ69" s="236"/>
      <c r="AHK69" s="236"/>
      <c r="AHL69" s="236"/>
      <c r="AHM69" s="236"/>
      <c r="AHN69" s="236"/>
      <c r="AHO69" s="239"/>
      <c r="AHP69" s="236"/>
      <c r="AHQ69" s="236"/>
      <c r="AHR69" s="236"/>
      <c r="AHS69" s="236"/>
      <c r="AHT69" s="236"/>
      <c r="AHU69" s="240"/>
      <c r="AHV69" s="235"/>
      <c r="AHW69" s="236"/>
      <c r="AHX69" s="236"/>
      <c r="AHY69" s="236"/>
      <c r="AHZ69" s="236"/>
      <c r="AIA69" s="237"/>
      <c r="AIB69" s="236"/>
      <c r="AIC69" s="236"/>
      <c r="AID69" s="236"/>
      <c r="AIE69" s="236"/>
      <c r="AIF69" s="236"/>
      <c r="AIG69" s="238"/>
      <c r="AIH69" s="236"/>
      <c r="AII69" s="236"/>
      <c r="AIJ69" s="236"/>
      <c r="AIK69" s="236"/>
      <c r="AIL69" s="236"/>
      <c r="AIM69" s="239"/>
      <c r="AIN69" s="236"/>
      <c r="AIO69" s="236"/>
      <c r="AIP69" s="236"/>
      <c r="AIQ69" s="236"/>
      <c r="AIR69" s="236"/>
      <c r="AIS69" s="238"/>
      <c r="AIT69" s="236"/>
      <c r="AIU69" s="236"/>
      <c r="AIV69" s="236"/>
      <c r="AIW69" s="236"/>
      <c r="AIX69" s="236"/>
      <c r="AIY69" s="239"/>
      <c r="AIZ69" s="236"/>
      <c r="AJA69" s="236"/>
      <c r="AJB69" s="236"/>
      <c r="AJC69" s="236"/>
      <c r="AJD69" s="236"/>
      <c r="AJE69" s="238"/>
      <c r="AJF69" s="236"/>
      <c r="AJG69" s="236"/>
      <c r="AJH69" s="236"/>
      <c r="AJI69" s="236"/>
      <c r="AJJ69" s="236"/>
      <c r="AJK69" s="239"/>
      <c r="AJL69" s="236"/>
      <c r="AJM69" s="236"/>
      <c r="AJN69" s="236"/>
      <c r="AJO69" s="236"/>
      <c r="AJP69" s="236"/>
      <c r="AJQ69" s="238"/>
      <c r="AJR69" s="236"/>
      <c r="AJS69" s="236"/>
      <c r="AJT69" s="236"/>
      <c r="AJU69" s="236"/>
      <c r="AJV69" s="236"/>
      <c r="AJW69" s="239"/>
      <c r="AJX69" s="236"/>
      <c r="AJY69" s="236"/>
      <c r="AJZ69" s="236"/>
      <c r="AKA69" s="236"/>
      <c r="AKB69" s="236"/>
      <c r="AKC69" s="240"/>
      <c r="AKD69" s="235"/>
      <c r="AKE69" s="236"/>
      <c r="AKF69" s="236"/>
      <c r="AKG69" s="236"/>
      <c r="AKH69" s="236"/>
      <c r="AKI69" s="237"/>
      <c r="AKJ69" s="236"/>
      <c r="AKK69" s="236"/>
      <c r="AKL69" s="236"/>
      <c r="AKM69" s="236"/>
      <c r="AKN69" s="236"/>
      <c r="AKO69" s="238"/>
      <c r="AKP69" s="236"/>
      <c r="AKQ69" s="236"/>
      <c r="AKR69" s="236"/>
      <c r="AKS69" s="236"/>
      <c r="AKT69" s="236"/>
      <c r="AKU69" s="239"/>
      <c r="AKV69" s="236"/>
      <c r="AKW69" s="236"/>
      <c r="AKX69" s="236"/>
      <c r="AKY69" s="236"/>
      <c r="AKZ69" s="236"/>
      <c r="ALA69" s="238"/>
      <c r="ALB69" s="236"/>
      <c r="ALC69" s="236"/>
      <c r="ALD69" s="236"/>
      <c r="ALE69" s="236"/>
      <c r="ALF69" s="236"/>
      <c r="ALG69" s="239"/>
      <c r="ALH69" s="236"/>
      <c r="ALI69" s="236"/>
      <c r="ALJ69" s="236"/>
      <c r="ALK69" s="236"/>
      <c r="ALL69" s="236"/>
      <c r="ALM69" s="238"/>
      <c r="ALN69" s="236"/>
      <c r="ALO69" s="236"/>
      <c r="ALP69" s="236"/>
      <c r="ALQ69" s="236"/>
      <c r="ALR69" s="236"/>
      <c r="ALS69" s="239"/>
      <c r="ALT69" s="236"/>
      <c r="ALU69" s="236"/>
      <c r="ALV69" s="236"/>
      <c r="ALW69" s="236"/>
      <c r="ALX69" s="236"/>
      <c r="ALY69" s="238"/>
      <c r="ALZ69" s="236"/>
      <c r="AMA69" s="236"/>
      <c r="AMB69" s="236"/>
      <c r="AMC69" s="236"/>
      <c r="AMD69" s="236"/>
      <c r="AME69" s="239"/>
      <c r="AMF69" s="236"/>
      <c r="AMG69" s="236"/>
      <c r="AMH69" s="236"/>
      <c r="AMI69" s="236"/>
      <c r="AMJ69" s="236"/>
      <c r="AMK69" s="240"/>
      <c r="AML69" s="235"/>
      <c r="AMM69" s="236"/>
      <c r="AMN69" s="236"/>
      <c r="AMO69" s="236"/>
      <c r="AMP69" s="236"/>
      <c r="AMQ69" s="237"/>
      <c r="AMR69" s="236"/>
      <c r="AMS69" s="236"/>
      <c r="AMT69" s="236"/>
      <c r="AMU69" s="236"/>
      <c r="AMV69" s="236"/>
      <c r="AMW69" s="238"/>
      <c r="AMX69" s="236"/>
      <c r="AMY69" s="236"/>
      <c r="AMZ69" s="236"/>
      <c r="ANA69" s="236"/>
      <c r="ANB69" s="236"/>
      <c r="ANC69" s="239"/>
      <c r="AND69" s="236"/>
      <c r="ANE69" s="236"/>
      <c r="ANF69" s="236"/>
      <c r="ANG69" s="236"/>
      <c r="ANH69" s="236"/>
      <c r="ANI69" s="238"/>
      <c r="ANJ69" s="236"/>
      <c r="ANK69" s="236"/>
      <c r="ANL69" s="236"/>
      <c r="ANM69" s="236"/>
      <c r="ANN69" s="236"/>
      <c r="ANO69" s="239"/>
      <c r="ANP69" s="236"/>
      <c r="ANQ69" s="236"/>
      <c r="ANR69" s="236"/>
      <c r="ANS69" s="236"/>
      <c r="ANT69" s="236"/>
      <c r="ANU69" s="238"/>
      <c r="ANV69" s="236"/>
      <c r="ANW69" s="236"/>
      <c r="ANX69" s="236"/>
      <c r="ANY69" s="236"/>
      <c r="ANZ69" s="236"/>
      <c r="AOA69" s="239"/>
      <c r="AOB69" s="236"/>
      <c r="AOC69" s="236"/>
      <c r="AOD69" s="236"/>
      <c r="AOE69" s="236"/>
      <c r="AOF69" s="236"/>
      <c r="AOG69" s="238"/>
      <c r="AOH69" s="236"/>
      <c r="AOI69" s="236"/>
      <c r="AOJ69" s="236"/>
      <c r="AOK69" s="236"/>
      <c r="AOL69" s="236"/>
      <c r="AOM69" s="239"/>
      <c r="AON69" s="236"/>
      <c r="AOO69" s="236"/>
      <c r="AOP69" s="236"/>
      <c r="AOQ69" s="236"/>
      <c r="AOR69" s="236"/>
      <c r="AOS69" s="240"/>
      <c r="AOT69" s="235"/>
      <c r="AOU69" s="236"/>
      <c r="AOV69" s="236"/>
      <c r="AOW69" s="236"/>
      <c r="AOX69" s="236"/>
      <c r="AOY69" s="237"/>
      <c r="AOZ69" s="236"/>
      <c r="APA69" s="236"/>
      <c r="APB69" s="236"/>
      <c r="APC69" s="236"/>
      <c r="APD69" s="236"/>
      <c r="APE69" s="238"/>
      <c r="APF69" s="236"/>
      <c r="APG69" s="236"/>
      <c r="APH69" s="236"/>
      <c r="API69" s="236"/>
      <c r="APJ69" s="236"/>
      <c r="APK69" s="239"/>
      <c r="APL69" s="236"/>
      <c r="APM69" s="236"/>
      <c r="APN69" s="236"/>
      <c r="APO69" s="236"/>
      <c r="APP69" s="236"/>
      <c r="APQ69" s="238"/>
      <c r="APR69" s="236"/>
      <c r="APS69" s="236"/>
      <c r="APT69" s="236"/>
      <c r="APU69" s="236"/>
      <c r="APV69" s="236"/>
      <c r="APW69" s="239"/>
      <c r="APX69" s="236"/>
      <c r="APY69" s="236"/>
      <c r="APZ69" s="236"/>
      <c r="AQA69" s="236"/>
      <c r="AQB69" s="236"/>
      <c r="AQC69" s="238"/>
      <c r="AQD69" s="236"/>
      <c r="AQE69" s="236"/>
      <c r="AQF69" s="236"/>
      <c r="AQG69" s="236"/>
      <c r="AQH69" s="236"/>
      <c r="AQI69" s="239"/>
      <c r="AQJ69" s="236"/>
      <c r="AQK69" s="236"/>
      <c r="AQL69" s="236"/>
      <c r="AQM69" s="236"/>
      <c r="AQN69" s="236"/>
      <c r="AQO69" s="238"/>
      <c r="AQP69" s="236"/>
      <c r="AQQ69" s="236"/>
      <c r="AQR69" s="236"/>
      <c r="AQS69" s="236"/>
      <c r="AQT69" s="236"/>
      <c r="AQU69" s="239"/>
      <c r="AQV69" s="236"/>
      <c r="AQW69" s="236"/>
      <c r="AQX69" s="236"/>
      <c r="AQY69" s="236"/>
      <c r="AQZ69" s="236"/>
      <c r="ARA69" s="240"/>
      <c r="ARB69" s="235"/>
      <c r="ARC69" s="236"/>
      <c r="ARD69" s="236"/>
      <c r="ARE69" s="236"/>
      <c r="ARF69" s="236"/>
      <c r="ARG69" s="237"/>
      <c r="ARH69" s="236"/>
      <c r="ARI69" s="236"/>
      <c r="ARJ69" s="236"/>
      <c r="ARK69" s="236"/>
      <c r="ARL69" s="236"/>
      <c r="ARM69" s="238"/>
      <c r="ARN69" s="236"/>
      <c r="ARO69" s="236"/>
      <c r="ARP69" s="236"/>
      <c r="ARQ69" s="236"/>
      <c r="ARR69" s="236"/>
      <c r="ARS69" s="239"/>
      <c r="ART69" s="236"/>
      <c r="ARU69" s="236"/>
      <c r="ARV69" s="236"/>
      <c r="ARW69" s="236"/>
      <c r="ARX69" s="236"/>
      <c r="ARY69" s="238"/>
      <c r="ARZ69" s="236"/>
      <c r="ASA69" s="236"/>
      <c r="ASB69" s="236"/>
      <c r="ASC69" s="236"/>
      <c r="ASD69" s="236"/>
      <c r="ASE69" s="239"/>
      <c r="ASF69" s="236"/>
      <c r="ASG69" s="236"/>
      <c r="ASH69" s="236"/>
      <c r="ASI69" s="236"/>
      <c r="ASJ69" s="236"/>
      <c r="ASK69" s="238"/>
      <c r="ASL69" s="236"/>
      <c r="ASM69" s="236"/>
      <c r="ASN69" s="236"/>
      <c r="ASO69" s="236"/>
      <c r="ASP69" s="236"/>
      <c r="ASQ69" s="239"/>
      <c r="ASR69" s="236"/>
      <c r="ASS69" s="236"/>
      <c r="AST69" s="236"/>
      <c r="ASU69" s="236"/>
      <c r="ASV69" s="236"/>
      <c r="ASW69" s="238"/>
      <c r="ASX69" s="236"/>
      <c r="ASY69" s="236"/>
      <c r="ASZ69" s="236"/>
      <c r="ATA69" s="236"/>
      <c r="ATB69" s="236"/>
      <c r="ATC69" s="239"/>
      <c r="ATD69" s="236"/>
      <c r="ATE69" s="236"/>
      <c r="ATF69" s="236"/>
      <c r="ATG69" s="236"/>
      <c r="ATH69" s="236"/>
      <c r="ATI69" s="240"/>
      <c r="ATJ69" s="235"/>
      <c r="ATK69" s="236"/>
      <c r="ATL69" s="236"/>
      <c r="ATM69" s="236"/>
      <c r="ATN69" s="236"/>
      <c r="ATO69" s="237"/>
      <c r="ATP69" s="236"/>
      <c r="ATQ69" s="236"/>
      <c r="ATR69" s="236"/>
      <c r="ATS69" s="236"/>
      <c r="ATT69" s="236"/>
      <c r="ATU69" s="238"/>
      <c r="ATV69" s="236"/>
      <c r="ATW69" s="236"/>
      <c r="ATX69" s="236"/>
      <c r="ATY69" s="236"/>
      <c r="ATZ69" s="236"/>
      <c r="AUA69" s="239"/>
      <c r="AUB69" s="236"/>
      <c r="AUC69" s="236"/>
      <c r="AUD69" s="236"/>
      <c r="AUE69" s="236"/>
      <c r="AUF69" s="236"/>
      <c r="AUG69" s="238"/>
      <c r="AUH69" s="236"/>
      <c r="AUI69" s="236"/>
      <c r="AUJ69" s="236"/>
      <c r="AUK69" s="236"/>
      <c r="AUL69" s="236"/>
      <c r="AUM69" s="239"/>
      <c r="AUN69" s="236"/>
      <c r="AUO69" s="236"/>
      <c r="AUP69" s="236"/>
      <c r="AUQ69" s="236"/>
      <c r="AUR69" s="236"/>
      <c r="AUS69" s="238"/>
      <c r="AUT69" s="236"/>
      <c r="AUU69" s="236"/>
      <c r="AUV69" s="236"/>
      <c r="AUW69" s="236"/>
      <c r="AUX69" s="236"/>
      <c r="AUY69" s="239"/>
      <c r="AUZ69" s="236"/>
      <c r="AVA69" s="236"/>
      <c r="AVB69" s="236"/>
      <c r="AVC69" s="236"/>
      <c r="AVD69" s="236"/>
      <c r="AVE69" s="238"/>
      <c r="AVF69" s="236"/>
      <c r="AVG69" s="236"/>
      <c r="AVH69" s="236"/>
      <c r="AVI69" s="236"/>
      <c r="AVJ69" s="236"/>
      <c r="AVK69" s="239"/>
      <c r="AVL69" s="236"/>
      <c r="AVM69" s="236"/>
      <c r="AVN69" s="236"/>
      <c r="AVO69" s="236"/>
      <c r="AVP69" s="236"/>
      <c r="AVQ69" s="240"/>
      <c r="AVR69" s="235"/>
      <c r="AVS69" s="236"/>
      <c r="AVT69" s="236"/>
      <c r="AVU69" s="236"/>
      <c r="AVV69" s="236"/>
      <c r="AVW69" s="237"/>
      <c r="AVX69" s="236"/>
      <c r="AVY69" s="236"/>
      <c r="AVZ69" s="236"/>
      <c r="AWA69" s="236"/>
      <c r="AWB69" s="236"/>
      <c r="AWC69" s="238"/>
      <c r="AWD69" s="236"/>
      <c r="AWE69" s="236"/>
      <c r="AWF69" s="236"/>
      <c r="AWG69" s="236"/>
      <c r="AWH69" s="236"/>
      <c r="AWI69" s="239"/>
      <c r="AWJ69" s="236"/>
      <c r="AWK69" s="236"/>
      <c r="AWL69" s="236"/>
      <c r="AWM69" s="236"/>
      <c r="AWN69" s="236"/>
      <c r="AWO69" s="238"/>
      <c r="AWP69" s="236"/>
      <c r="AWQ69" s="236"/>
      <c r="AWR69" s="236"/>
      <c r="AWS69" s="236"/>
      <c r="AWT69" s="236"/>
      <c r="AWU69" s="239"/>
      <c r="AWV69" s="236"/>
      <c r="AWW69" s="236"/>
      <c r="AWX69" s="236"/>
      <c r="AWY69" s="236"/>
      <c r="AWZ69" s="236"/>
      <c r="AXA69" s="238"/>
      <c r="AXB69" s="236"/>
      <c r="AXC69" s="236"/>
      <c r="AXD69" s="236"/>
      <c r="AXE69" s="236"/>
      <c r="AXF69" s="236"/>
      <c r="AXG69" s="239"/>
      <c r="AXH69" s="236"/>
      <c r="AXI69" s="236"/>
      <c r="AXJ69" s="236"/>
      <c r="AXK69" s="236"/>
      <c r="AXL69" s="236"/>
      <c r="AXM69" s="238"/>
      <c r="AXN69" s="236"/>
      <c r="AXO69" s="236"/>
      <c r="AXP69" s="236"/>
      <c r="AXQ69" s="236"/>
      <c r="AXR69" s="236"/>
      <c r="AXS69" s="239"/>
      <c r="AXT69" s="236"/>
      <c r="AXU69" s="236"/>
      <c r="AXV69" s="236"/>
      <c r="AXW69" s="236"/>
      <c r="AXX69" s="236"/>
      <c r="AXY69" s="240"/>
      <c r="AXZ69" s="235"/>
      <c r="AYA69" s="236"/>
      <c r="AYB69" s="236"/>
      <c r="AYC69" s="236"/>
      <c r="AYD69" s="236"/>
      <c r="AYE69" s="237"/>
      <c r="AYF69" s="236"/>
      <c r="AYG69" s="236"/>
      <c r="AYH69" s="236"/>
      <c r="AYI69" s="236"/>
      <c r="AYJ69" s="236"/>
      <c r="AYK69" s="238"/>
      <c r="AYL69" s="236"/>
      <c r="AYM69" s="236"/>
      <c r="AYN69" s="236"/>
      <c r="AYO69" s="236"/>
      <c r="AYP69" s="236"/>
      <c r="AYQ69" s="239"/>
      <c r="AYR69" s="236"/>
      <c r="AYS69" s="236"/>
      <c r="AYT69" s="236"/>
      <c r="AYU69" s="236"/>
      <c r="AYV69" s="236"/>
      <c r="AYW69" s="238"/>
      <c r="AYX69" s="236"/>
      <c r="AYY69" s="236"/>
      <c r="AYZ69" s="236"/>
      <c r="AZA69" s="236"/>
      <c r="AZB69" s="236"/>
      <c r="AZC69" s="239"/>
      <c r="AZD69" s="236"/>
      <c r="AZE69" s="236"/>
      <c r="AZF69" s="236"/>
      <c r="AZG69" s="236"/>
      <c r="AZH69" s="236"/>
      <c r="AZI69" s="238"/>
      <c r="AZJ69" s="236"/>
      <c r="AZK69" s="236"/>
      <c r="AZL69" s="236"/>
      <c r="AZM69" s="236"/>
      <c r="AZN69" s="236"/>
      <c r="AZO69" s="239"/>
      <c r="AZP69" s="236"/>
      <c r="AZQ69" s="236"/>
      <c r="AZR69" s="236"/>
      <c r="AZS69" s="236"/>
      <c r="AZT69" s="236"/>
      <c r="AZU69" s="238"/>
      <c r="AZV69" s="236"/>
      <c r="AZW69" s="236"/>
      <c r="AZX69" s="236"/>
      <c r="AZY69" s="236"/>
      <c r="AZZ69" s="236"/>
      <c r="BAA69" s="239"/>
      <c r="BAB69" s="236"/>
      <c r="BAC69" s="236"/>
      <c r="BAD69" s="236"/>
      <c r="BAE69" s="236"/>
      <c r="BAF69" s="236"/>
      <c r="BAG69" s="240"/>
      <c r="BAH69" s="235"/>
      <c r="BAI69" s="236"/>
      <c r="BAJ69" s="236"/>
      <c r="BAK69" s="236"/>
      <c r="BAL69" s="236"/>
      <c r="BAM69" s="237"/>
      <c r="BAN69" s="236"/>
      <c r="BAO69" s="236"/>
      <c r="BAP69" s="236"/>
      <c r="BAQ69" s="236"/>
      <c r="BAR69" s="236"/>
      <c r="BAS69" s="238"/>
      <c r="BAT69" s="236"/>
      <c r="BAU69" s="236"/>
      <c r="BAV69" s="236"/>
      <c r="BAW69" s="236"/>
      <c r="BAX69" s="236"/>
      <c r="BAY69" s="239"/>
      <c r="BAZ69" s="236"/>
      <c r="BBA69" s="236"/>
      <c r="BBB69" s="236"/>
      <c r="BBC69" s="236"/>
      <c r="BBD69" s="236"/>
      <c r="BBE69" s="238"/>
      <c r="BBF69" s="236"/>
      <c r="BBG69" s="236"/>
      <c r="BBH69" s="236"/>
      <c r="BBI69" s="236"/>
      <c r="BBJ69" s="236"/>
      <c r="BBK69" s="239"/>
      <c r="BBL69" s="236"/>
      <c r="BBM69" s="236"/>
      <c r="BBN69" s="236"/>
      <c r="BBO69" s="236"/>
      <c r="BBP69" s="236"/>
      <c r="BBQ69" s="238"/>
      <c r="BBR69" s="236"/>
      <c r="BBS69" s="236"/>
      <c r="BBT69" s="236"/>
      <c r="BBU69" s="236"/>
      <c r="BBV69" s="236"/>
      <c r="BBW69" s="239"/>
      <c r="BBX69" s="236"/>
      <c r="BBY69" s="236"/>
      <c r="BBZ69" s="236"/>
      <c r="BCA69" s="236"/>
      <c r="BCB69" s="236"/>
      <c r="BCC69" s="238"/>
      <c r="BCD69" s="236"/>
      <c r="BCE69" s="236"/>
      <c r="BCF69" s="236"/>
      <c r="BCG69" s="236"/>
      <c r="BCH69" s="236"/>
      <c r="BCI69" s="239"/>
      <c r="BCJ69" s="236"/>
      <c r="BCK69" s="236"/>
      <c r="BCL69" s="236"/>
      <c r="BCM69" s="236"/>
      <c r="BCN69" s="236"/>
      <c r="BCO69" s="240"/>
      <c r="BCP69" s="235"/>
      <c r="BCQ69" s="236"/>
      <c r="BCR69" s="236"/>
      <c r="BCS69" s="236"/>
      <c r="BCT69" s="236"/>
      <c r="BCU69" s="237"/>
      <c r="BCV69" s="236"/>
      <c r="BCW69" s="236"/>
      <c r="BCX69" s="236"/>
      <c r="BCY69" s="236"/>
      <c r="BCZ69" s="236"/>
      <c r="BDA69" s="238"/>
      <c r="BDB69" s="236"/>
      <c r="BDC69" s="236"/>
      <c r="BDD69" s="236"/>
      <c r="BDE69" s="236"/>
      <c r="BDF69" s="236"/>
      <c r="BDG69" s="239"/>
      <c r="BDH69" s="236"/>
      <c r="BDI69" s="236"/>
      <c r="BDJ69" s="236"/>
      <c r="BDK69" s="236"/>
      <c r="BDL69" s="236"/>
      <c r="BDM69" s="238"/>
      <c r="BDN69" s="236"/>
      <c r="BDO69" s="236"/>
      <c r="BDP69" s="236"/>
      <c r="BDQ69" s="236"/>
      <c r="BDR69" s="236"/>
      <c r="BDS69" s="239"/>
      <c r="BDT69" s="236"/>
      <c r="BDU69" s="236"/>
      <c r="BDV69" s="236"/>
      <c r="BDW69" s="236"/>
      <c r="BDX69" s="236"/>
      <c r="BDY69" s="238"/>
      <c r="BDZ69" s="236"/>
      <c r="BEA69" s="236"/>
      <c r="BEB69" s="236"/>
      <c r="BEC69" s="236"/>
      <c r="BED69" s="236"/>
      <c r="BEE69" s="239"/>
      <c r="BEF69" s="236"/>
      <c r="BEG69" s="236"/>
      <c r="BEH69" s="236"/>
      <c r="BEI69" s="236"/>
      <c r="BEJ69" s="236"/>
      <c r="BEK69" s="238"/>
      <c r="BEL69" s="236"/>
      <c r="BEM69" s="236"/>
      <c r="BEN69" s="236"/>
      <c r="BEO69" s="236"/>
      <c r="BEP69" s="236"/>
      <c r="BEQ69" s="239"/>
      <c r="BER69" s="236"/>
      <c r="BES69" s="236"/>
      <c r="BET69" s="236"/>
      <c r="BEU69" s="236"/>
      <c r="BEV69" s="236"/>
      <c r="BEW69" s="240"/>
      <c r="BEX69" s="235"/>
      <c r="BEY69" s="236"/>
      <c r="BEZ69" s="236"/>
      <c r="BFA69" s="236"/>
      <c r="BFB69" s="236"/>
      <c r="BFC69" s="237"/>
      <c r="BFD69" s="236"/>
      <c r="BFE69" s="236"/>
      <c r="BFF69" s="236"/>
      <c r="BFG69" s="236"/>
      <c r="BFH69" s="236"/>
      <c r="BFI69" s="238"/>
      <c r="BFJ69" s="236"/>
      <c r="BFK69" s="236"/>
      <c r="BFL69" s="236"/>
      <c r="BFM69" s="236"/>
      <c r="BFN69" s="236"/>
      <c r="BFO69" s="239"/>
      <c r="BFP69" s="236"/>
      <c r="BFQ69" s="236"/>
      <c r="BFR69" s="236"/>
      <c r="BFS69" s="236"/>
      <c r="BFT69" s="236"/>
      <c r="BFU69" s="238"/>
      <c r="BFV69" s="236"/>
      <c r="BFW69" s="236"/>
      <c r="BFX69" s="236"/>
      <c r="BFY69" s="236"/>
      <c r="BFZ69" s="236"/>
      <c r="BGA69" s="239"/>
      <c r="BGB69" s="236"/>
      <c r="BGC69" s="236"/>
      <c r="BGD69" s="236"/>
      <c r="BGE69" s="236"/>
      <c r="BGF69" s="236"/>
      <c r="BGG69" s="238"/>
      <c r="BGH69" s="236"/>
      <c r="BGI69" s="236"/>
      <c r="BGJ69" s="236"/>
      <c r="BGK69" s="236"/>
      <c r="BGL69" s="236"/>
      <c r="BGM69" s="239"/>
      <c r="BGN69" s="236"/>
      <c r="BGO69" s="236"/>
      <c r="BGP69" s="236"/>
      <c r="BGQ69" s="236"/>
      <c r="BGR69" s="236"/>
      <c r="BGS69" s="238"/>
      <c r="BGT69" s="236"/>
      <c r="BGU69" s="236"/>
      <c r="BGV69" s="236"/>
      <c r="BGW69" s="236"/>
      <c r="BGX69" s="236"/>
      <c r="BGY69" s="239"/>
      <c r="BGZ69" s="236"/>
      <c r="BHA69" s="236"/>
      <c r="BHB69" s="236"/>
      <c r="BHC69" s="236"/>
      <c r="BHD69" s="236"/>
      <c r="BHE69" s="240"/>
      <c r="BHF69" s="235"/>
      <c r="BHG69" s="236"/>
      <c r="BHH69" s="236"/>
      <c r="BHI69" s="236"/>
      <c r="BHJ69" s="236"/>
      <c r="BHK69" s="237"/>
      <c r="BHL69" s="236"/>
      <c r="BHM69" s="236"/>
      <c r="BHN69" s="236"/>
      <c r="BHO69" s="236"/>
      <c r="BHP69" s="236"/>
      <c r="BHQ69" s="238"/>
      <c r="BHR69" s="236"/>
      <c r="BHS69" s="236"/>
      <c r="BHT69" s="236"/>
      <c r="BHU69" s="236"/>
      <c r="BHV69" s="236"/>
      <c r="BHW69" s="239"/>
      <c r="BHX69" s="236"/>
      <c r="BHY69" s="236"/>
      <c r="BHZ69" s="236"/>
      <c r="BIA69" s="236"/>
      <c r="BIB69" s="236"/>
      <c r="BIC69" s="238"/>
      <c r="BID69" s="236"/>
      <c r="BIE69" s="236"/>
      <c r="BIF69" s="236"/>
      <c r="BIG69" s="236"/>
      <c r="BIH69" s="236"/>
      <c r="BII69" s="239"/>
      <c r="BIJ69" s="236"/>
      <c r="BIK69" s="236"/>
      <c r="BIL69" s="236"/>
      <c r="BIM69" s="236"/>
      <c r="BIN69" s="236"/>
      <c r="BIO69" s="238"/>
      <c r="BIP69" s="236"/>
      <c r="BIQ69" s="236"/>
      <c r="BIR69" s="236"/>
      <c r="BIS69" s="236"/>
      <c r="BIT69" s="236"/>
      <c r="BIU69" s="239"/>
      <c r="BIV69" s="236"/>
      <c r="BIW69" s="236"/>
      <c r="BIX69" s="236"/>
      <c r="BIY69" s="236"/>
      <c r="BIZ69" s="236"/>
      <c r="BJA69" s="238"/>
      <c r="BJB69" s="236"/>
      <c r="BJC69" s="236"/>
      <c r="BJD69" s="236"/>
      <c r="BJE69" s="236"/>
      <c r="BJF69" s="236"/>
      <c r="BJG69" s="239"/>
      <c r="BJH69" s="236"/>
      <c r="BJI69" s="236"/>
      <c r="BJJ69" s="236"/>
      <c r="BJK69" s="236"/>
      <c r="BJL69" s="236"/>
      <c r="BJM69" s="240"/>
      <c r="BJN69" s="233"/>
      <c r="BJO69" s="234"/>
      <c r="BJP69" s="234"/>
      <c r="BJQ69" s="234"/>
      <c r="BJR69" s="234"/>
      <c r="BJS69" s="234"/>
      <c r="BJT69" s="234"/>
      <c r="BJU69" s="234"/>
      <c r="BJV69" s="234"/>
      <c r="BJW69" s="234"/>
      <c r="BJX69" s="234"/>
      <c r="BJY69" s="234"/>
      <c r="BJZ69" s="234"/>
      <c r="BKA69" s="234"/>
      <c r="BKB69" s="234"/>
      <c r="BKC69" s="234"/>
      <c r="BKD69" s="234"/>
      <c r="BKE69" s="234"/>
      <c r="BKF69" s="234"/>
      <c r="BKG69" s="234"/>
      <c r="BKH69" s="234"/>
      <c r="BKI69" s="234"/>
      <c r="BKJ69" s="234"/>
      <c r="BKK69" s="234"/>
      <c r="BKL69" s="234"/>
      <c r="BKM69" s="234"/>
      <c r="BKN69" s="234"/>
    </row>
    <row r="70" spans="1:1652" ht="20.100000000000001" customHeight="1" x14ac:dyDescent="0.3">
      <c r="A70" s="84" t="s">
        <v>20</v>
      </c>
      <c r="B70" s="53"/>
      <c r="C70" s="189"/>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174"/>
      <c r="BJO70" s="4"/>
      <c r="BJP70" s="4"/>
      <c r="BJQ70" s="4"/>
      <c r="BJR70" s="4"/>
      <c r="BJS70" s="4"/>
      <c r="BJT70" s="4"/>
      <c r="BJU70" s="4"/>
      <c r="BJV70" s="4"/>
      <c r="BJW70" s="4"/>
      <c r="BJX70" s="4"/>
      <c r="BJY70" s="4"/>
      <c r="BJZ70" s="4"/>
      <c r="BKA70" s="4"/>
      <c r="BKB70" s="4"/>
      <c r="BKC70" s="4"/>
      <c r="BKD70" s="4"/>
      <c r="BKE70" s="4"/>
      <c r="BKF70" s="4"/>
      <c r="BKG70" s="4"/>
      <c r="BKH70" s="4"/>
      <c r="BKI70" s="4"/>
      <c r="BKJ70" s="4"/>
      <c r="BKK70" s="4"/>
      <c r="BKL70" s="4"/>
      <c r="BKM70" s="4"/>
      <c r="BKN70" s="4"/>
    </row>
    <row r="71" spans="1:1652" ht="20.100000000000001" customHeight="1" x14ac:dyDescent="0.25">
      <c r="A71" s="84" t="s">
        <v>19</v>
      </c>
      <c r="B71" s="53"/>
      <c r="C71" s="177"/>
      <c r="D71" s="129" t="str">
        <f t="shared" si="0"/>
        <v>0h</v>
      </c>
      <c r="E71" s="34">
        <v>0</v>
      </c>
      <c r="F71" s="241"/>
      <c r="G71" s="242"/>
      <c r="H71" s="242"/>
      <c r="I71" s="242"/>
      <c r="J71" s="242"/>
      <c r="K71" s="243"/>
      <c r="L71" s="242"/>
      <c r="M71" s="242"/>
      <c r="N71" s="242"/>
      <c r="O71" s="242"/>
      <c r="P71" s="242"/>
      <c r="Q71" s="244"/>
      <c r="R71" s="242"/>
      <c r="S71" s="242"/>
      <c r="T71" s="242"/>
      <c r="U71" s="242"/>
      <c r="V71" s="242"/>
      <c r="W71" s="245"/>
      <c r="X71" s="242"/>
      <c r="Y71" s="242"/>
      <c r="Z71" s="242"/>
      <c r="AA71" s="242"/>
      <c r="AB71" s="242"/>
      <c r="AC71" s="244"/>
      <c r="AD71" s="242"/>
      <c r="AE71" s="242"/>
      <c r="AF71" s="242"/>
      <c r="AG71" s="242"/>
      <c r="AH71" s="242"/>
      <c r="AI71" s="245"/>
      <c r="AJ71" s="242"/>
      <c r="AK71" s="242"/>
      <c r="AL71" s="242"/>
      <c r="AM71" s="242"/>
      <c r="AN71" s="242"/>
      <c r="AO71" s="244"/>
      <c r="AP71" s="242"/>
      <c r="AQ71" s="242"/>
      <c r="AR71" s="242"/>
      <c r="AS71" s="242"/>
      <c r="AT71" s="242"/>
      <c r="AU71" s="245"/>
      <c r="AV71" s="242"/>
      <c r="AW71" s="242"/>
      <c r="AX71" s="242"/>
      <c r="AY71" s="242"/>
      <c r="AZ71" s="242"/>
      <c r="BA71" s="244"/>
      <c r="BB71" s="242"/>
      <c r="BC71" s="242"/>
      <c r="BD71" s="242"/>
      <c r="BE71" s="242"/>
      <c r="BF71" s="242"/>
      <c r="BG71" s="245"/>
      <c r="BH71" s="242"/>
      <c r="BI71" s="242"/>
      <c r="BJ71" s="242"/>
      <c r="BK71" s="242"/>
      <c r="BL71" s="242"/>
      <c r="BM71" s="246"/>
      <c r="BN71" s="241"/>
      <c r="BO71" s="242"/>
      <c r="BP71" s="242"/>
      <c r="BQ71" s="242"/>
      <c r="BR71" s="242"/>
      <c r="BS71" s="243"/>
      <c r="BT71" s="242"/>
      <c r="BU71" s="242"/>
      <c r="BV71" s="242"/>
      <c r="BW71" s="242"/>
      <c r="BX71" s="242"/>
      <c r="BY71" s="244"/>
      <c r="BZ71" s="242"/>
      <c r="CA71" s="242"/>
      <c r="CB71" s="242"/>
      <c r="CC71" s="242"/>
      <c r="CD71" s="242"/>
      <c r="CE71" s="245"/>
      <c r="CF71" s="242"/>
      <c r="CG71" s="242"/>
      <c r="CH71" s="242"/>
      <c r="CI71" s="242"/>
      <c r="CJ71" s="242"/>
      <c r="CK71" s="244"/>
      <c r="CL71" s="242"/>
      <c r="CM71" s="242"/>
      <c r="CN71" s="242"/>
      <c r="CO71" s="242"/>
      <c r="CP71" s="242"/>
      <c r="CQ71" s="245"/>
      <c r="CR71" s="242"/>
      <c r="CS71" s="242"/>
      <c r="CT71" s="242"/>
      <c r="CU71" s="242"/>
      <c r="CV71" s="242"/>
      <c r="CW71" s="244"/>
      <c r="CX71" s="242"/>
      <c r="CY71" s="242"/>
      <c r="CZ71" s="242"/>
      <c r="DA71" s="242"/>
      <c r="DB71" s="242"/>
      <c r="DC71" s="245"/>
      <c r="DD71" s="242"/>
      <c r="DE71" s="242"/>
      <c r="DF71" s="242"/>
      <c r="DG71" s="242"/>
      <c r="DH71" s="242"/>
      <c r="DI71" s="244"/>
      <c r="DJ71" s="242"/>
      <c r="DK71" s="242"/>
      <c r="DL71" s="242"/>
      <c r="DM71" s="242"/>
      <c r="DN71" s="242"/>
      <c r="DO71" s="245"/>
      <c r="DP71" s="242"/>
      <c r="DQ71" s="242"/>
      <c r="DR71" s="242"/>
      <c r="DS71" s="242"/>
      <c r="DT71" s="242"/>
      <c r="DU71" s="246"/>
      <c r="DV71" s="241"/>
      <c r="DW71" s="242"/>
      <c r="DX71" s="242"/>
      <c r="DY71" s="242"/>
      <c r="DZ71" s="242"/>
      <c r="EA71" s="243"/>
      <c r="EB71" s="242"/>
      <c r="EC71" s="242"/>
      <c r="ED71" s="242"/>
      <c r="EE71" s="242"/>
      <c r="EF71" s="242"/>
      <c r="EG71" s="244"/>
      <c r="EH71" s="242"/>
      <c r="EI71" s="242"/>
      <c r="EJ71" s="242"/>
      <c r="EK71" s="242"/>
      <c r="EL71" s="242"/>
      <c r="EM71" s="245"/>
      <c r="EN71" s="242"/>
      <c r="EO71" s="242"/>
      <c r="EP71" s="242"/>
      <c r="EQ71" s="242"/>
      <c r="ER71" s="242"/>
      <c r="ES71" s="244"/>
      <c r="ET71" s="242"/>
      <c r="EU71" s="242"/>
      <c r="EV71" s="242"/>
      <c r="EW71" s="242"/>
      <c r="EX71" s="242"/>
      <c r="EY71" s="245"/>
      <c r="EZ71" s="242"/>
      <c r="FA71" s="242"/>
      <c r="FB71" s="242"/>
      <c r="FC71" s="242"/>
      <c r="FD71" s="242"/>
      <c r="FE71" s="244"/>
      <c r="FF71" s="242"/>
      <c r="FG71" s="242"/>
      <c r="FH71" s="242"/>
      <c r="FI71" s="242"/>
      <c r="FJ71" s="242"/>
      <c r="FK71" s="245"/>
      <c r="FL71" s="242"/>
      <c r="FM71" s="242"/>
      <c r="FN71" s="242"/>
      <c r="FO71" s="242"/>
      <c r="FP71" s="242"/>
      <c r="FQ71" s="244"/>
      <c r="FR71" s="242"/>
      <c r="FS71" s="242"/>
      <c r="FT71" s="242"/>
      <c r="FU71" s="242"/>
      <c r="FV71" s="242"/>
      <c r="FW71" s="245"/>
      <c r="FX71" s="242"/>
      <c r="FY71" s="242"/>
      <c r="FZ71" s="242"/>
      <c r="GA71" s="242"/>
      <c r="GB71" s="242"/>
      <c r="GC71" s="246"/>
      <c r="GD71" s="241"/>
      <c r="GE71" s="242"/>
      <c r="GF71" s="242"/>
      <c r="GG71" s="242"/>
      <c r="GH71" s="242"/>
      <c r="GI71" s="243"/>
      <c r="GJ71" s="242"/>
      <c r="GK71" s="242"/>
      <c r="GL71" s="242"/>
      <c r="GM71" s="242"/>
      <c r="GN71" s="242"/>
      <c r="GO71" s="244"/>
      <c r="GP71" s="242"/>
      <c r="GQ71" s="242"/>
      <c r="GR71" s="242"/>
      <c r="GS71" s="242"/>
      <c r="GT71" s="242"/>
      <c r="GU71" s="245"/>
      <c r="GV71" s="242"/>
      <c r="GW71" s="242"/>
      <c r="GX71" s="242"/>
      <c r="GY71" s="242"/>
      <c r="GZ71" s="242"/>
      <c r="HA71" s="244"/>
      <c r="HB71" s="242"/>
      <c r="HC71" s="242"/>
      <c r="HD71" s="242"/>
      <c r="HE71" s="242"/>
      <c r="HF71" s="242"/>
      <c r="HG71" s="245"/>
      <c r="HH71" s="242"/>
      <c r="HI71" s="242"/>
      <c r="HJ71" s="242"/>
      <c r="HK71" s="242"/>
      <c r="HL71" s="242"/>
      <c r="HM71" s="244"/>
      <c r="HN71" s="242"/>
      <c r="HO71" s="242"/>
      <c r="HP71" s="242"/>
      <c r="HQ71" s="242"/>
      <c r="HR71" s="242"/>
      <c r="HS71" s="245"/>
      <c r="HT71" s="242"/>
      <c r="HU71" s="242"/>
      <c r="HV71" s="242"/>
      <c r="HW71" s="242"/>
      <c r="HX71" s="242"/>
      <c r="HY71" s="244"/>
      <c r="HZ71" s="242"/>
      <c r="IA71" s="242"/>
      <c r="IB71" s="242"/>
      <c r="IC71" s="242"/>
      <c r="ID71" s="242"/>
      <c r="IE71" s="245"/>
      <c r="IF71" s="242"/>
      <c r="IG71" s="242"/>
      <c r="IH71" s="242"/>
      <c r="II71" s="242"/>
      <c r="IJ71" s="242"/>
      <c r="IK71" s="246"/>
      <c r="IL71" s="241"/>
      <c r="IM71" s="242"/>
      <c r="IN71" s="242"/>
      <c r="IO71" s="242"/>
      <c r="IP71" s="242"/>
      <c r="IQ71" s="243"/>
      <c r="IR71" s="242"/>
      <c r="IS71" s="242"/>
      <c r="IT71" s="242"/>
      <c r="IU71" s="242"/>
      <c r="IV71" s="242"/>
      <c r="IW71" s="244"/>
      <c r="IX71" s="242"/>
      <c r="IY71" s="242"/>
      <c r="IZ71" s="242"/>
      <c r="JA71" s="242"/>
      <c r="JB71" s="242"/>
      <c r="JC71" s="245"/>
      <c r="JD71" s="242"/>
      <c r="JE71" s="242"/>
      <c r="JF71" s="242"/>
      <c r="JG71" s="242"/>
      <c r="JH71" s="242"/>
      <c r="JI71" s="244"/>
      <c r="JJ71" s="242"/>
      <c r="JK71" s="242"/>
      <c r="JL71" s="242"/>
      <c r="JM71" s="242"/>
      <c r="JN71" s="242"/>
      <c r="JO71" s="245"/>
      <c r="JP71" s="242"/>
      <c r="JQ71" s="242"/>
      <c r="JR71" s="242"/>
      <c r="JS71" s="242"/>
      <c r="JT71" s="242"/>
      <c r="JU71" s="244"/>
      <c r="JV71" s="242"/>
      <c r="JW71" s="242"/>
      <c r="JX71" s="242"/>
      <c r="JY71" s="242"/>
      <c r="JZ71" s="242"/>
      <c r="KA71" s="245"/>
      <c r="KB71" s="242"/>
      <c r="KC71" s="242"/>
      <c r="KD71" s="242"/>
      <c r="KE71" s="242"/>
      <c r="KF71" s="242"/>
      <c r="KG71" s="244"/>
      <c r="KH71" s="242"/>
      <c r="KI71" s="242"/>
      <c r="KJ71" s="242"/>
      <c r="KK71" s="242"/>
      <c r="KL71" s="242"/>
      <c r="KM71" s="245"/>
      <c r="KN71" s="242"/>
      <c r="KO71" s="242"/>
      <c r="KP71" s="242"/>
      <c r="KQ71" s="242"/>
      <c r="KR71" s="242"/>
      <c r="KS71" s="246"/>
      <c r="KT71" s="241"/>
      <c r="KU71" s="242"/>
      <c r="KV71" s="242"/>
      <c r="KW71" s="242"/>
      <c r="KX71" s="242"/>
      <c r="KY71" s="243"/>
      <c r="KZ71" s="242"/>
      <c r="LA71" s="242"/>
      <c r="LB71" s="242"/>
      <c r="LC71" s="242"/>
      <c r="LD71" s="242"/>
      <c r="LE71" s="244"/>
      <c r="LF71" s="242"/>
      <c r="LG71" s="242"/>
      <c r="LH71" s="242"/>
      <c r="LI71" s="242"/>
      <c r="LJ71" s="242"/>
      <c r="LK71" s="245"/>
      <c r="LL71" s="242"/>
      <c r="LM71" s="242"/>
      <c r="LN71" s="242"/>
      <c r="LO71" s="242"/>
      <c r="LP71" s="242"/>
      <c r="LQ71" s="244"/>
      <c r="LR71" s="242"/>
      <c r="LS71" s="242"/>
      <c r="LT71" s="242"/>
      <c r="LU71" s="242"/>
      <c r="LV71" s="242"/>
      <c r="LW71" s="245"/>
      <c r="LX71" s="242"/>
      <c r="LY71" s="242"/>
      <c r="LZ71" s="242"/>
      <c r="MA71" s="242"/>
      <c r="MB71" s="242"/>
      <c r="MC71" s="244"/>
      <c r="MD71" s="242"/>
      <c r="ME71" s="242"/>
      <c r="MF71" s="242"/>
      <c r="MG71" s="242"/>
      <c r="MH71" s="242"/>
      <c r="MI71" s="245"/>
      <c r="MJ71" s="242"/>
      <c r="MK71" s="242"/>
      <c r="ML71" s="242"/>
      <c r="MM71" s="242"/>
      <c r="MN71" s="242"/>
      <c r="MO71" s="244"/>
      <c r="MP71" s="242"/>
      <c r="MQ71" s="242"/>
      <c r="MR71" s="242"/>
      <c r="MS71" s="242"/>
      <c r="MT71" s="242"/>
      <c r="MU71" s="245"/>
      <c r="MV71" s="242"/>
      <c r="MW71" s="242"/>
      <c r="MX71" s="242"/>
      <c r="MY71" s="242"/>
      <c r="MZ71" s="242"/>
      <c r="NA71" s="246"/>
      <c r="NB71" s="241"/>
      <c r="NC71" s="242"/>
      <c r="ND71" s="242"/>
      <c r="NE71" s="242"/>
      <c r="NF71" s="242"/>
      <c r="NG71" s="243"/>
      <c r="NH71" s="242"/>
      <c r="NI71" s="242"/>
      <c r="NJ71" s="242"/>
      <c r="NK71" s="242"/>
      <c r="NL71" s="242"/>
      <c r="NM71" s="244"/>
      <c r="NN71" s="242"/>
      <c r="NO71" s="242"/>
      <c r="NP71" s="242"/>
      <c r="NQ71" s="242"/>
      <c r="NR71" s="242"/>
      <c r="NS71" s="245"/>
      <c r="NT71" s="242"/>
      <c r="NU71" s="242"/>
      <c r="NV71" s="242"/>
      <c r="NW71" s="242"/>
      <c r="NX71" s="242"/>
      <c r="NY71" s="244"/>
      <c r="NZ71" s="242"/>
      <c r="OA71" s="242"/>
      <c r="OB71" s="242"/>
      <c r="OC71" s="242"/>
      <c r="OD71" s="242"/>
      <c r="OE71" s="245"/>
      <c r="OF71" s="242"/>
      <c r="OG71" s="242"/>
      <c r="OH71" s="242"/>
      <c r="OI71" s="242"/>
      <c r="OJ71" s="242"/>
      <c r="OK71" s="244"/>
      <c r="OL71" s="242"/>
      <c r="OM71" s="242"/>
      <c r="ON71" s="242"/>
      <c r="OO71" s="242"/>
      <c r="OP71" s="242"/>
      <c r="OQ71" s="245"/>
      <c r="OR71" s="242"/>
      <c r="OS71" s="242"/>
      <c r="OT71" s="242"/>
      <c r="OU71" s="242"/>
      <c r="OV71" s="242"/>
      <c r="OW71" s="244"/>
      <c r="OX71" s="242"/>
      <c r="OY71" s="242"/>
      <c r="OZ71" s="242"/>
      <c r="PA71" s="242"/>
      <c r="PB71" s="242"/>
      <c r="PC71" s="245"/>
      <c r="PD71" s="242"/>
      <c r="PE71" s="242"/>
      <c r="PF71" s="242"/>
      <c r="PG71" s="242"/>
      <c r="PH71" s="242"/>
      <c r="PI71" s="246"/>
      <c r="PJ71" s="241"/>
      <c r="PK71" s="242"/>
      <c r="PL71" s="242"/>
      <c r="PM71" s="242"/>
      <c r="PN71" s="242"/>
      <c r="PO71" s="243"/>
      <c r="PP71" s="242"/>
      <c r="PQ71" s="242"/>
      <c r="PR71" s="242"/>
      <c r="PS71" s="242"/>
      <c r="PT71" s="242"/>
      <c r="PU71" s="244"/>
      <c r="PV71" s="242"/>
      <c r="PW71" s="242"/>
      <c r="PX71" s="242"/>
      <c r="PY71" s="242"/>
      <c r="PZ71" s="242"/>
      <c r="QA71" s="245"/>
      <c r="QB71" s="242"/>
      <c r="QC71" s="242"/>
      <c r="QD71" s="242"/>
      <c r="QE71" s="242"/>
      <c r="QF71" s="242"/>
      <c r="QG71" s="244"/>
      <c r="QH71" s="242"/>
      <c r="QI71" s="242"/>
      <c r="QJ71" s="242"/>
      <c r="QK71" s="242"/>
      <c r="QL71" s="242"/>
      <c r="QM71" s="245"/>
      <c r="QN71" s="242"/>
      <c r="QO71" s="242"/>
      <c r="QP71" s="242"/>
      <c r="QQ71" s="242"/>
      <c r="QR71" s="242"/>
      <c r="QS71" s="244"/>
      <c r="QT71" s="242"/>
      <c r="QU71" s="242"/>
      <c r="QV71" s="242"/>
      <c r="QW71" s="242"/>
      <c r="QX71" s="242"/>
      <c r="QY71" s="245"/>
      <c r="QZ71" s="242"/>
      <c r="RA71" s="242"/>
      <c r="RB71" s="242"/>
      <c r="RC71" s="242"/>
      <c r="RD71" s="242"/>
      <c r="RE71" s="244"/>
      <c r="RF71" s="242"/>
      <c r="RG71" s="242"/>
      <c r="RH71" s="242"/>
      <c r="RI71" s="242"/>
      <c r="RJ71" s="242"/>
      <c r="RK71" s="245"/>
      <c r="RL71" s="242"/>
      <c r="RM71" s="242"/>
      <c r="RN71" s="242"/>
      <c r="RO71" s="242"/>
      <c r="RP71" s="242"/>
      <c r="RQ71" s="246"/>
      <c r="RR71" s="241"/>
      <c r="RS71" s="242"/>
      <c r="RT71" s="242"/>
      <c r="RU71" s="242"/>
      <c r="RV71" s="242"/>
      <c r="RW71" s="243"/>
      <c r="RX71" s="242"/>
      <c r="RY71" s="242"/>
      <c r="RZ71" s="242"/>
      <c r="SA71" s="242"/>
      <c r="SB71" s="242"/>
      <c r="SC71" s="244"/>
      <c r="SD71" s="242"/>
      <c r="SE71" s="242"/>
      <c r="SF71" s="242"/>
      <c r="SG71" s="242"/>
      <c r="SH71" s="242"/>
      <c r="SI71" s="245"/>
      <c r="SJ71" s="242"/>
      <c r="SK71" s="242"/>
      <c r="SL71" s="242"/>
      <c r="SM71" s="242"/>
      <c r="SN71" s="242"/>
      <c r="SO71" s="244"/>
      <c r="SP71" s="242"/>
      <c r="SQ71" s="242"/>
      <c r="SR71" s="242"/>
      <c r="SS71" s="242"/>
      <c r="ST71" s="242"/>
      <c r="SU71" s="245"/>
      <c r="SV71" s="242"/>
      <c r="SW71" s="242"/>
      <c r="SX71" s="242"/>
      <c r="SY71" s="242"/>
      <c r="SZ71" s="242"/>
      <c r="TA71" s="244"/>
      <c r="TB71" s="242"/>
      <c r="TC71" s="242"/>
      <c r="TD71" s="242"/>
      <c r="TE71" s="242"/>
      <c r="TF71" s="242"/>
      <c r="TG71" s="245"/>
      <c r="TH71" s="242"/>
      <c r="TI71" s="242"/>
      <c r="TJ71" s="242"/>
      <c r="TK71" s="242"/>
      <c r="TL71" s="242"/>
      <c r="TM71" s="244"/>
      <c r="TN71" s="242"/>
      <c r="TO71" s="242"/>
      <c r="TP71" s="242"/>
      <c r="TQ71" s="242"/>
      <c r="TR71" s="242"/>
      <c r="TS71" s="245"/>
      <c r="TT71" s="242"/>
      <c r="TU71" s="242"/>
      <c r="TV71" s="242"/>
      <c r="TW71" s="242"/>
      <c r="TX71" s="242"/>
      <c r="TY71" s="246"/>
      <c r="TZ71" s="241"/>
      <c r="UA71" s="242"/>
      <c r="UB71" s="242"/>
      <c r="UC71" s="242"/>
      <c r="UD71" s="242"/>
      <c r="UE71" s="243"/>
      <c r="UF71" s="242"/>
      <c r="UG71" s="242"/>
      <c r="UH71" s="242"/>
      <c r="UI71" s="242"/>
      <c r="UJ71" s="242"/>
      <c r="UK71" s="244"/>
      <c r="UL71" s="242"/>
      <c r="UM71" s="242"/>
      <c r="UN71" s="242"/>
      <c r="UO71" s="242"/>
      <c r="UP71" s="242"/>
      <c r="UQ71" s="245"/>
      <c r="UR71" s="242"/>
      <c r="US71" s="242"/>
      <c r="UT71" s="242"/>
      <c r="UU71" s="242"/>
      <c r="UV71" s="242"/>
      <c r="UW71" s="244"/>
      <c r="UX71" s="242"/>
      <c r="UY71" s="242"/>
      <c r="UZ71" s="242"/>
      <c r="VA71" s="242"/>
      <c r="VB71" s="242"/>
      <c r="VC71" s="245"/>
      <c r="VD71" s="242"/>
      <c r="VE71" s="242"/>
      <c r="VF71" s="242"/>
      <c r="VG71" s="242"/>
      <c r="VH71" s="242"/>
      <c r="VI71" s="244"/>
      <c r="VJ71" s="242"/>
      <c r="VK71" s="242"/>
      <c r="VL71" s="242"/>
      <c r="VM71" s="242"/>
      <c r="VN71" s="242"/>
      <c r="VO71" s="245"/>
      <c r="VP71" s="242"/>
      <c r="VQ71" s="242"/>
      <c r="VR71" s="242"/>
      <c r="VS71" s="242"/>
      <c r="VT71" s="242"/>
      <c r="VU71" s="244"/>
      <c r="VV71" s="242"/>
      <c r="VW71" s="242"/>
      <c r="VX71" s="242"/>
      <c r="VY71" s="242"/>
      <c r="VZ71" s="242"/>
      <c r="WA71" s="245"/>
      <c r="WB71" s="242"/>
      <c r="WC71" s="242"/>
      <c r="WD71" s="242"/>
      <c r="WE71" s="242"/>
      <c r="WF71" s="242"/>
      <c r="WG71" s="246"/>
      <c r="WH71" s="241"/>
      <c r="WI71" s="242"/>
      <c r="WJ71" s="242"/>
      <c r="WK71" s="242"/>
      <c r="WL71" s="242"/>
      <c r="WM71" s="243"/>
      <c r="WN71" s="242"/>
      <c r="WO71" s="242"/>
      <c r="WP71" s="242"/>
      <c r="WQ71" s="242"/>
      <c r="WR71" s="242"/>
      <c r="WS71" s="244"/>
      <c r="WT71" s="242"/>
      <c r="WU71" s="242"/>
      <c r="WV71" s="242"/>
      <c r="WW71" s="242"/>
      <c r="WX71" s="242"/>
      <c r="WY71" s="245"/>
      <c r="WZ71" s="242"/>
      <c r="XA71" s="242"/>
      <c r="XB71" s="242"/>
      <c r="XC71" s="242"/>
      <c r="XD71" s="242"/>
      <c r="XE71" s="244"/>
      <c r="XF71" s="242"/>
      <c r="XG71" s="242"/>
      <c r="XH71" s="242"/>
      <c r="XI71" s="242"/>
      <c r="XJ71" s="242"/>
      <c r="XK71" s="245"/>
      <c r="XL71" s="242"/>
      <c r="XM71" s="242"/>
      <c r="XN71" s="242"/>
      <c r="XO71" s="242"/>
      <c r="XP71" s="242"/>
      <c r="XQ71" s="244"/>
      <c r="XR71" s="242"/>
      <c r="XS71" s="242"/>
      <c r="XT71" s="242"/>
      <c r="XU71" s="242"/>
      <c r="XV71" s="242"/>
      <c r="XW71" s="245"/>
      <c r="XX71" s="242"/>
      <c r="XY71" s="242"/>
      <c r="XZ71" s="242"/>
      <c r="YA71" s="242"/>
      <c r="YB71" s="242"/>
      <c r="YC71" s="244"/>
      <c r="YD71" s="242"/>
      <c r="YE71" s="242"/>
      <c r="YF71" s="242"/>
      <c r="YG71" s="242"/>
      <c r="YH71" s="242"/>
      <c r="YI71" s="245"/>
      <c r="YJ71" s="242"/>
      <c r="YK71" s="242"/>
      <c r="YL71" s="242"/>
      <c r="YM71" s="242"/>
      <c r="YN71" s="242"/>
      <c r="YO71" s="246"/>
      <c r="YP71" s="241"/>
      <c r="YQ71" s="242"/>
      <c r="YR71" s="242"/>
      <c r="YS71" s="242"/>
      <c r="YT71" s="242"/>
      <c r="YU71" s="243"/>
      <c r="YV71" s="242"/>
      <c r="YW71" s="242"/>
      <c r="YX71" s="242"/>
      <c r="YY71" s="242"/>
      <c r="YZ71" s="242"/>
      <c r="ZA71" s="244"/>
      <c r="ZB71" s="242"/>
      <c r="ZC71" s="242"/>
      <c r="ZD71" s="242"/>
      <c r="ZE71" s="242"/>
      <c r="ZF71" s="242"/>
      <c r="ZG71" s="245"/>
      <c r="ZH71" s="242"/>
      <c r="ZI71" s="242"/>
      <c r="ZJ71" s="242"/>
      <c r="ZK71" s="242"/>
      <c r="ZL71" s="242"/>
      <c r="ZM71" s="244"/>
      <c r="ZN71" s="242"/>
      <c r="ZO71" s="242"/>
      <c r="ZP71" s="242"/>
      <c r="ZQ71" s="242"/>
      <c r="ZR71" s="242"/>
      <c r="ZS71" s="245"/>
      <c r="ZT71" s="242"/>
      <c r="ZU71" s="242"/>
      <c r="ZV71" s="242"/>
      <c r="ZW71" s="242"/>
      <c r="ZX71" s="242"/>
      <c r="ZY71" s="244"/>
      <c r="ZZ71" s="242"/>
      <c r="AAA71" s="242"/>
      <c r="AAB71" s="242"/>
      <c r="AAC71" s="242"/>
      <c r="AAD71" s="242"/>
      <c r="AAE71" s="245"/>
      <c r="AAF71" s="242"/>
      <c r="AAG71" s="242"/>
      <c r="AAH71" s="242"/>
      <c r="AAI71" s="242"/>
      <c r="AAJ71" s="242"/>
      <c r="AAK71" s="244"/>
      <c r="AAL71" s="242"/>
      <c r="AAM71" s="242"/>
      <c r="AAN71" s="242"/>
      <c r="AAO71" s="242"/>
      <c r="AAP71" s="242"/>
      <c r="AAQ71" s="245"/>
      <c r="AAR71" s="242"/>
      <c r="AAS71" s="242"/>
      <c r="AAT71" s="242"/>
      <c r="AAU71" s="242"/>
      <c r="AAV71" s="242"/>
      <c r="AAW71" s="246"/>
      <c r="AAX71" s="241"/>
      <c r="AAY71" s="242"/>
      <c r="AAZ71" s="242"/>
      <c r="ABA71" s="242"/>
      <c r="ABB71" s="242"/>
      <c r="ABC71" s="243"/>
      <c r="ABD71" s="242"/>
      <c r="ABE71" s="242"/>
      <c r="ABF71" s="242"/>
      <c r="ABG71" s="242"/>
      <c r="ABH71" s="242"/>
      <c r="ABI71" s="244"/>
      <c r="ABJ71" s="242"/>
      <c r="ABK71" s="242"/>
      <c r="ABL71" s="242"/>
      <c r="ABM71" s="242"/>
      <c r="ABN71" s="242"/>
      <c r="ABO71" s="245"/>
      <c r="ABP71" s="242"/>
      <c r="ABQ71" s="242"/>
      <c r="ABR71" s="242"/>
      <c r="ABS71" s="242"/>
      <c r="ABT71" s="242"/>
      <c r="ABU71" s="244"/>
      <c r="ABV71" s="242"/>
      <c r="ABW71" s="242"/>
      <c r="ABX71" s="242"/>
      <c r="ABY71" s="242"/>
      <c r="ABZ71" s="242"/>
      <c r="ACA71" s="245"/>
      <c r="ACB71" s="242"/>
      <c r="ACC71" s="242"/>
      <c r="ACD71" s="242"/>
      <c r="ACE71" s="242"/>
      <c r="ACF71" s="242"/>
      <c r="ACG71" s="244"/>
      <c r="ACH71" s="242"/>
      <c r="ACI71" s="242"/>
      <c r="ACJ71" s="242"/>
      <c r="ACK71" s="242"/>
      <c r="ACL71" s="242"/>
      <c r="ACM71" s="245"/>
      <c r="ACN71" s="242"/>
      <c r="ACO71" s="242"/>
      <c r="ACP71" s="242"/>
      <c r="ACQ71" s="242"/>
      <c r="ACR71" s="242"/>
      <c r="ACS71" s="244"/>
      <c r="ACT71" s="242"/>
      <c r="ACU71" s="242"/>
      <c r="ACV71" s="242"/>
      <c r="ACW71" s="242"/>
      <c r="ACX71" s="242"/>
      <c r="ACY71" s="245"/>
      <c r="ACZ71" s="242"/>
      <c r="ADA71" s="242"/>
      <c r="ADB71" s="242"/>
      <c r="ADC71" s="242"/>
      <c r="ADD71" s="242"/>
      <c r="ADE71" s="246"/>
      <c r="ADF71" s="241"/>
      <c r="ADG71" s="242"/>
      <c r="ADH71" s="242"/>
      <c r="ADI71" s="242"/>
      <c r="ADJ71" s="242"/>
      <c r="ADK71" s="243"/>
      <c r="ADL71" s="242"/>
      <c r="ADM71" s="242"/>
      <c r="ADN71" s="242"/>
      <c r="ADO71" s="242"/>
      <c r="ADP71" s="242"/>
      <c r="ADQ71" s="244"/>
      <c r="ADR71" s="242"/>
      <c r="ADS71" s="242"/>
      <c r="ADT71" s="242"/>
      <c r="ADU71" s="242"/>
      <c r="ADV71" s="242"/>
      <c r="ADW71" s="245"/>
      <c r="ADX71" s="242"/>
      <c r="ADY71" s="242"/>
      <c r="ADZ71" s="242"/>
      <c r="AEA71" s="242"/>
      <c r="AEB71" s="242"/>
      <c r="AEC71" s="244"/>
      <c r="AED71" s="242"/>
      <c r="AEE71" s="242"/>
      <c r="AEF71" s="242"/>
      <c r="AEG71" s="242"/>
      <c r="AEH71" s="242"/>
      <c r="AEI71" s="245"/>
      <c r="AEJ71" s="242"/>
      <c r="AEK71" s="242"/>
      <c r="AEL71" s="242"/>
      <c r="AEM71" s="242"/>
      <c r="AEN71" s="242"/>
      <c r="AEO71" s="244"/>
      <c r="AEP71" s="242"/>
      <c r="AEQ71" s="242"/>
      <c r="AER71" s="242"/>
      <c r="AES71" s="242"/>
      <c r="AET71" s="242"/>
      <c r="AEU71" s="245"/>
      <c r="AEV71" s="242"/>
      <c r="AEW71" s="242"/>
      <c r="AEX71" s="242"/>
      <c r="AEY71" s="242"/>
      <c r="AEZ71" s="242"/>
      <c r="AFA71" s="244"/>
      <c r="AFB71" s="242"/>
      <c r="AFC71" s="242"/>
      <c r="AFD71" s="242"/>
      <c r="AFE71" s="242"/>
      <c r="AFF71" s="242"/>
      <c r="AFG71" s="245"/>
      <c r="AFH71" s="242"/>
      <c r="AFI71" s="242"/>
      <c r="AFJ71" s="242"/>
      <c r="AFK71" s="242"/>
      <c r="AFL71" s="242"/>
      <c r="AFM71" s="246"/>
      <c r="AFN71" s="241"/>
      <c r="AFO71" s="242"/>
      <c r="AFP71" s="242"/>
      <c r="AFQ71" s="242"/>
      <c r="AFR71" s="242"/>
      <c r="AFS71" s="243"/>
      <c r="AFT71" s="242"/>
      <c r="AFU71" s="242"/>
      <c r="AFV71" s="242"/>
      <c r="AFW71" s="242"/>
      <c r="AFX71" s="242"/>
      <c r="AFY71" s="244"/>
      <c r="AFZ71" s="242"/>
      <c r="AGA71" s="242"/>
      <c r="AGB71" s="242"/>
      <c r="AGC71" s="242"/>
      <c r="AGD71" s="242"/>
      <c r="AGE71" s="245"/>
      <c r="AGF71" s="242"/>
      <c r="AGG71" s="242"/>
      <c r="AGH71" s="242"/>
      <c r="AGI71" s="242"/>
      <c r="AGJ71" s="242"/>
      <c r="AGK71" s="244"/>
      <c r="AGL71" s="242"/>
      <c r="AGM71" s="242"/>
      <c r="AGN71" s="242"/>
      <c r="AGO71" s="242"/>
      <c r="AGP71" s="242"/>
      <c r="AGQ71" s="245"/>
      <c r="AGR71" s="242"/>
      <c r="AGS71" s="242"/>
      <c r="AGT71" s="242"/>
      <c r="AGU71" s="242"/>
      <c r="AGV71" s="242"/>
      <c r="AGW71" s="244"/>
      <c r="AGX71" s="242"/>
      <c r="AGY71" s="242"/>
      <c r="AGZ71" s="242"/>
      <c r="AHA71" s="242"/>
      <c r="AHB71" s="242"/>
      <c r="AHC71" s="245"/>
      <c r="AHD71" s="242"/>
      <c r="AHE71" s="242"/>
      <c r="AHF71" s="242"/>
      <c r="AHG71" s="242"/>
      <c r="AHH71" s="242"/>
      <c r="AHI71" s="244"/>
      <c r="AHJ71" s="242"/>
      <c r="AHK71" s="242"/>
      <c r="AHL71" s="242"/>
      <c r="AHM71" s="242"/>
      <c r="AHN71" s="242"/>
      <c r="AHO71" s="245"/>
      <c r="AHP71" s="242"/>
      <c r="AHQ71" s="242"/>
      <c r="AHR71" s="242"/>
      <c r="AHS71" s="242"/>
      <c r="AHT71" s="242"/>
      <c r="AHU71" s="246"/>
      <c r="AHV71" s="241"/>
      <c r="AHW71" s="242"/>
      <c r="AHX71" s="242"/>
      <c r="AHY71" s="242"/>
      <c r="AHZ71" s="242"/>
      <c r="AIA71" s="243"/>
      <c r="AIB71" s="242"/>
      <c r="AIC71" s="242"/>
      <c r="AID71" s="242"/>
      <c r="AIE71" s="242"/>
      <c r="AIF71" s="242"/>
      <c r="AIG71" s="244"/>
      <c r="AIH71" s="242"/>
      <c r="AII71" s="242"/>
      <c r="AIJ71" s="242"/>
      <c r="AIK71" s="242"/>
      <c r="AIL71" s="242"/>
      <c r="AIM71" s="245"/>
      <c r="AIN71" s="242"/>
      <c r="AIO71" s="242"/>
      <c r="AIP71" s="242"/>
      <c r="AIQ71" s="242"/>
      <c r="AIR71" s="242"/>
      <c r="AIS71" s="244"/>
      <c r="AIT71" s="242"/>
      <c r="AIU71" s="242"/>
      <c r="AIV71" s="242"/>
      <c r="AIW71" s="242"/>
      <c r="AIX71" s="242"/>
      <c r="AIY71" s="245"/>
      <c r="AIZ71" s="242"/>
      <c r="AJA71" s="242"/>
      <c r="AJB71" s="242"/>
      <c r="AJC71" s="242"/>
      <c r="AJD71" s="242"/>
      <c r="AJE71" s="244"/>
      <c r="AJF71" s="242"/>
      <c r="AJG71" s="242"/>
      <c r="AJH71" s="242"/>
      <c r="AJI71" s="242"/>
      <c r="AJJ71" s="242"/>
      <c r="AJK71" s="245"/>
      <c r="AJL71" s="242"/>
      <c r="AJM71" s="242"/>
      <c r="AJN71" s="242"/>
      <c r="AJO71" s="242"/>
      <c r="AJP71" s="242"/>
      <c r="AJQ71" s="244"/>
      <c r="AJR71" s="242"/>
      <c r="AJS71" s="242"/>
      <c r="AJT71" s="242"/>
      <c r="AJU71" s="242"/>
      <c r="AJV71" s="242"/>
      <c r="AJW71" s="245"/>
      <c r="AJX71" s="242"/>
      <c r="AJY71" s="242"/>
      <c r="AJZ71" s="242"/>
      <c r="AKA71" s="242"/>
      <c r="AKB71" s="242"/>
      <c r="AKC71" s="246"/>
      <c r="AKD71" s="241"/>
      <c r="AKE71" s="242"/>
      <c r="AKF71" s="242"/>
      <c r="AKG71" s="242"/>
      <c r="AKH71" s="242"/>
      <c r="AKI71" s="243"/>
      <c r="AKJ71" s="242"/>
      <c r="AKK71" s="242"/>
      <c r="AKL71" s="242"/>
      <c r="AKM71" s="242"/>
      <c r="AKN71" s="242"/>
      <c r="AKO71" s="244"/>
      <c r="AKP71" s="242"/>
      <c r="AKQ71" s="242"/>
      <c r="AKR71" s="242"/>
      <c r="AKS71" s="242"/>
      <c r="AKT71" s="242"/>
      <c r="AKU71" s="245"/>
      <c r="AKV71" s="242"/>
      <c r="AKW71" s="242"/>
      <c r="AKX71" s="242"/>
      <c r="AKY71" s="242"/>
      <c r="AKZ71" s="242"/>
      <c r="ALA71" s="244"/>
      <c r="ALB71" s="242"/>
      <c r="ALC71" s="242"/>
      <c r="ALD71" s="242"/>
      <c r="ALE71" s="242"/>
      <c r="ALF71" s="242"/>
      <c r="ALG71" s="245"/>
      <c r="ALH71" s="242"/>
      <c r="ALI71" s="242"/>
      <c r="ALJ71" s="242"/>
      <c r="ALK71" s="242"/>
      <c r="ALL71" s="242"/>
      <c r="ALM71" s="244"/>
      <c r="ALN71" s="242"/>
      <c r="ALO71" s="242"/>
      <c r="ALP71" s="242"/>
      <c r="ALQ71" s="242"/>
      <c r="ALR71" s="242"/>
      <c r="ALS71" s="245"/>
      <c r="ALT71" s="242"/>
      <c r="ALU71" s="242"/>
      <c r="ALV71" s="242"/>
      <c r="ALW71" s="242"/>
      <c r="ALX71" s="242"/>
      <c r="ALY71" s="244"/>
      <c r="ALZ71" s="242"/>
      <c r="AMA71" s="242"/>
      <c r="AMB71" s="242"/>
      <c r="AMC71" s="242"/>
      <c r="AMD71" s="242"/>
      <c r="AME71" s="245"/>
      <c r="AMF71" s="242"/>
      <c r="AMG71" s="242"/>
      <c r="AMH71" s="242"/>
      <c r="AMI71" s="242"/>
      <c r="AMJ71" s="242"/>
      <c r="AMK71" s="246"/>
      <c r="AML71" s="241"/>
      <c r="AMM71" s="242"/>
      <c r="AMN71" s="242"/>
      <c r="AMO71" s="242"/>
      <c r="AMP71" s="242"/>
      <c r="AMQ71" s="243"/>
      <c r="AMR71" s="242"/>
      <c r="AMS71" s="242"/>
      <c r="AMT71" s="242"/>
      <c r="AMU71" s="242"/>
      <c r="AMV71" s="242"/>
      <c r="AMW71" s="244"/>
      <c r="AMX71" s="242"/>
      <c r="AMY71" s="242"/>
      <c r="AMZ71" s="242"/>
      <c r="ANA71" s="242"/>
      <c r="ANB71" s="242"/>
      <c r="ANC71" s="245"/>
      <c r="AND71" s="242"/>
      <c r="ANE71" s="242"/>
      <c r="ANF71" s="242"/>
      <c r="ANG71" s="242"/>
      <c r="ANH71" s="242"/>
      <c r="ANI71" s="244"/>
      <c r="ANJ71" s="242"/>
      <c r="ANK71" s="242"/>
      <c r="ANL71" s="242"/>
      <c r="ANM71" s="242"/>
      <c r="ANN71" s="242"/>
      <c r="ANO71" s="245"/>
      <c r="ANP71" s="242"/>
      <c r="ANQ71" s="242"/>
      <c r="ANR71" s="242"/>
      <c r="ANS71" s="242"/>
      <c r="ANT71" s="242"/>
      <c r="ANU71" s="244"/>
      <c r="ANV71" s="242"/>
      <c r="ANW71" s="242"/>
      <c r="ANX71" s="242"/>
      <c r="ANY71" s="242"/>
      <c r="ANZ71" s="242"/>
      <c r="AOA71" s="245"/>
      <c r="AOB71" s="242"/>
      <c r="AOC71" s="242"/>
      <c r="AOD71" s="242"/>
      <c r="AOE71" s="242"/>
      <c r="AOF71" s="242"/>
      <c r="AOG71" s="244"/>
      <c r="AOH71" s="242"/>
      <c r="AOI71" s="242"/>
      <c r="AOJ71" s="242"/>
      <c r="AOK71" s="242"/>
      <c r="AOL71" s="242"/>
      <c r="AOM71" s="245"/>
      <c r="AON71" s="242"/>
      <c r="AOO71" s="242"/>
      <c r="AOP71" s="242"/>
      <c r="AOQ71" s="242"/>
      <c r="AOR71" s="242"/>
      <c r="AOS71" s="246"/>
      <c r="AOT71" s="241"/>
      <c r="AOU71" s="242"/>
      <c r="AOV71" s="242"/>
      <c r="AOW71" s="242"/>
      <c r="AOX71" s="242"/>
      <c r="AOY71" s="243"/>
      <c r="AOZ71" s="242"/>
      <c r="APA71" s="242"/>
      <c r="APB71" s="242"/>
      <c r="APC71" s="242"/>
      <c r="APD71" s="242"/>
      <c r="APE71" s="244"/>
      <c r="APF71" s="242"/>
      <c r="APG71" s="242"/>
      <c r="APH71" s="242"/>
      <c r="API71" s="242"/>
      <c r="APJ71" s="242"/>
      <c r="APK71" s="245"/>
      <c r="APL71" s="242"/>
      <c r="APM71" s="242"/>
      <c r="APN71" s="242"/>
      <c r="APO71" s="242"/>
      <c r="APP71" s="242"/>
      <c r="APQ71" s="244"/>
      <c r="APR71" s="242"/>
      <c r="APS71" s="242"/>
      <c r="APT71" s="242"/>
      <c r="APU71" s="242"/>
      <c r="APV71" s="242"/>
      <c r="APW71" s="245"/>
      <c r="APX71" s="242"/>
      <c r="APY71" s="242"/>
      <c r="APZ71" s="242"/>
      <c r="AQA71" s="242"/>
      <c r="AQB71" s="242"/>
      <c r="AQC71" s="244"/>
      <c r="AQD71" s="242"/>
      <c r="AQE71" s="242"/>
      <c r="AQF71" s="242"/>
      <c r="AQG71" s="242"/>
      <c r="AQH71" s="242"/>
      <c r="AQI71" s="245"/>
      <c r="AQJ71" s="242"/>
      <c r="AQK71" s="242"/>
      <c r="AQL71" s="242"/>
      <c r="AQM71" s="242"/>
      <c r="AQN71" s="242"/>
      <c r="AQO71" s="244"/>
      <c r="AQP71" s="242"/>
      <c r="AQQ71" s="242"/>
      <c r="AQR71" s="242"/>
      <c r="AQS71" s="242"/>
      <c r="AQT71" s="242"/>
      <c r="AQU71" s="245"/>
      <c r="AQV71" s="242"/>
      <c r="AQW71" s="242"/>
      <c r="AQX71" s="242"/>
      <c r="AQY71" s="242"/>
      <c r="AQZ71" s="242"/>
      <c r="ARA71" s="246"/>
      <c r="ARB71" s="241"/>
      <c r="ARC71" s="242"/>
      <c r="ARD71" s="242"/>
      <c r="ARE71" s="242"/>
      <c r="ARF71" s="242"/>
      <c r="ARG71" s="243"/>
      <c r="ARH71" s="242"/>
      <c r="ARI71" s="242"/>
      <c r="ARJ71" s="242"/>
      <c r="ARK71" s="242"/>
      <c r="ARL71" s="242"/>
      <c r="ARM71" s="244"/>
      <c r="ARN71" s="242"/>
      <c r="ARO71" s="242"/>
      <c r="ARP71" s="242"/>
      <c r="ARQ71" s="242"/>
      <c r="ARR71" s="242"/>
      <c r="ARS71" s="245"/>
      <c r="ART71" s="242"/>
      <c r="ARU71" s="242"/>
      <c r="ARV71" s="242"/>
      <c r="ARW71" s="242"/>
      <c r="ARX71" s="242"/>
      <c r="ARY71" s="244"/>
      <c r="ARZ71" s="242"/>
      <c r="ASA71" s="242"/>
      <c r="ASB71" s="242"/>
      <c r="ASC71" s="242"/>
      <c r="ASD71" s="242"/>
      <c r="ASE71" s="245"/>
      <c r="ASF71" s="242"/>
      <c r="ASG71" s="242"/>
      <c r="ASH71" s="242"/>
      <c r="ASI71" s="242"/>
      <c r="ASJ71" s="242"/>
      <c r="ASK71" s="244"/>
      <c r="ASL71" s="242"/>
      <c r="ASM71" s="242"/>
      <c r="ASN71" s="242"/>
      <c r="ASO71" s="242"/>
      <c r="ASP71" s="242"/>
      <c r="ASQ71" s="245"/>
      <c r="ASR71" s="242"/>
      <c r="ASS71" s="242"/>
      <c r="AST71" s="242"/>
      <c r="ASU71" s="242"/>
      <c r="ASV71" s="242"/>
      <c r="ASW71" s="244"/>
      <c r="ASX71" s="242"/>
      <c r="ASY71" s="242"/>
      <c r="ASZ71" s="242"/>
      <c r="ATA71" s="242"/>
      <c r="ATB71" s="242"/>
      <c r="ATC71" s="245"/>
      <c r="ATD71" s="242"/>
      <c r="ATE71" s="242"/>
      <c r="ATF71" s="242"/>
      <c r="ATG71" s="242"/>
      <c r="ATH71" s="242"/>
      <c r="ATI71" s="246"/>
      <c r="ATJ71" s="241"/>
      <c r="ATK71" s="242"/>
      <c r="ATL71" s="242"/>
      <c r="ATM71" s="242"/>
      <c r="ATN71" s="242"/>
      <c r="ATO71" s="243"/>
      <c r="ATP71" s="242"/>
      <c r="ATQ71" s="242"/>
      <c r="ATR71" s="242"/>
      <c r="ATS71" s="242"/>
      <c r="ATT71" s="242"/>
      <c r="ATU71" s="244"/>
      <c r="ATV71" s="242"/>
      <c r="ATW71" s="242"/>
      <c r="ATX71" s="242"/>
      <c r="ATY71" s="242"/>
      <c r="ATZ71" s="242"/>
      <c r="AUA71" s="245"/>
      <c r="AUB71" s="242"/>
      <c r="AUC71" s="242"/>
      <c r="AUD71" s="242"/>
      <c r="AUE71" s="242"/>
      <c r="AUF71" s="242"/>
      <c r="AUG71" s="244"/>
      <c r="AUH71" s="242"/>
      <c r="AUI71" s="242"/>
      <c r="AUJ71" s="242"/>
      <c r="AUK71" s="242"/>
      <c r="AUL71" s="242"/>
      <c r="AUM71" s="245"/>
      <c r="AUN71" s="242"/>
      <c r="AUO71" s="242"/>
      <c r="AUP71" s="242"/>
      <c r="AUQ71" s="242"/>
      <c r="AUR71" s="242"/>
      <c r="AUS71" s="244"/>
      <c r="AUT71" s="242"/>
      <c r="AUU71" s="242"/>
      <c r="AUV71" s="242"/>
      <c r="AUW71" s="242"/>
      <c r="AUX71" s="242"/>
      <c r="AUY71" s="245"/>
      <c r="AUZ71" s="242"/>
      <c r="AVA71" s="242"/>
      <c r="AVB71" s="242"/>
      <c r="AVC71" s="242"/>
      <c r="AVD71" s="242"/>
      <c r="AVE71" s="244"/>
      <c r="AVF71" s="242"/>
      <c r="AVG71" s="242"/>
      <c r="AVH71" s="242"/>
      <c r="AVI71" s="242"/>
      <c r="AVJ71" s="242"/>
      <c r="AVK71" s="245"/>
      <c r="AVL71" s="242"/>
      <c r="AVM71" s="242"/>
      <c r="AVN71" s="242"/>
      <c r="AVO71" s="242"/>
      <c r="AVP71" s="242"/>
      <c r="AVQ71" s="246"/>
      <c r="AVR71" s="241"/>
      <c r="AVS71" s="242"/>
      <c r="AVT71" s="242"/>
      <c r="AVU71" s="242"/>
      <c r="AVV71" s="242"/>
      <c r="AVW71" s="243"/>
      <c r="AVX71" s="242"/>
      <c r="AVY71" s="242"/>
      <c r="AVZ71" s="242"/>
      <c r="AWA71" s="242"/>
      <c r="AWB71" s="242"/>
      <c r="AWC71" s="244"/>
      <c r="AWD71" s="242"/>
      <c r="AWE71" s="242"/>
      <c r="AWF71" s="242"/>
      <c r="AWG71" s="242"/>
      <c r="AWH71" s="242"/>
      <c r="AWI71" s="245"/>
      <c r="AWJ71" s="242"/>
      <c r="AWK71" s="242"/>
      <c r="AWL71" s="242"/>
      <c r="AWM71" s="242"/>
      <c r="AWN71" s="242"/>
      <c r="AWO71" s="244"/>
      <c r="AWP71" s="242"/>
      <c r="AWQ71" s="242"/>
      <c r="AWR71" s="242"/>
      <c r="AWS71" s="242"/>
      <c r="AWT71" s="242"/>
      <c r="AWU71" s="245"/>
      <c r="AWV71" s="242"/>
      <c r="AWW71" s="242"/>
      <c r="AWX71" s="242"/>
      <c r="AWY71" s="242"/>
      <c r="AWZ71" s="242"/>
      <c r="AXA71" s="244"/>
      <c r="AXB71" s="242"/>
      <c r="AXC71" s="242"/>
      <c r="AXD71" s="242"/>
      <c r="AXE71" s="242"/>
      <c r="AXF71" s="242"/>
      <c r="AXG71" s="245"/>
      <c r="AXH71" s="242"/>
      <c r="AXI71" s="242"/>
      <c r="AXJ71" s="242"/>
      <c r="AXK71" s="242"/>
      <c r="AXL71" s="242"/>
      <c r="AXM71" s="244"/>
      <c r="AXN71" s="242"/>
      <c r="AXO71" s="242"/>
      <c r="AXP71" s="242"/>
      <c r="AXQ71" s="242"/>
      <c r="AXR71" s="242"/>
      <c r="AXS71" s="245"/>
      <c r="AXT71" s="242"/>
      <c r="AXU71" s="242"/>
      <c r="AXV71" s="242"/>
      <c r="AXW71" s="242"/>
      <c r="AXX71" s="242"/>
      <c r="AXY71" s="246"/>
      <c r="AXZ71" s="241"/>
      <c r="AYA71" s="242"/>
      <c r="AYB71" s="242"/>
      <c r="AYC71" s="242"/>
      <c r="AYD71" s="242"/>
      <c r="AYE71" s="243"/>
      <c r="AYF71" s="242"/>
      <c r="AYG71" s="242"/>
      <c r="AYH71" s="242"/>
      <c r="AYI71" s="242"/>
      <c r="AYJ71" s="242"/>
      <c r="AYK71" s="244"/>
      <c r="AYL71" s="242"/>
      <c r="AYM71" s="242"/>
      <c r="AYN71" s="242"/>
      <c r="AYO71" s="242"/>
      <c r="AYP71" s="242"/>
      <c r="AYQ71" s="245"/>
      <c r="AYR71" s="242"/>
      <c r="AYS71" s="242"/>
      <c r="AYT71" s="242"/>
      <c r="AYU71" s="242"/>
      <c r="AYV71" s="242"/>
      <c r="AYW71" s="244"/>
      <c r="AYX71" s="242"/>
      <c r="AYY71" s="242"/>
      <c r="AYZ71" s="242"/>
      <c r="AZA71" s="242"/>
      <c r="AZB71" s="242"/>
      <c r="AZC71" s="245"/>
      <c r="AZD71" s="242"/>
      <c r="AZE71" s="242"/>
      <c r="AZF71" s="242"/>
      <c r="AZG71" s="242"/>
      <c r="AZH71" s="242"/>
      <c r="AZI71" s="244"/>
      <c r="AZJ71" s="242"/>
      <c r="AZK71" s="242"/>
      <c r="AZL71" s="242"/>
      <c r="AZM71" s="242"/>
      <c r="AZN71" s="242"/>
      <c r="AZO71" s="245"/>
      <c r="AZP71" s="242"/>
      <c r="AZQ71" s="242"/>
      <c r="AZR71" s="242"/>
      <c r="AZS71" s="242"/>
      <c r="AZT71" s="242"/>
      <c r="AZU71" s="244"/>
      <c r="AZV71" s="242"/>
      <c r="AZW71" s="242"/>
      <c r="AZX71" s="242"/>
      <c r="AZY71" s="242"/>
      <c r="AZZ71" s="242"/>
      <c r="BAA71" s="245"/>
      <c r="BAB71" s="242"/>
      <c r="BAC71" s="242"/>
      <c r="BAD71" s="242"/>
      <c r="BAE71" s="242"/>
      <c r="BAF71" s="242"/>
      <c r="BAG71" s="246"/>
      <c r="BAH71" s="241"/>
      <c r="BAI71" s="242"/>
      <c r="BAJ71" s="242"/>
      <c r="BAK71" s="242"/>
      <c r="BAL71" s="242"/>
      <c r="BAM71" s="243"/>
      <c r="BAN71" s="242"/>
      <c r="BAO71" s="242"/>
      <c r="BAP71" s="242"/>
      <c r="BAQ71" s="242"/>
      <c r="BAR71" s="242"/>
      <c r="BAS71" s="244"/>
      <c r="BAT71" s="242"/>
      <c r="BAU71" s="242"/>
      <c r="BAV71" s="242"/>
      <c r="BAW71" s="242"/>
      <c r="BAX71" s="242"/>
      <c r="BAY71" s="245"/>
      <c r="BAZ71" s="242"/>
      <c r="BBA71" s="242"/>
      <c r="BBB71" s="242"/>
      <c r="BBC71" s="242"/>
      <c r="BBD71" s="242"/>
      <c r="BBE71" s="244"/>
      <c r="BBF71" s="242"/>
      <c r="BBG71" s="242"/>
      <c r="BBH71" s="242"/>
      <c r="BBI71" s="242"/>
      <c r="BBJ71" s="242"/>
      <c r="BBK71" s="245"/>
      <c r="BBL71" s="242"/>
      <c r="BBM71" s="242"/>
      <c r="BBN71" s="242"/>
      <c r="BBO71" s="242"/>
      <c r="BBP71" s="242"/>
      <c r="BBQ71" s="244"/>
      <c r="BBR71" s="242"/>
      <c r="BBS71" s="242"/>
      <c r="BBT71" s="242"/>
      <c r="BBU71" s="242"/>
      <c r="BBV71" s="242"/>
      <c r="BBW71" s="245"/>
      <c r="BBX71" s="242"/>
      <c r="BBY71" s="242"/>
      <c r="BBZ71" s="242"/>
      <c r="BCA71" s="242"/>
      <c r="BCB71" s="242"/>
      <c r="BCC71" s="244"/>
      <c r="BCD71" s="242"/>
      <c r="BCE71" s="242"/>
      <c r="BCF71" s="242"/>
      <c r="BCG71" s="242"/>
      <c r="BCH71" s="242"/>
      <c r="BCI71" s="245"/>
      <c r="BCJ71" s="242"/>
      <c r="BCK71" s="242"/>
      <c r="BCL71" s="242"/>
      <c r="BCM71" s="242"/>
      <c r="BCN71" s="242"/>
      <c r="BCO71" s="246"/>
      <c r="BCP71" s="241"/>
      <c r="BCQ71" s="242"/>
      <c r="BCR71" s="242"/>
      <c r="BCS71" s="242"/>
      <c r="BCT71" s="242"/>
      <c r="BCU71" s="243"/>
      <c r="BCV71" s="242"/>
      <c r="BCW71" s="242"/>
      <c r="BCX71" s="242"/>
      <c r="BCY71" s="242"/>
      <c r="BCZ71" s="242"/>
      <c r="BDA71" s="244"/>
      <c r="BDB71" s="242"/>
      <c r="BDC71" s="242"/>
      <c r="BDD71" s="242"/>
      <c r="BDE71" s="242"/>
      <c r="BDF71" s="242"/>
      <c r="BDG71" s="245"/>
      <c r="BDH71" s="242"/>
      <c r="BDI71" s="242"/>
      <c r="BDJ71" s="242"/>
      <c r="BDK71" s="242"/>
      <c r="BDL71" s="242"/>
      <c r="BDM71" s="244"/>
      <c r="BDN71" s="242"/>
      <c r="BDO71" s="242"/>
      <c r="BDP71" s="242"/>
      <c r="BDQ71" s="242"/>
      <c r="BDR71" s="242"/>
      <c r="BDS71" s="245"/>
      <c r="BDT71" s="242"/>
      <c r="BDU71" s="242"/>
      <c r="BDV71" s="242"/>
      <c r="BDW71" s="242"/>
      <c r="BDX71" s="242"/>
      <c r="BDY71" s="244"/>
      <c r="BDZ71" s="242"/>
      <c r="BEA71" s="242"/>
      <c r="BEB71" s="242"/>
      <c r="BEC71" s="242"/>
      <c r="BED71" s="242"/>
      <c r="BEE71" s="245"/>
      <c r="BEF71" s="242"/>
      <c r="BEG71" s="242"/>
      <c r="BEH71" s="242"/>
      <c r="BEI71" s="242"/>
      <c r="BEJ71" s="242"/>
      <c r="BEK71" s="244"/>
      <c r="BEL71" s="242"/>
      <c r="BEM71" s="242"/>
      <c r="BEN71" s="242"/>
      <c r="BEO71" s="242"/>
      <c r="BEP71" s="242"/>
      <c r="BEQ71" s="245"/>
      <c r="BER71" s="242"/>
      <c r="BES71" s="242"/>
      <c r="BET71" s="242"/>
      <c r="BEU71" s="242"/>
      <c r="BEV71" s="242"/>
      <c r="BEW71" s="246"/>
      <c r="BEX71" s="241"/>
      <c r="BEY71" s="242"/>
      <c r="BEZ71" s="242"/>
      <c r="BFA71" s="242"/>
      <c r="BFB71" s="242"/>
      <c r="BFC71" s="243"/>
      <c r="BFD71" s="242"/>
      <c r="BFE71" s="242"/>
      <c r="BFF71" s="242"/>
      <c r="BFG71" s="242"/>
      <c r="BFH71" s="242"/>
      <c r="BFI71" s="244"/>
      <c r="BFJ71" s="242"/>
      <c r="BFK71" s="242"/>
      <c r="BFL71" s="242"/>
      <c r="BFM71" s="242"/>
      <c r="BFN71" s="242"/>
      <c r="BFO71" s="245"/>
      <c r="BFP71" s="242"/>
      <c r="BFQ71" s="242"/>
      <c r="BFR71" s="242"/>
      <c r="BFS71" s="242"/>
      <c r="BFT71" s="242"/>
      <c r="BFU71" s="244"/>
      <c r="BFV71" s="242"/>
      <c r="BFW71" s="242"/>
      <c r="BFX71" s="242"/>
      <c r="BFY71" s="242"/>
      <c r="BFZ71" s="242"/>
      <c r="BGA71" s="245"/>
      <c r="BGB71" s="242"/>
      <c r="BGC71" s="242"/>
      <c r="BGD71" s="242"/>
      <c r="BGE71" s="242"/>
      <c r="BGF71" s="242"/>
      <c r="BGG71" s="244"/>
      <c r="BGH71" s="242"/>
      <c r="BGI71" s="242"/>
      <c r="BGJ71" s="242"/>
      <c r="BGK71" s="242"/>
      <c r="BGL71" s="242"/>
      <c r="BGM71" s="245"/>
      <c r="BGN71" s="242"/>
      <c r="BGO71" s="242"/>
      <c r="BGP71" s="242"/>
      <c r="BGQ71" s="242"/>
      <c r="BGR71" s="242"/>
      <c r="BGS71" s="244"/>
      <c r="BGT71" s="242"/>
      <c r="BGU71" s="242"/>
      <c r="BGV71" s="242"/>
      <c r="BGW71" s="242"/>
      <c r="BGX71" s="242"/>
      <c r="BGY71" s="245"/>
      <c r="BGZ71" s="242"/>
      <c r="BHA71" s="242"/>
      <c r="BHB71" s="242"/>
      <c r="BHC71" s="242"/>
      <c r="BHD71" s="242"/>
      <c r="BHE71" s="246"/>
      <c r="BHF71" s="241"/>
      <c r="BHG71" s="242"/>
      <c r="BHH71" s="242"/>
      <c r="BHI71" s="242"/>
      <c r="BHJ71" s="242"/>
      <c r="BHK71" s="243"/>
      <c r="BHL71" s="242"/>
      <c r="BHM71" s="242"/>
      <c r="BHN71" s="242"/>
      <c r="BHO71" s="242"/>
      <c r="BHP71" s="242"/>
      <c r="BHQ71" s="244"/>
      <c r="BHR71" s="242"/>
      <c r="BHS71" s="242"/>
      <c r="BHT71" s="242"/>
      <c r="BHU71" s="242"/>
      <c r="BHV71" s="242"/>
      <c r="BHW71" s="245"/>
      <c r="BHX71" s="242"/>
      <c r="BHY71" s="242"/>
      <c r="BHZ71" s="242"/>
      <c r="BIA71" s="242"/>
      <c r="BIB71" s="242"/>
      <c r="BIC71" s="244"/>
      <c r="BID71" s="242"/>
      <c r="BIE71" s="242"/>
      <c r="BIF71" s="242"/>
      <c r="BIG71" s="242"/>
      <c r="BIH71" s="242"/>
      <c r="BII71" s="245"/>
      <c r="BIJ71" s="242"/>
      <c r="BIK71" s="242"/>
      <c r="BIL71" s="242"/>
      <c r="BIM71" s="242"/>
      <c r="BIN71" s="242"/>
      <c r="BIO71" s="244"/>
      <c r="BIP71" s="242"/>
      <c r="BIQ71" s="242"/>
      <c r="BIR71" s="242"/>
      <c r="BIS71" s="242"/>
      <c r="BIT71" s="242"/>
      <c r="BIU71" s="245"/>
      <c r="BIV71" s="242"/>
      <c r="BIW71" s="242"/>
      <c r="BIX71" s="242"/>
      <c r="BIY71" s="242"/>
      <c r="BIZ71" s="242"/>
      <c r="BJA71" s="244"/>
      <c r="BJB71" s="242"/>
      <c r="BJC71" s="242"/>
      <c r="BJD71" s="242"/>
      <c r="BJE71" s="242"/>
      <c r="BJF71" s="242"/>
      <c r="BJG71" s="245"/>
      <c r="BJH71" s="242"/>
      <c r="BJI71" s="242"/>
      <c r="BJJ71" s="242"/>
      <c r="BJK71" s="242"/>
      <c r="BJL71" s="242"/>
      <c r="BJM71" s="246"/>
      <c r="BJN71" s="233"/>
      <c r="BJO71" s="234"/>
      <c r="BJP71" s="234"/>
      <c r="BJQ71" s="234"/>
      <c r="BJR71" s="234"/>
      <c r="BJS71" s="234"/>
      <c r="BJT71" s="234"/>
      <c r="BJU71" s="234"/>
      <c r="BJV71" s="234"/>
      <c r="BJW71" s="234"/>
      <c r="BJX71" s="234"/>
      <c r="BJY71" s="234"/>
      <c r="BJZ71" s="234"/>
      <c r="BKA71" s="234"/>
      <c r="BKB71" s="234"/>
      <c r="BKC71" s="234"/>
      <c r="BKD71" s="234"/>
      <c r="BKE71" s="234"/>
      <c r="BKF71" s="234"/>
      <c r="BKG71" s="234"/>
      <c r="BKH71" s="234"/>
      <c r="BKI71" s="234"/>
      <c r="BKJ71" s="234"/>
      <c r="BKK71" s="234"/>
      <c r="BKL71" s="234"/>
      <c r="BKM71" s="234"/>
      <c r="BKN71" s="234"/>
    </row>
    <row r="72" spans="1:1652" ht="20.100000000000001" customHeight="1" x14ac:dyDescent="0.25">
      <c r="A72" s="84" t="s">
        <v>20</v>
      </c>
      <c r="B72" s="53"/>
      <c r="C72" s="178"/>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174"/>
      <c r="BJO72" s="4"/>
      <c r="BJP72" s="4"/>
      <c r="BJQ72" s="4"/>
      <c r="BJR72" s="4"/>
      <c r="BJS72" s="4"/>
      <c r="BJT72" s="4"/>
      <c r="BJU72" s="4"/>
      <c r="BJV72" s="4"/>
      <c r="BJW72" s="4"/>
      <c r="BJX72" s="4"/>
      <c r="BJY72" s="4"/>
      <c r="BJZ72" s="4"/>
      <c r="BKA72" s="4"/>
      <c r="BKB72" s="4"/>
      <c r="BKC72" s="4"/>
      <c r="BKD72" s="4"/>
      <c r="BKE72" s="4"/>
      <c r="BKF72" s="4"/>
      <c r="BKG72" s="4"/>
      <c r="BKH72" s="4"/>
      <c r="BKI72" s="4"/>
      <c r="BKJ72" s="4"/>
      <c r="BKK72" s="4"/>
      <c r="BKL72" s="4"/>
      <c r="BKM72" s="4"/>
      <c r="BKN72" s="4"/>
    </row>
    <row r="73" spans="1:1652" ht="20.100000000000001" customHeight="1" x14ac:dyDescent="0.25">
      <c r="A73" s="84" t="s">
        <v>19</v>
      </c>
      <c r="B73" s="53"/>
      <c r="C73" s="177"/>
      <c r="D73" s="129" t="str">
        <f t="shared" si="0"/>
        <v>0h</v>
      </c>
      <c r="E73" s="26">
        <v>0</v>
      </c>
      <c r="F73" s="235"/>
      <c r="G73" s="236"/>
      <c r="H73" s="236"/>
      <c r="I73" s="236"/>
      <c r="J73" s="236"/>
      <c r="K73" s="237"/>
      <c r="L73" s="236"/>
      <c r="M73" s="236"/>
      <c r="N73" s="236"/>
      <c r="O73" s="236"/>
      <c r="P73" s="236"/>
      <c r="Q73" s="238"/>
      <c r="R73" s="236"/>
      <c r="S73" s="236"/>
      <c r="T73" s="236"/>
      <c r="U73" s="236"/>
      <c r="V73" s="236"/>
      <c r="W73" s="239"/>
      <c r="X73" s="236"/>
      <c r="Y73" s="236"/>
      <c r="Z73" s="236"/>
      <c r="AA73" s="236"/>
      <c r="AB73" s="236"/>
      <c r="AC73" s="238"/>
      <c r="AD73" s="236"/>
      <c r="AE73" s="236"/>
      <c r="AF73" s="236"/>
      <c r="AG73" s="236"/>
      <c r="AH73" s="236"/>
      <c r="AI73" s="239"/>
      <c r="AJ73" s="236"/>
      <c r="AK73" s="236"/>
      <c r="AL73" s="236"/>
      <c r="AM73" s="236"/>
      <c r="AN73" s="236"/>
      <c r="AO73" s="238"/>
      <c r="AP73" s="236"/>
      <c r="AQ73" s="236"/>
      <c r="AR73" s="236"/>
      <c r="AS73" s="236"/>
      <c r="AT73" s="236"/>
      <c r="AU73" s="239"/>
      <c r="AV73" s="236"/>
      <c r="AW73" s="236"/>
      <c r="AX73" s="236"/>
      <c r="AY73" s="236"/>
      <c r="AZ73" s="236"/>
      <c r="BA73" s="238"/>
      <c r="BB73" s="236"/>
      <c r="BC73" s="236"/>
      <c r="BD73" s="236"/>
      <c r="BE73" s="236"/>
      <c r="BF73" s="236"/>
      <c r="BG73" s="239"/>
      <c r="BH73" s="236"/>
      <c r="BI73" s="236"/>
      <c r="BJ73" s="236"/>
      <c r="BK73" s="236"/>
      <c r="BL73" s="236"/>
      <c r="BM73" s="240"/>
      <c r="BN73" s="235"/>
      <c r="BO73" s="236"/>
      <c r="BP73" s="236"/>
      <c r="BQ73" s="236"/>
      <c r="BR73" s="236"/>
      <c r="BS73" s="237"/>
      <c r="BT73" s="236"/>
      <c r="BU73" s="236"/>
      <c r="BV73" s="236"/>
      <c r="BW73" s="236"/>
      <c r="BX73" s="236"/>
      <c r="BY73" s="238"/>
      <c r="BZ73" s="236"/>
      <c r="CA73" s="236"/>
      <c r="CB73" s="236"/>
      <c r="CC73" s="236"/>
      <c r="CD73" s="236"/>
      <c r="CE73" s="239"/>
      <c r="CF73" s="236"/>
      <c r="CG73" s="236"/>
      <c r="CH73" s="236"/>
      <c r="CI73" s="236"/>
      <c r="CJ73" s="236"/>
      <c r="CK73" s="238"/>
      <c r="CL73" s="236"/>
      <c r="CM73" s="236"/>
      <c r="CN73" s="236"/>
      <c r="CO73" s="236"/>
      <c r="CP73" s="236"/>
      <c r="CQ73" s="239"/>
      <c r="CR73" s="236"/>
      <c r="CS73" s="236"/>
      <c r="CT73" s="236"/>
      <c r="CU73" s="236"/>
      <c r="CV73" s="236"/>
      <c r="CW73" s="238"/>
      <c r="CX73" s="236"/>
      <c r="CY73" s="236"/>
      <c r="CZ73" s="236"/>
      <c r="DA73" s="236"/>
      <c r="DB73" s="236"/>
      <c r="DC73" s="239"/>
      <c r="DD73" s="236"/>
      <c r="DE73" s="236"/>
      <c r="DF73" s="236"/>
      <c r="DG73" s="236"/>
      <c r="DH73" s="236"/>
      <c r="DI73" s="238"/>
      <c r="DJ73" s="236"/>
      <c r="DK73" s="236"/>
      <c r="DL73" s="236"/>
      <c r="DM73" s="236"/>
      <c r="DN73" s="236"/>
      <c r="DO73" s="239"/>
      <c r="DP73" s="236"/>
      <c r="DQ73" s="236"/>
      <c r="DR73" s="236"/>
      <c r="DS73" s="236"/>
      <c r="DT73" s="236"/>
      <c r="DU73" s="240"/>
      <c r="DV73" s="235"/>
      <c r="DW73" s="236"/>
      <c r="DX73" s="236"/>
      <c r="DY73" s="236"/>
      <c r="DZ73" s="236"/>
      <c r="EA73" s="237"/>
      <c r="EB73" s="236"/>
      <c r="EC73" s="236"/>
      <c r="ED73" s="236"/>
      <c r="EE73" s="236"/>
      <c r="EF73" s="236"/>
      <c r="EG73" s="238"/>
      <c r="EH73" s="236"/>
      <c r="EI73" s="236"/>
      <c r="EJ73" s="236"/>
      <c r="EK73" s="236"/>
      <c r="EL73" s="236"/>
      <c r="EM73" s="239"/>
      <c r="EN73" s="236"/>
      <c r="EO73" s="236"/>
      <c r="EP73" s="236"/>
      <c r="EQ73" s="236"/>
      <c r="ER73" s="236"/>
      <c r="ES73" s="238"/>
      <c r="ET73" s="236"/>
      <c r="EU73" s="236"/>
      <c r="EV73" s="236"/>
      <c r="EW73" s="236"/>
      <c r="EX73" s="236"/>
      <c r="EY73" s="239"/>
      <c r="EZ73" s="236"/>
      <c r="FA73" s="236"/>
      <c r="FB73" s="236"/>
      <c r="FC73" s="236"/>
      <c r="FD73" s="236"/>
      <c r="FE73" s="238"/>
      <c r="FF73" s="236"/>
      <c r="FG73" s="236"/>
      <c r="FH73" s="236"/>
      <c r="FI73" s="236"/>
      <c r="FJ73" s="236"/>
      <c r="FK73" s="239"/>
      <c r="FL73" s="236"/>
      <c r="FM73" s="236"/>
      <c r="FN73" s="236"/>
      <c r="FO73" s="236"/>
      <c r="FP73" s="236"/>
      <c r="FQ73" s="238"/>
      <c r="FR73" s="236"/>
      <c r="FS73" s="236"/>
      <c r="FT73" s="236"/>
      <c r="FU73" s="236"/>
      <c r="FV73" s="236"/>
      <c r="FW73" s="239"/>
      <c r="FX73" s="236"/>
      <c r="FY73" s="236"/>
      <c r="FZ73" s="236"/>
      <c r="GA73" s="236"/>
      <c r="GB73" s="236"/>
      <c r="GC73" s="240"/>
      <c r="GD73" s="235"/>
      <c r="GE73" s="236"/>
      <c r="GF73" s="236"/>
      <c r="GG73" s="236"/>
      <c r="GH73" s="236"/>
      <c r="GI73" s="237"/>
      <c r="GJ73" s="236"/>
      <c r="GK73" s="236"/>
      <c r="GL73" s="236"/>
      <c r="GM73" s="236"/>
      <c r="GN73" s="236"/>
      <c r="GO73" s="238"/>
      <c r="GP73" s="236"/>
      <c r="GQ73" s="236"/>
      <c r="GR73" s="236"/>
      <c r="GS73" s="236"/>
      <c r="GT73" s="236"/>
      <c r="GU73" s="239"/>
      <c r="GV73" s="236"/>
      <c r="GW73" s="236"/>
      <c r="GX73" s="236"/>
      <c r="GY73" s="236"/>
      <c r="GZ73" s="236"/>
      <c r="HA73" s="238"/>
      <c r="HB73" s="236"/>
      <c r="HC73" s="236"/>
      <c r="HD73" s="236"/>
      <c r="HE73" s="236"/>
      <c r="HF73" s="236"/>
      <c r="HG73" s="239"/>
      <c r="HH73" s="236"/>
      <c r="HI73" s="236"/>
      <c r="HJ73" s="236"/>
      <c r="HK73" s="236"/>
      <c r="HL73" s="236"/>
      <c r="HM73" s="238"/>
      <c r="HN73" s="236"/>
      <c r="HO73" s="236"/>
      <c r="HP73" s="236"/>
      <c r="HQ73" s="236"/>
      <c r="HR73" s="236"/>
      <c r="HS73" s="239"/>
      <c r="HT73" s="236"/>
      <c r="HU73" s="236"/>
      <c r="HV73" s="236"/>
      <c r="HW73" s="236"/>
      <c r="HX73" s="236"/>
      <c r="HY73" s="238"/>
      <c r="HZ73" s="236"/>
      <c r="IA73" s="236"/>
      <c r="IB73" s="236"/>
      <c r="IC73" s="236"/>
      <c r="ID73" s="236"/>
      <c r="IE73" s="239"/>
      <c r="IF73" s="236"/>
      <c r="IG73" s="236"/>
      <c r="IH73" s="236"/>
      <c r="II73" s="236"/>
      <c r="IJ73" s="236"/>
      <c r="IK73" s="240"/>
      <c r="IL73" s="235"/>
      <c r="IM73" s="236"/>
      <c r="IN73" s="236"/>
      <c r="IO73" s="236"/>
      <c r="IP73" s="236"/>
      <c r="IQ73" s="237"/>
      <c r="IR73" s="236"/>
      <c r="IS73" s="236"/>
      <c r="IT73" s="236"/>
      <c r="IU73" s="236"/>
      <c r="IV73" s="236"/>
      <c r="IW73" s="238"/>
      <c r="IX73" s="236"/>
      <c r="IY73" s="236"/>
      <c r="IZ73" s="236"/>
      <c r="JA73" s="236"/>
      <c r="JB73" s="236"/>
      <c r="JC73" s="239"/>
      <c r="JD73" s="236"/>
      <c r="JE73" s="236"/>
      <c r="JF73" s="236"/>
      <c r="JG73" s="236"/>
      <c r="JH73" s="236"/>
      <c r="JI73" s="238"/>
      <c r="JJ73" s="236"/>
      <c r="JK73" s="236"/>
      <c r="JL73" s="236"/>
      <c r="JM73" s="236"/>
      <c r="JN73" s="236"/>
      <c r="JO73" s="239"/>
      <c r="JP73" s="236"/>
      <c r="JQ73" s="236"/>
      <c r="JR73" s="236"/>
      <c r="JS73" s="236"/>
      <c r="JT73" s="236"/>
      <c r="JU73" s="238"/>
      <c r="JV73" s="236"/>
      <c r="JW73" s="236"/>
      <c r="JX73" s="236"/>
      <c r="JY73" s="236"/>
      <c r="JZ73" s="236"/>
      <c r="KA73" s="239"/>
      <c r="KB73" s="236"/>
      <c r="KC73" s="236"/>
      <c r="KD73" s="236"/>
      <c r="KE73" s="236"/>
      <c r="KF73" s="236"/>
      <c r="KG73" s="238"/>
      <c r="KH73" s="236"/>
      <c r="KI73" s="236"/>
      <c r="KJ73" s="236"/>
      <c r="KK73" s="236"/>
      <c r="KL73" s="236"/>
      <c r="KM73" s="239"/>
      <c r="KN73" s="236"/>
      <c r="KO73" s="236"/>
      <c r="KP73" s="236"/>
      <c r="KQ73" s="236"/>
      <c r="KR73" s="236"/>
      <c r="KS73" s="240"/>
      <c r="KT73" s="235"/>
      <c r="KU73" s="236"/>
      <c r="KV73" s="236"/>
      <c r="KW73" s="236"/>
      <c r="KX73" s="236"/>
      <c r="KY73" s="237"/>
      <c r="KZ73" s="236"/>
      <c r="LA73" s="236"/>
      <c r="LB73" s="236"/>
      <c r="LC73" s="236"/>
      <c r="LD73" s="236"/>
      <c r="LE73" s="238"/>
      <c r="LF73" s="236"/>
      <c r="LG73" s="236"/>
      <c r="LH73" s="236"/>
      <c r="LI73" s="236"/>
      <c r="LJ73" s="236"/>
      <c r="LK73" s="239"/>
      <c r="LL73" s="236"/>
      <c r="LM73" s="236"/>
      <c r="LN73" s="236"/>
      <c r="LO73" s="236"/>
      <c r="LP73" s="236"/>
      <c r="LQ73" s="238"/>
      <c r="LR73" s="236"/>
      <c r="LS73" s="236"/>
      <c r="LT73" s="236"/>
      <c r="LU73" s="236"/>
      <c r="LV73" s="236"/>
      <c r="LW73" s="239"/>
      <c r="LX73" s="236"/>
      <c r="LY73" s="236"/>
      <c r="LZ73" s="236"/>
      <c r="MA73" s="236"/>
      <c r="MB73" s="236"/>
      <c r="MC73" s="238"/>
      <c r="MD73" s="236"/>
      <c r="ME73" s="236"/>
      <c r="MF73" s="236"/>
      <c r="MG73" s="236"/>
      <c r="MH73" s="236"/>
      <c r="MI73" s="239"/>
      <c r="MJ73" s="236"/>
      <c r="MK73" s="236"/>
      <c r="ML73" s="236"/>
      <c r="MM73" s="236"/>
      <c r="MN73" s="236"/>
      <c r="MO73" s="238"/>
      <c r="MP73" s="236"/>
      <c r="MQ73" s="236"/>
      <c r="MR73" s="236"/>
      <c r="MS73" s="236"/>
      <c r="MT73" s="236"/>
      <c r="MU73" s="239"/>
      <c r="MV73" s="236"/>
      <c r="MW73" s="236"/>
      <c r="MX73" s="236"/>
      <c r="MY73" s="236"/>
      <c r="MZ73" s="236"/>
      <c r="NA73" s="240"/>
      <c r="NB73" s="235"/>
      <c r="NC73" s="236"/>
      <c r="ND73" s="236"/>
      <c r="NE73" s="236"/>
      <c r="NF73" s="236"/>
      <c r="NG73" s="237"/>
      <c r="NH73" s="236"/>
      <c r="NI73" s="236"/>
      <c r="NJ73" s="236"/>
      <c r="NK73" s="236"/>
      <c r="NL73" s="236"/>
      <c r="NM73" s="238"/>
      <c r="NN73" s="236"/>
      <c r="NO73" s="236"/>
      <c r="NP73" s="236"/>
      <c r="NQ73" s="236"/>
      <c r="NR73" s="236"/>
      <c r="NS73" s="239"/>
      <c r="NT73" s="236"/>
      <c r="NU73" s="236"/>
      <c r="NV73" s="236"/>
      <c r="NW73" s="236"/>
      <c r="NX73" s="236"/>
      <c r="NY73" s="238"/>
      <c r="NZ73" s="236"/>
      <c r="OA73" s="236"/>
      <c r="OB73" s="236"/>
      <c r="OC73" s="236"/>
      <c r="OD73" s="236"/>
      <c r="OE73" s="239"/>
      <c r="OF73" s="236"/>
      <c r="OG73" s="236"/>
      <c r="OH73" s="236"/>
      <c r="OI73" s="236"/>
      <c r="OJ73" s="236"/>
      <c r="OK73" s="238"/>
      <c r="OL73" s="236"/>
      <c r="OM73" s="236"/>
      <c r="ON73" s="236"/>
      <c r="OO73" s="236"/>
      <c r="OP73" s="236"/>
      <c r="OQ73" s="239"/>
      <c r="OR73" s="236"/>
      <c r="OS73" s="236"/>
      <c r="OT73" s="236"/>
      <c r="OU73" s="236"/>
      <c r="OV73" s="236"/>
      <c r="OW73" s="238"/>
      <c r="OX73" s="236"/>
      <c r="OY73" s="236"/>
      <c r="OZ73" s="236"/>
      <c r="PA73" s="236"/>
      <c r="PB73" s="236"/>
      <c r="PC73" s="239"/>
      <c r="PD73" s="236"/>
      <c r="PE73" s="236"/>
      <c r="PF73" s="236"/>
      <c r="PG73" s="236"/>
      <c r="PH73" s="236"/>
      <c r="PI73" s="240"/>
      <c r="PJ73" s="235"/>
      <c r="PK73" s="236"/>
      <c r="PL73" s="236"/>
      <c r="PM73" s="236"/>
      <c r="PN73" s="236"/>
      <c r="PO73" s="237"/>
      <c r="PP73" s="236"/>
      <c r="PQ73" s="236"/>
      <c r="PR73" s="236"/>
      <c r="PS73" s="236"/>
      <c r="PT73" s="236"/>
      <c r="PU73" s="238"/>
      <c r="PV73" s="236"/>
      <c r="PW73" s="236"/>
      <c r="PX73" s="236"/>
      <c r="PY73" s="236"/>
      <c r="PZ73" s="236"/>
      <c r="QA73" s="239"/>
      <c r="QB73" s="236"/>
      <c r="QC73" s="236"/>
      <c r="QD73" s="236"/>
      <c r="QE73" s="236"/>
      <c r="QF73" s="236"/>
      <c r="QG73" s="238"/>
      <c r="QH73" s="236"/>
      <c r="QI73" s="236"/>
      <c r="QJ73" s="236"/>
      <c r="QK73" s="236"/>
      <c r="QL73" s="236"/>
      <c r="QM73" s="239"/>
      <c r="QN73" s="236"/>
      <c r="QO73" s="236"/>
      <c r="QP73" s="236"/>
      <c r="QQ73" s="236"/>
      <c r="QR73" s="236"/>
      <c r="QS73" s="238"/>
      <c r="QT73" s="236"/>
      <c r="QU73" s="236"/>
      <c r="QV73" s="236"/>
      <c r="QW73" s="236"/>
      <c r="QX73" s="236"/>
      <c r="QY73" s="239"/>
      <c r="QZ73" s="236"/>
      <c r="RA73" s="236"/>
      <c r="RB73" s="236"/>
      <c r="RC73" s="236"/>
      <c r="RD73" s="236"/>
      <c r="RE73" s="238"/>
      <c r="RF73" s="236"/>
      <c r="RG73" s="236"/>
      <c r="RH73" s="236"/>
      <c r="RI73" s="236"/>
      <c r="RJ73" s="236"/>
      <c r="RK73" s="239"/>
      <c r="RL73" s="236"/>
      <c r="RM73" s="236"/>
      <c r="RN73" s="236"/>
      <c r="RO73" s="236"/>
      <c r="RP73" s="236"/>
      <c r="RQ73" s="240"/>
      <c r="RR73" s="235"/>
      <c r="RS73" s="236"/>
      <c r="RT73" s="236"/>
      <c r="RU73" s="236"/>
      <c r="RV73" s="236"/>
      <c r="RW73" s="237"/>
      <c r="RX73" s="236"/>
      <c r="RY73" s="236"/>
      <c r="RZ73" s="236"/>
      <c r="SA73" s="236"/>
      <c r="SB73" s="236"/>
      <c r="SC73" s="238"/>
      <c r="SD73" s="236"/>
      <c r="SE73" s="236"/>
      <c r="SF73" s="236"/>
      <c r="SG73" s="236"/>
      <c r="SH73" s="236"/>
      <c r="SI73" s="239"/>
      <c r="SJ73" s="236"/>
      <c r="SK73" s="236"/>
      <c r="SL73" s="236"/>
      <c r="SM73" s="236"/>
      <c r="SN73" s="236"/>
      <c r="SO73" s="238"/>
      <c r="SP73" s="236"/>
      <c r="SQ73" s="236"/>
      <c r="SR73" s="236"/>
      <c r="SS73" s="236"/>
      <c r="ST73" s="236"/>
      <c r="SU73" s="239"/>
      <c r="SV73" s="236"/>
      <c r="SW73" s="236"/>
      <c r="SX73" s="236"/>
      <c r="SY73" s="236"/>
      <c r="SZ73" s="236"/>
      <c r="TA73" s="238"/>
      <c r="TB73" s="236"/>
      <c r="TC73" s="236"/>
      <c r="TD73" s="236"/>
      <c r="TE73" s="236"/>
      <c r="TF73" s="236"/>
      <c r="TG73" s="239"/>
      <c r="TH73" s="236"/>
      <c r="TI73" s="236"/>
      <c r="TJ73" s="236"/>
      <c r="TK73" s="236"/>
      <c r="TL73" s="236"/>
      <c r="TM73" s="238"/>
      <c r="TN73" s="236"/>
      <c r="TO73" s="236"/>
      <c r="TP73" s="236"/>
      <c r="TQ73" s="236"/>
      <c r="TR73" s="236"/>
      <c r="TS73" s="239"/>
      <c r="TT73" s="236"/>
      <c r="TU73" s="236"/>
      <c r="TV73" s="236"/>
      <c r="TW73" s="236"/>
      <c r="TX73" s="236"/>
      <c r="TY73" s="240"/>
      <c r="TZ73" s="235"/>
      <c r="UA73" s="236"/>
      <c r="UB73" s="236"/>
      <c r="UC73" s="236"/>
      <c r="UD73" s="236"/>
      <c r="UE73" s="237"/>
      <c r="UF73" s="236"/>
      <c r="UG73" s="236"/>
      <c r="UH73" s="236"/>
      <c r="UI73" s="236"/>
      <c r="UJ73" s="236"/>
      <c r="UK73" s="238"/>
      <c r="UL73" s="236"/>
      <c r="UM73" s="236"/>
      <c r="UN73" s="236"/>
      <c r="UO73" s="236"/>
      <c r="UP73" s="236"/>
      <c r="UQ73" s="239"/>
      <c r="UR73" s="236"/>
      <c r="US73" s="236"/>
      <c r="UT73" s="236"/>
      <c r="UU73" s="236"/>
      <c r="UV73" s="236"/>
      <c r="UW73" s="238"/>
      <c r="UX73" s="236"/>
      <c r="UY73" s="236"/>
      <c r="UZ73" s="236"/>
      <c r="VA73" s="236"/>
      <c r="VB73" s="236"/>
      <c r="VC73" s="239"/>
      <c r="VD73" s="236"/>
      <c r="VE73" s="236"/>
      <c r="VF73" s="236"/>
      <c r="VG73" s="236"/>
      <c r="VH73" s="236"/>
      <c r="VI73" s="238"/>
      <c r="VJ73" s="236"/>
      <c r="VK73" s="236"/>
      <c r="VL73" s="236"/>
      <c r="VM73" s="236"/>
      <c r="VN73" s="236"/>
      <c r="VO73" s="239"/>
      <c r="VP73" s="236"/>
      <c r="VQ73" s="236"/>
      <c r="VR73" s="236"/>
      <c r="VS73" s="236"/>
      <c r="VT73" s="236"/>
      <c r="VU73" s="238"/>
      <c r="VV73" s="236"/>
      <c r="VW73" s="236"/>
      <c r="VX73" s="236"/>
      <c r="VY73" s="236"/>
      <c r="VZ73" s="236"/>
      <c r="WA73" s="239"/>
      <c r="WB73" s="236"/>
      <c r="WC73" s="236"/>
      <c r="WD73" s="236"/>
      <c r="WE73" s="236"/>
      <c r="WF73" s="236"/>
      <c r="WG73" s="240"/>
      <c r="WH73" s="235"/>
      <c r="WI73" s="236"/>
      <c r="WJ73" s="236"/>
      <c r="WK73" s="236"/>
      <c r="WL73" s="236"/>
      <c r="WM73" s="237"/>
      <c r="WN73" s="236"/>
      <c r="WO73" s="236"/>
      <c r="WP73" s="236"/>
      <c r="WQ73" s="236"/>
      <c r="WR73" s="236"/>
      <c r="WS73" s="238"/>
      <c r="WT73" s="236"/>
      <c r="WU73" s="236"/>
      <c r="WV73" s="236"/>
      <c r="WW73" s="236"/>
      <c r="WX73" s="236"/>
      <c r="WY73" s="239"/>
      <c r="WZ73" s="236"/>
      <c r="XA73" s="236"/>
      <c r="XB73" s="236"/>
      <c r="XC73" s="236"/>
      <c r="XD73" s="236"/>
      <c r="XE73" s="238"/>
      <c r="XF73" s="236"/>
      <c r="XG73" s="236"/>
      <c r="XH73" s="236"/>
      <c r="XI73" s="236"/>
      <c r="XJ73" s="236"/>
      <c r="XK73" s="239"/>
      <c r="XL73" s="236"/>
      <c r="XM73" s="236"/>
      <c r="XN73" s="236"/>
      <c r="XO73" s="236"/>
      <c r="XP73" s="236"/>
      <c r="XQ73" s="238"/>
      <c r="XR73" s="236"/>
      <c r="XS73" s="236"/>
      <c r="XT73" s="236"/>
      <c r="XU73" s="236"/>
      <c r="XV73" s="236"/>
      <c r="XW73" s="239"/>
      <c r="XX73" s="236"/>
      <c r="XY73" s="236"/>
      <c r="XZ73" s="236"/>
      <c r="YA73" s="236"/>
      <c r="YB73" s="236"/>
      <c r="YC73" s="238"/>
      <c r="YD73" s="236"/>
      <c r="YE73" s="236"/>
      <c r="YF73" s="236"/>
      <c r="YG73" s="236"/>
      <c r="YH73" s="236"/>
      <c r="YI73" s="239"/>
      <c r="YJ73" s="236"/>
      <c r="YK73" s="236"/>
      <c r="YL73" s="236"/>
      <c r="YM73" s="236"/>
      <c r="YN73" s="236"/>
      <c r="YO73" s="240"/>
      <c r="YP73" s="235"/>
      <c r="YQ73" s="236"/>
      <c r="YR73" s="236"/>
      <c r="YS73" s="236"/>
      <c r="YT73" s="236"/>
      <c r="YU73" s="237"/>
      <c r="YV73" s="236"/>
      <c r="YW73" s="236"/>
      <c r="YX73" s="236"/>
      <c r="YY73" s="236"/>
      <c r="YZ73" s="236"/>
      <c r="ZA73" s="238"/>
      <c r="ZB73" s="236"/>
      <c r="ZC73" s="236"/>
      <c r="ZD73" s="236"/>
      <c r="ZE73" s="236"/>
      <c r="ZF73" s="236"/>
      <c r="ZG73" s="239"/>
      <c r="ZH73" s="236"/>
      <c r="ZI73" s="236"/>
      <c r="ZJ73" s="236"/>
      <c r="ZK73" s="236"/>
      <c r="ZL73" s="236"/>
      <c r="ZM73" s="238"/>
      <c r="ZN73" s="236"/>
      <c r="ZO73" s="236"/>
      <c r="ZP73" s="236"/>
      <c r="ZQ73" s="236"/>
      <c r="ZR73" s="236"/>
      <c r="ZS73" s="239"/>
      <c r="ZT73" s="236"/>
      <c r="ZU73" s="236"/>
      <c r="ZV73" s="236"/>
      <c r="ZW73" s="236"/>
      <c r="ZX73" s="236"/>
      <c r="ZY73" s="238"/>
      <c r="ZZ73" s="236"/>
      <c r="AAA73" s="236"/>
      <c r="AAB73" s="236"/>
      <c r="AAC73" s="236"/>
      <c r="AAD73" s="236"/>
      <c r="AAE73" s="239"/>
      <c r="AAF73" s="236"/>
      <c r="AAG73" s="236"/>
      <c r="AAH73" s="236"/>
      <c r="AAI73" s="236"/>
      <c r="AAJ73" s="236"/>
      <c r="AAK73" s="238"/>
      <c r="AAL73" s="236"/>
      <c r="AAM73" s="236"/>
      <c r="AAN73" s="236"/>
      <c r="AAO73" s="236"/>
      <c r="AAP73" s="236"/>
      <c r="AAQ73" s="239"/>
      <c r="AAR73" s="236"/>
      <c r="AAS73" s="236"/>
      <c r="AAT73" s="236"/>
      <c r="AAU73" s="236"/>
      <c r="AAV73" s="236"/>
      <c r="AAW73" s="240"/>
      <c r="AAX73" s="235"/>
      <c r="AAY73" s="236"/>
      <c r="AAZ73" s="236"/>
      <c r="ABA73" s="236"/>
      <c r="ABB73" s="236"/>
      <c r="ABC73" s="237"/>
      <c r="ABD73" s="236"/>
      <c r="ABE73" s="236"/>
      <c r="ABF73" s="236"/>
      <c r="ABG73" s="236"/>
      <c r="ABH73" s="236"/>
      <c r="ABI73" s="238"/>
      <c r="ABJ73" s="236"/>
      <c r="ABK73" s="236"/>
      <c r="ABL73" s="236"/>
      <c r="ABM73" s="236"/>
      <c r="ABN73" s="236"/>
      <c r="ABO73" s="239"/>
      <c r="ABP73" s="236"/>
      <c r="ABQ73" s="236"/>
      <c r="ABR73" s="236"/>
      <c r="ABS73" s="236"/>
      <c r="ABT73" s="236"/>
      <c r="ABU73" s="238"/>
      <c r="ABV73" s="236"/>
      <c r="ABW73" s="236"/>
      <c r="ABX73" s="236"/>
      <c r="ABY73" s="236"/>
      <c r="ABZ73" s="236"/>
      <c r="ACA73" s="239"/>
      <c r="ACB73" s="236"/>
      <c r="ACC73" s="236"/>
      <c r="ACD73" s="236"/>
      <c r="ACE73" s="236"/>
      <c r="ACF73" s="236"/>
      <c r="ACG73" s="238"/>
      <c r="ACH73" s="236"/>
      <c r="ACI73" s="236"/>
      <c r="ACJ73" s="236"/>
      <c r="ACK73" s="236"/>
      <c r="ACL73" s="236"/>
      <c r="ACM73" s="239"/>
      <c r="ACN73" s="236"/>
      <c r="ACO73" s="236"/>
      <c r="ACP73" s="236"/>
      <c r="ACQ73" s="236"/>
      <c r="ACR73" s="236"/>
      <c r="ACS73" s="238"/>
      <c r="ACT73" s="236"/>
      <c r="ACU73" s="236"/>
      <c r="ACV73" s="236"/>
      <c r="ACW73" s="236"/>
      <c r="ACX73" s="236"/>
      <c r="ACY73" s="239"/>
      <c r="ACZ73" s="236"/>
      <c r="ADA73" s="236"/>
      <c r="ADB73" s="236"/>
      <c r="ADC73" s="236"/>
      <c r="ADD73" s="236"/>
      <c r="ADE73" s="240"/>
      <c r="ADF73" s="235"/>
      <c r="ADG73" s="236"/>
      <c r="ADH73" s="236"/>
      <c r="ADI73" s="236"/>
      <c r="ADJ73" s="236"/>
      <c r="ADK73" s="237"/>
      <c r="ADL73" s="236"/>
      <c r="ADM73" s="236"/>
      <c r="ADN73" s="236"/>
      <c r="ADO73" s="236"/>
      <c r="ADP73" s="236"/>
      <c r="ADQ73" s="238"/>
      <c r="ADR73" s="236"/>
      <c r="ADS73" s="236"/>
      <c r="ADT73" s="236"/>
      <c r="ADU73" s="236"/>
      <c r="ADV73" s="236"/>
      <c r="ADW73" s="239"/>
      <c r="ADX73" s="236"/>
      <c r="ADY73" s="236"/>
      <c r="ADZ73" s="236"/>
      <c r="AEA73" s="236"/>
      <c r="AEB73" s="236"/>
      <c r="AEC73" s="238"/>
      <c r="AED73" s="236"/>
      <c r="AEE73" s="236"/>
      <c r="AEF73" s="236"/>
      <c r="AEG73" s="236"/>
      <c r="AEH73" s="236"/>
      <c r="AEI73" s="239"/>
      <c r="AEJ73" s="236"/>
      <c r="AEK73" s="236"/>
      <c r="AEL73" s="236"/>
      <c r="AEM73" s="236"/>
      <c r="AEN73" s="236"/>
      <c r="AEO73" s="238"/>
      <c r="AEP73" s="236"/>
      <c r="AEQ73" s="236"/>
      <c r="AER73" s="236"/>
      <c r="AES73" s="236"/>
      <c r="AET73" s="236"/>
      <c r="AEU73" s="239"/>
      <c r="AEV73" s="236"/>
      <c r="AEW73" s="236"/>
      <c r="AEX73" s="236"/>
      <c r="AEY73" s="236"/>
      <c r="AEZ73" s="236"/>
      <c r="AFA73" s="238"/>
      <c r="AFB73" s="236"/>
      <c r="AFC73" s="236"/>
      <c r="AFD73" s="236"/>
      <c r="AFE73" s="236"/>
      <c r="AFF73" s="236"/>
      <c r="AFG73" s="239"/>
      <c r="AFH73" s="236"/>
      <c r="AFI73" s="236"/>
      <c r="AFJ73" s="236"/>
      <c r="AFK73" s="236"/>
      <c r="AFL73" s="236"/>
      <c r="AFM73" s="240"/>
      <c r="AFN73" s="235"/>
      <c r="AFO73" s="236"/>
      <c r="AFP73" s="236"/>
      <c r="AFQ73" s="236"/>
      <c r="AFR73" s="236"/>
      <c r="AFS73" s="237"/>
      <c r="AFT73" s="236"/>
      <c r="AFU73" s="236"/>
      <c r="AFV73" s="236"/>
      <c r="AFW73" s="236"/>
      <c r="AFX73" s="236"/>
      <c r="AFY73" s="238"/>
      <c r="AFZ73" s="236"/>
      <c r="AGA73" s="236"/>
      <c r="AGB73" s="236"/>
      <c r="AGC73" s="236"/>
      <c r="AGD73" s="236"/>
      <c r="AGE73" s="239"/>
      <c r="AGF73" s="236"/>
      <c r="AGG73" s="236"/>
      <c r="AGH73" s="236"/>
      <c r="AGI73" s="236"/>
      <c r="AGJ73" s="236"/>
      <c r="AGK73" s="238"/>
      <c r="AGL73" s="236"/>
      <c r="AGM73" s="236"/>
      <c r="AGN73" s="236"/>
      <c r="AGO73" s="236"/>
      <c r="AGP73" s="236"/>
      <c r="AGQ73" s="239"/>
      <c r="AGR73" s="236"/>
      <c r="AGS73" s="236"/>
      <c r="AGT73" s="236"/>
      <c r="AGU73" s="236"/>
      <c r="AGV73" s="236"/>
      <c r="AGW73" s="238"/>
      <c r="AGX73" s="236"/>
      <c r="AGY73" s="236"/>
      <c r="AGZ73" s="236"/>
      <c r="AHA73" s="236"/>
      <c r="AHB73" s="236"/>
      <c r="AHC73" s="239"/>
      <c r="AHD73" s="236"/>
      <c r="AHE73" s="236"/>
      <c r="AHF73" s="236"/>
      <c r="AHG73" s="236"/>
      <c r="AHH73" s="236"/>
      <c r="AHI73" s="238"/>
      <c r="AHJ73" s="236"/>
      <c r="AHK73" s="236"/>
      <c r="AHL73" s="236"/>
      <c r="AHM73" s="236"/>
      <c r="AHN73" s="236"/>
      <c r="AHO73" s="239"/>
      <c r="AHP73" s="236"/>
      <c r="AHQ73" s="236"/>
      <c r="AHR73" s="236"/>
      <c r="AHS73" s="236"/>
      <c r="AHT73" s="236"/>
      <c r="AHU73" s="240"/>
      <c r="AHV73" s="235"/>
      <c r="AHW73" s="236"/>
      <c r="AHX73" s="236"/>
      <c r="AHY73" s="236"/>
      <c r="AHZ73" s="236"/>
      <c r="AIA73" s="237"/>
      <c r="AIB73" s="236"/>
      <c r="AIC73" s="236"/>
      <c r="AID73" s="236"/>
      <c r="AIE73" s="236"/>
      <c r="AIF73" s="236"/>
      <c r="AIG73" s="238"/>
      <c r="AIH73" s="236"/>
      <c r="AII73" s="236"/>
      <c r="AIJ73" s="236"/>
      <c r="AIK73" s="236"/>
      <c r="AIL73" s="236"/>
      <c r="AIM73" s="239"/>
      <c r="AIN73" s="236"/>
      <c r="AIO73" s="236"/>
      <c r="AIP73" s="236"/>
      <c r="AIQ73" s="236"/>
      <c r="AIR73" s="236"/>
      <c r="AIS73" s="238"/>
      <c r="AIT73" s="236"/>
      <c r="AIU73" s="236"/>
      <c r="AIV73" s="236"/>
      <c r="AIW73" s="236"/>
      <c r="AIX73" s="236"/>
      <c r="AIY73" s="239"/>
      <c r="AIZ73" s="236"/>
      <c r="AJA73" s="236"/>
      <c r="AJB73" s="236"/>
      <c r="AJC73" s="236"/>
      <c r="AJD73" s="236"/>
      <c r="AJE73" s="238"/>
      <c r="AJF73" s="236"/>
      <c r="AJG73" s="236"/>
      <c r="AJH73" s="236"/>
      <c r="AJI73" s="236"/>
      <c r="AJJ73" s="236"/>
      <c r="AJK73" s="239"/>
      <c r="AJL73" s="236"/>
      <c r="AJM73" s="236"/>
      <c r="AJN73" s="236"/>
      <c r="AJO73" s="236"/>
      <c r="AJP73" s="236"/>
      <c r="AJQ73" s="238"/>
      <c r="AJR73" s="236"/>
      <c r="AJS73" s="236"/>
      <c r="AJT73" s="236"/>
      <c r="AJU73" s="236"/>
      <c r="AJV73" s="236"/>
      <c r="AJW73" s="239"/>
      <c r="AJX73" s="236"/>
      <c r="AJY73" s="236"/>
      <c r="AJZ73" s="236"/>
      <c r="AKA73" s="236"/>
      <c r="AKB73" s="236"/>
      <c r="AKC73" s="240"/>
      <c r="AKD73" s="235"/>
      <c r="AKE73" s="236"/>
      <c r="AKF73" s="236"/>
      <c r="AKG73" s="236"/>
      <c r="AKH73" s="236"/>
      <c r="AKI73" s="237"/>
      <c r="AKJ73" s="236"/>
      <c r="AKK73" s="236"/>
      <c r="AKL73" s="236"/>
      <c r="AKM73" s="236"/>
      <c r="AKN73" s="236"/>
      <c r="AKO73" s="238"/>
      <c r="AKP73" s="236"/>
      <c r="AKQ73" s="236"/>
      <c r="AKR73" s="236"/>
      <c r="AKS73" s="236"/>
      <c r="AKT73" s="236"/>
      <c r="AKU73" s="239"/>
      <c r="AKV73" s="236"/>
      <c r="AKW73" s="236"/>
      <c r="AKX73" s="236"/>
      <c r="AKY73" s="236"/>
      <c r="AKZ73" s="236"/>
      <c r="ALA73" s="238"/>
      <c r="ALB73" s="236"/>
      <c r="ALC73" s="236"/>
      <c r="ALD73" s="236"/>
      <c r="ALE73" s="236"/>
      <c r="ALF73" s="236"/>
      <c r="ALG73" s="239"/>
      <c r="ALH73" s="236"/>
      <c r="ALI73" s="236"/>
      <c r="ALJ73" s="236"/>
      <c r="ALK73" s="236"/>
      <c r="ALL73" s="236"/>
      <c r="ALM73" s="238"/>
      <c r="ALN73" s="236"/>
      <c r="ALO73" s="236"/>
      <c r="ALP73" s="236"/>
      <c r="ALQ73" s="236"/>
      <c r="ALR73" s="236"/>
      <c r="ALS73" s="239"/>
      <c r="ALT73" s="236"/>
      <c r="ALU73" s="236"/>
      <c r="ALV73" s="236"/>
      <c r="ALW73" s="236"/>
      <c r="ALX73" s="236"/>
      <c r="ALY73" s="238"/>
      <c r="ALZ73" s="236"/>
      <c r="AMA73" s="236"/>
      <c r="AMB73" s="236"/>
      <c r="AMC73" s="236"/>
      <c r="AMD73" s="236"/>
      <c r="AME73" s="239"/>
      <c r="AMF73" s="236"/>
      <c r="AMG73" s="236"/>
      <c r="AMH73" s="236"/>
      <c r="AMI73" s="236"/>
      <c r="AMJ73" s="236"/>
      <c r="AMK73" s="240"/>
      <c r="AML73" s="235"/>
      <c r="AMM73" s="236"/>
      <c r="AMN73" s="236"/>
      <c r="AMO73" s="236"/>
      <c r="AMP73" s="236"/>
      <c r="AMQ73" s="237"/>
      <c r="AMR73" s="236"/>
      <c r="AMS73" s="236"/>
      <c r="AMT73" s="236"/>
      <c r="AMU73" s="236"/>
      <c r="AMV73" s="236"/>
      <c r="AMW73" s="238"/>
      <c r="AMX73" s="236"/>
      <c r="AMY73" s="236"/>
      <c r="AMZ73" s="236"/>
      <c r="ANA73" s="236"/>
      <c r="ANB73" s="236"/>
      <c r="ANC73" s="239"/>
      <c r="AND73" s="236"/>
      <c r="ANE73" s="236"/>
      <c r="ANF73" s="236"/>
      <c r="ANG73" s="236"/>
      <c r="ANH73" s="236"/>
      <c r="ANI73" s="238"/>
      <c r="ANJ73" s="236"/>
      <c r="ANK73" s="236"/>
      <c r="ANL73" s="236"/>
      <c r="ANM73" s="236"/>
      <c r="ANN73" s="236"/>
      <c r="ANO73" s="239"/>
      <c r="ANP73" s="236"/>
      <c r="ANQ73" s="236"/>
      <c r="ANR73" s="236"/>
      <c r="ANS73" s="236"/>
      <c r="ANT73" s="236"/>
      <c r="ANU73" s="238"/>
      <c r="ANV73" s="236"/>
      <c r="ANW73" s="236"/>
      <c r="ANX73" s="236"/>
      <c r="ANY73" s="236"/>
      <c r="ANZ73" s="236"/>
      <c r="AOA73" s="239"/>
      <c r="AOB73" s="236"/>
      <c r="AOC73" s="236"/>
      <c r="AOD73" s="236"/>
      <c r="AOE73" s="236"/>
      <c r="AOF73" s="236"/>
      <c r="AOG73" s="238"/>
      <c r="AOH73" s="236"/>
      <c r="AOI73" s="236"/>
      <c r="AOJ73" s="236"/>
      <c r="AOK73" s="236"/>
      <c r="AOL73" s="236"/>
      <c r="AOM73" s="239"/>
      <c r="AON73" s="236"/>
      <c r="AOO73" s="236"/>
      <c r="AOP73" s="236"/>
      <c r="AOQ73" s="236"/>
      <c r="AOR73" s="236"/>
      <c r="AOS73" s="240"/>
      <c r="AOT73" s="235"/>
      <c r="AOU73" s="236"/>
      <c r="AOV73" s="236"/>
      <c r="AOW73" s="236"/>
      <c r="AOX73" s="236"/>
      <c r="AOY73" s="237"/>
      <c r="AOZ73" s="236"/>
      <c r="APA73" s="236"/>
      <c r="APB73" s="236"/>
      <c r="APC73" s="236"/>
      <c r="APD73" s="236"/>
      <c r="APE73" s="238"/>
      <c r="APF73" s="236"/>
      <c r="APG73" s="236"/>
      <c r="APH73" s="236"/>
      <c r="API73" s="236"/>
      <c r="APJ73" s="236"/>
      <c r="APK73" s="239"/>
      <c r="APL73" s="236"/>
      <c r="APM73" s="236"/>
      <c r="APN73" s="236"/>
      <c r="APO73" s="236"/>
      <c r="APP73" s="236"/>
      <c r="APQ73" s="238"/>
      <c r="APR73" s="236"/>
      <c r="APS73" s="236"/>
      <c r="APT73" s="236"/>
      <c r="APU73" s="236"/>
      <c r="APV73" s="236"/>
      <c r="APW73" s="239"/>
      <c r="APX73" s="236"/>
      <c r="APY73" s="236"/>
      <c r="APZ73" s="236"/>
      <c r="AQA73" s="236"/>
      <c r="AQB73" s="236"/>
      <c r="AQC73" s="238"/>
      <c r="AQD73" s="236"/>
      <c r="AQE73" s="236"/>
      <c r="AQF73" s="236"/>
      <c r="AQG73" s="236"/>
      <c r="AQH73" s="236"/>
      <c r="AQI73" s="239"/>
      <c r="AQJ73" s="236"/>
      <c r="AQK73" s="236"/>
      <c r="AQL73" s="236"/>
      <c r="AQM73" s="236"/>
      <c r="AQN73" s="236"/>
      <c r="AQO73" s="238"/>
      <c r="AQP73" s="236"/>
      <c r="AQQ73" s="236"/>
      <c r="AQR73" s="236"/>
      <c r="AQS73" s="236"/>
      <c r="AQT73" s="236"/>
      <c r="AQU73" s="239"/>
      <c r="AQV73" s="236"/>
      <c r="AQW73" s="236"/>
      <c r="AQX73" s="236"/>
      <c r="AQY73" s="236"/>
      <c r="AQZ73" s="236"/>
      <c r="ARA73" s="240"/>
      <c r="ARB73" s="235"/>
      <c r="ARC73" s="236"/>
      <c r="ARD73" s="236"/>
      <c r="ARE73" s="236"/>
      <c r="ARF73" s="236"/>
      <c r="ARG73" s="237"/>
      <c r="ARH73" s="236"/>
      <c r="ARI73" s="236"/>
      <c r="ARJ73" s="236"/>
      <c r="ARK73" s="236"/>
      <c r="ARL73" s="236"/>
      <c r="ARM73" s="238"/>
      <c r="ARN73" s="236"/>
      <c r="ARO73" s="236"/>
      <c r="ARP73" s="236"/>
      <c r="ARQ73" s="236"/>
      <c r="ARR73" s="236"/>
      <c r="ARS73" s="239"/>
      <c r="ART73" s="236"/>
      <c r="ARU73" s="236"/>
      <c r="ARV73" s="236"/>
      <c r="ARW73" s="236"/>
      <c r="ARX73" s="236"/>
      <c r="ARY73" s="238"/>
      <c r="ARZ73" s="236"/>
      <c r="ASA73" s="236"/>
      <c r="ASB73" s="236"/>
      <c r="ASC73" s="236"/>
      <c r="ASD73" s="236"/>
      <c r="ASE73" s="239"/>
      <c r="ASF73" s="236"/>
      <c r="ASG73" s="236"/>
      <c r="ASH73" s="236"/>
      <c r="ASI73" s="236"/>
      <c r="ASJ73" s="236"/>
      <c r="ASK73" s="238"/>
      <c r="ASL73" s="236"/>
      <c r="ASM73" s="236"/>
      <c r="ASN73" s="236"/>
      <c r="ASO73" s="236"/>
      <c r="ASP73" s="236"/>
      <c r="ASQ73" s="239"/>
      <c r="ASR73" s="236"/>
      <c r="ASS73" s="236"/>
      <c r="AST73" s="236"/>
      <c r="ASU73" s="236"/>
      <c r="ASV73" s="236"/>
      <c r="ASW73" s="238"/>
      <c r="ASX73" s="236"/>
      <c r="ASY73" s="236"/>
      <c r="ASZ73" s="236"/>
      <c r="ATA73" s="236"/>
      <c r="ATB73" s="236"/>
      <c r="ATC73" s="239"/>
      <c r="ATD73" s="236"/>
      <c r="ATE73" s="236"/>
      <c r="ATF73" s="236"/>
      <c r="ATG73" s="236"/>
      <c r="ATH73" s="236"/>
      <c r="ATI73" s="240"/>
      <c r="ATJ73" s="235"/>
      <c r="ATK73" s="236"/>
      <c r="ATL73" s="236"/>
      <c r="ATM73" s="236"/>
      <c r="ATN73" s="236"/>
      <c r="ATO73" s="237"/>
      <c r="ATP73" s="236"/>
      <c r="ATQ73" s="236"/>
      <c r="ATR73" s="236"/>
      <c r="ATS73" s="236"/>
      <c r="ATT73" s="236"/>
      <c r="ATU73" s="238"/>
      <c r="ATV73" s="236"/>
      <c r="ATW73" s="236"/>
      <c r="ATX73" s="236"/>
      <c r="ATY73" s="236"/>
      <c r="ATZ73" s="236"/>
      <c r="AUA73" s="239"/>
      <c r="AUB73" s="236"/>
      <c r="AUC73" s="236"/>
      <c r="AUD73" s="236"/>
      <c r="AUE73" s="236"/>
      <c r="AUF73" s="236"/>
      <c r="AUG73" s="238"/>
      <c r="AUH73" s="236"/>
      <c r="AUI73" s="236"/>
      <c r="AUJ73" s="236"/>
      <c r="AUK73" s="236"/>
      <c r="AUL73" s="236"/>
      <c r="AUM73" s="239"/>
      <c r="AUN73" s="236"/>
      <c r="AUO73" s="236"/>
      <c r="AUP73" s="236"/>
      <c r="AUQ73" s="236"/>
      <c r="AUR73" s="236"/>
      <c r="AUS73" s="238"/>
      <c r="AUT73" s="236"/>
      <c r="AUU73" s="236"/>
      <c r="AUV73" s="236"/>
      <c r="AUW73" s="236"/>
      <c r="AUX73" s="236"/>
      <c r="AUY73" s="239"/>
      <c r="AUZ73" s="236"/>
      <c r="AVA73" s="236"/>
      <c r="AVB73" s="236"/>
      <c r="AVC73" s="236"/>
      <c r="AVD73" s="236"/>
      <c r="AVE73" s="238"/>
      <c r="AVF73" s="236"/>
      <c r="AVG73" s="236"/>
      <c r="AVH73" s="236"/>
      <c r="AVI73" s="236"/>
      <c r="AVJ73" s="236"/>
      <c r="AVK73" s="239"/>
      <c r="AVL73" s="236"/>
      <c r="AVM73" s="236"/>
      <c r="AVN73" s="236"/>
      <c r="AVO73" s="236"/>
      <c r="AVP73" s="236"/>
      <c r="AVQ73" s="240"/>
      <c r="AVR73" s="235"/>
      <c r="AVS73" s="236"/>
      <c r="AVT73" s="236"/>
      <c r="AVU73" s="236"/>
      <c r="AVV73" s="236"/>
      <c r="AVW73" s="237"/>
      <c r="AVX73" s="236"/>
      <c r="AVY73" s="236"/>
      <c r="AVZ73" s="236"/>
      <c r="AWA73" s="236"/>
      <c r="AWB73" s="236"/>
      <c r="AWC73" s="238"/>
      <c r="AWD73" s="236"/>
      <c r="AWE73" s="236"/>
      <c r="AWF73" s="236"/>
      <c r="AWG73" s="236"/>
      <c r="AWH73" s="236"/>
      <c r="AWI73" s="239"/>
      <c r="AWJ73" s="236"/>
      <c r="AWK73" s="236"/>
      <c r="AWL73" s="236"/>
      <c r="AWM73" s="236"/>
      <c r="AWN73" s="236"/>
      <c r="AWO73" s="238"/>
      <c r="AWP73" s="236"/>
      <c r="AWQ73" s="236"/>
      <c r="AWR73" s="236"/>
      <c r="AWS73" s="236"/>
      <c r="AWT73" s="236"/>
      <c r="AWU73" s="239"/>
      <c r="AWV73" s="236"/>
      <c r="AWW73" s="236"/>
      <c r="AWX73" s="236"/>
      <c r="AWY73" s="236"/>
      <c r="AWZ73" s="236"/>
      <c r="AXA73" s="238"/>
      <c r="AXB73" s="236"/>
      <c r="AXC73" s="236"/>
      <c r="AXD73" s="236"/>
      <c r="AXE73" s="236"/>
      <c r="AXF73" s="236"/>
      <c r="AXG73" s="239"/>
      <c r="AXH73" s="236"/>
      <c r="AXI73" s="236"/>
      <c r="AXJ73" s="236"/>
      <c r="AXK73" s="236"/>
      <c r="AXL73" s="236"/>
      <c r="AXM73" s="238"/>
      <c r="AXN73" s="236"/>
      <c r="AXO73" s="236"/>
      <c r="AXP73" s="236"/>
      <c r="AXQ73" s="236"/>
      <c r="AXR73" s="236"/>
      <c r="AXS73" s="239"/>
      <c r="AXT73" s="236"/>
      <c r="AXU73" s="236"/>
      <c r="AXV73" s="236"/>
      <c r="AXW73" s="236"/>
      <c r="AXX73" s="236"/>
      <c r="AXY73" s="240"/>
      <c r="AXZ73" s="235"/>
      <c r="AYA73" s="236"/>
      <c r="AYB73" s="236"/>
      <c r="AYC73" s="236"/>
      <c r="AYD73" s="236"/>
      <c r="AYE73" s="237"/>
      <c r="AYF73" s="236"/>
      <c r="AYG73" s="236"/>
      <c r="AYH73" s="236"/>
      <c r="AYI73" s="236"/>
      <c r="AYJ73" s="236"/>
      <c r="AYK73" s="238"/>
      <c r="AYL73" s="236"/>
      <c r="AYM73" s="236"/>
      <c r="AYN73" s="236"/>
      <c r="AYO73" s="236"/>
      <c r="AYP73" s="236"/>
      <c r="AYQ73" s="239"/>
      <c r="AYR73" s="236"/>
      <c r="AYS73" s="236"/>
      <c r="AYT73" s="236"/>
      <c r="AYU73" s="236"/>
      <c r="AYV73" s="236"/>
      <c r="AYW73" s="238"/>
      <c r="AYX73" s="236"/>
      <c r="AYY73" s="236"/>
      <c r="AYZ73" s="236"/>
      <c r="AZA73" s="236"/>
      <c r="AZB73" s="236"/>
      <c r="AZC73" s="239"/>
      <c r="AZD73" s="236"/>
      <c r="AZE73" s="236"/>
      <c r="AZF73" s="236"/>
      <c r="AZG73" s="236"/>
      <c r="AZH73" s="236"/>
      <c r="AZI73" s="238"/>
      <c r="AZJ73" s="236"/>
      <c r="AZK73" s="236"/>
      <c r="AZL73" s="236"/>
      <c r="AZM73" s="236"/>
      <c r="AZN73" s="236"/>
      <c r="AZO73" s="239"/>
      <c r="AZP73" s="236"/>
      <c r="AZQ73" s="236"/>
      <c r="AZR73" s="236"/>
      <c r="AZS73" s="236"/>
      <c r="AZT73" s="236"/>
      <c r="AZU73" s="238"/>
      <c r="AZV73" s="236"/>
      <c r="AZW73" s="236"/>
      <c r="AZX73" s="236"/>
      <c r="AZY73" s="236"/>
      <c r="AZZ73" s="236"/>
      <c r="BAA73" s="239"/>
      <c r="BAB73" s="236"/>
      <c r="BAC73" s="236"/>
      <c r="BAD73" s="236"/>
      <c r="BAE73" s="236"/>
      <c r="BAF73" s="236"/>
      <c r="BAG73" s="240"/>
      <c r="BAH73" s="235"/>
      <c r="BAI73" s="236"/>
      <c r="BAJ73" s="236"/>
      <c r="BAK73" s="236"/>
      <c r="BAL73" s="236"/>
      <c r="BAM73" s="237"/>
      <c r="BAN73" s="236"/>
      <c r="BAO73" s="236"/>
      <c r="BAP73" s="236"/>
      <c r="BAQ73" s="236"/>
      <c r="BAR73" s="236"/>
      <c r="BAS73" s="238"/>
      <c r="BAT73" s="236"/>
      <c r="BAU73" s="236"/>
      <c r="BAV73" s="236"/>
      <c r="BAW73" s="236"/>
      <c r="BAX73" s="236"/>
      <c r="BAY73" s="239"/>
      <c r="BAZ73" s="236"/>
      <c r="BBA73" s="236"/>
      <c r="BBB73" s="236"/>
      <c r="BBC73" s="236"/>
      <c r="BBD73" s="236"/>
      <c r="BBE73" s="238"/>
      <c r="BBF73" s="236"/>
      <c r="BBG73" s="236"/>
      <c r="BBH73" s="236"/>
      <c r="BBI73" s="236"/>
      <c r="BBJ73" s="236"/>
      <c r="BBK73" s="239"/>
      <c r="BBL73" s="236"/>
      <c r="BBM73" s="236"/>
      <c r="BBN73" s="236"/>
      <c r="BBO73" s="236"/>
      <c r="BBP73" s="236"/>
      <c r="BBQ73" s="238"/>
      <c r="BBR73" s="236"/>
      <c r="BBS73" s="236"/>
      <c r="BBT73" s="236"/>
      <c r="BBU73" s="236"/>
      <c r="BBV73" s="236"/>
      <c r="BBW73" s="239"/>
      <c r="BBX73" s="236"/>
      <c r="BBY73" s="236"/>
      <c r="BBZ73" s="236"/>
      <c r="BCA73" s="236"/>
      <c r="BCB73" s="236"/>
      <c r="BCC73" s="238"/>
      <c r="BCD73" s="236"/>
      <c r="BCE73" s="236"/>
      <c r="BCF73" s="236"/>
      <c r="BCG73" s="236"/>
      <c r="BCH73" s="236"/>
      <c r="BCI73" s="239"/>
      <c r="BCJ73" s="236"/>
      <c r="BCK73" s="236"/>
      <c r="BCL73" s="236"/>
      <c r="BCM73" s="236"/>
      <c r="BCN73" s="236"/>
      <c r="BCO73" s="240"/>
      <c r="BCP73" s="235"/>
      <c r="BCQ73" s="236"/>
      <c r="BCR73" s="236"/>
      <c r="BCS73" s="236"/>
      <c r="BCT73" s="236"/>
      <c r="BCU73" s="237"/>
      <c r="BCV73" s="236"/>
      <c r="BCW73" s="236"/>
      <c r="BCX73" s="236"/>
      <c r="BCY73" s="236"/>
      <c r="BCZ73" s="236"/>
      <c r="BDA73" s="238"/>
      <c r="BDB73" s="236"/>
      <c r="BDC73" s="236"/>
      <c r="BDD73" s="236"/>
      <c r="BDE73" s="236"/>
      <c r="BDF73" s="236"/>
      <c r="BDG73" s="239"/>
      <c r="BDH73" s="236"/>
      <c r="BDI73" s="236"/>
      <c r="BDJ73" s="236"/>
      <c r="BDK73" s="236"/>
      <c r="BDL73" s="236"/>
      <c r="BDM73" s="238"/>
      <c r="BDN73" s="236"/>
      <c r="BDO73" s="236"/>
      <c r="BDP73" s="236"/>
      <c r="BDQ73" s="236"/>
      <c r="BDR73" s="236"/>
      <c r="BDS73" s="239"/>
      <c r="BDT73" s="236"/>
      <c r="BDU73" s="236"/>
      <c r="BDV73" s="236"/>
      <c r="BDW73" s="236"/>
      <c r="BDX73" s="236"/>
      <c r="BDY73" s="238"/>
      <c r="BDZ73" s="236"/>
      <c r="BEA73" s="236"/>
      <c r="BEB73" s="236"/>
      <c r="BEC73" s="236"/>
      <c r="BED73" s="236"/>
      <c r="BEE73" s="239"/>
      <c r="BEF73" s="236"/>
      <c r="BEG73" s="236"/>
      <c r="BEH73" s="236"/>
      <c r="BEI73" s="236"/>
      <c r="BEJ73" s="236"/>
      <c r="BEK73" s="238"/>
      <c r="BEL73" s="236"/>
      <c r="BEM73" s="236"/>
      <c r="BEN73" s="236"/>
      <c r="BEO73" s="236"/>
      <c r="BEP73" s="236"/>
      <c r="BEQ73" s="239"/>
      <c r="BER73" s="236"/>
      <c r="BES73" s="236"/>
      <c r="BET73" s="236"/>
      <c r="BEU73" s="236"/>
      <c r="BEV73" s="236"/>
      <c r="BEW73" s="240"/>
      <c r="BEX73" s="235"/>
      <c r="BEY73" s="236"/>
      <c r="BEZ73" s="236"/>
      <c r="BFA73" s="236"/>
      <c r="BFB73" s="236"/>
      <c r="BFC73" s="237"/>
      <c r="BFD73" s="236"/>
      <c r="BFE73" s="236"/>
      <c r="BFF73" s="236"/>
      <c r="BFG73" s="236"/>
      <c r="BFH73" s="236"/>
      <c r="BFI73" s="238"/>
      <c r="BFJ73" s="236"/>
      <c r="BFK73" s="236"/>
      <c r="BFL73" s="236"/>
      <c r="BFM73" s="236"/>
      <c r="BFN73" s="236"/>
      <c r="BFO73" s="239"/>
      <c r="BFP73" s="236"/>
      <c r="BFQ73" s="236"/>
      <c r="BFR73" s="236"/>
      <c r="BFS73" s="236"/>
      <c r="BFT73" s="236"/>
      <c r="BFU73" s="238"/>
      <c r="BFV73" s="236"/>
      <c r="BFW73" s="236"/>
      <c r="BFX73" s="236"/>
      <c r="BFY73" s="236"/>
      <c r="BFZ73" s="236"/>
      <c r="BGA73" s="239"/>
      <c r="BGB73" s="236"/>
      <c r="BGC73" s="236"/>
      <c r="BGD73" s="236"/>
      <c r="BGE73" s="236"/>
      <c r="BGF73" s="236"/>
      <c r="BGG73" s="238"/>
      <c r="BGH73" s="236"/>
      <c r="BGI73" s="236"/>
      <c r="BGJ73" s="236"/>
      <c r="BGK73" s="236"/>
      <c r="BGL73" s="236"/>
      <c r="BGM73" s="239"/>
      <c r="BGN73" s="236"/>
      <c r="BGO73" s="236"/>
      <c r="BGP73" s="236"/>
      <c r="BGQ73" s="236"/>
      <c r="BGR73" s="236"/>
      <c r="BGS73" s="238"/>
      <c r="BGT73" s="236"/>
      <c r="BGU73" s="236"/>
      <c r="BGV73" s="236"/>
      <c r="BGW73" s="236"/>
      <c r="BGX73" s="236"/>
      <c r="BGY73" s="239"/>
      <c r="BGZ73" s="236"/>
      <c r="BHA73" s="236"/>
      <c r="BHB73" s="236"/>
      <c r="BHC73" s="236"/>
      <c r="BHD73" s="236"/>
      <c r="BHE73" s="240"/>
      <c r="BHF73" s="235"/>
      <c r="BHG73" s="236"/>
      <c r="BHH73" s="236"/>
      <c r="BHI73" s="236"/>
      <c r="BHJ73" s="236"/>
      <c r="BHK73" s="237"/>
      <c r="BHL73" s="236"/>
      <c r="BHM73" s="236"/>
      <c r="BHN73" s="236"/>
      <c r="BHO73" s="236"/>
      <c r="BHP73" s="236"/>
      <c r="BHQ73" s="238"/>
      <c r="BHR73" s="236"/>
      <c r="BHS73" s="236"/>
      <c r="BHT73" s="236"/>
      <c r="BHU73" s="236"/>
      <c r="BHV73" s="236"/>
      <c r="BHW73" s="239"/>
      <c r="BHX73" s="236"/>
      <c r="BHY73" s="236"/>
      <c r="BHZ73" s="236"/>
      <c r="BIA73" s="236"/>
      <c r="BIB73" s="236"/>
      <c r="BIC73" s="238"/>
      <c r="BID73" s="236"/>
      <c r="BIE73" s="236"/>
      <c r="BIF73" s="236"/>
      <c r="BIG73" s="236"/>
      <c r="BIH73" s="236"/>
      <c r="BII73" s="239"/>
      <c r="BIJ73" s="236"/>
      <c r="BIK73" s="236"/>
      <c r="BIL73" s="236"/>
      <c r="BIM73" s="236"/>
      <c r="BIN73" s="236"/>
      <c r="BIO73" s="238"/>
      <c r="BIP73" s="236"/>
      <c r="BIQ73" s="236"/>
      <c r="BIR73" s="236"/>
      <c r="BIS73" s="236"/>
      <c r="BIT73" s="236"/>
      <c r="BIU73" s="239"/>
      <c r="BIV73" s="236"/>
      <c r="BIW73" s="236"/>
      <c r="BIX73" s="236"/>
      <c r="BIY73" s="236"/>
      <c r="BIZ73" s="236"/>
      <c r="BJA73" s="238"/>
      <c r="BJB73" s="236"/>
      <c r="BJC73" s="236"/>
      <c r="BJD73" s="236"/>
      <c r="BJE73" s="236"/>
      <c r="BJF73" s="236"/>
      <c r="BJG73" s="239"/>
      <c r="BJH73" s="236"/>
      <c r="BJI73" s="236"/>
      <c r="BJJ73" s="236"/>
      <c r="BJK73" s="236"/>
      <c r="BJL73" s="236"/>
      <c r="BJM73" s="240"/>
      <c r="BJN73" s="233"/>
      <c r="BJO73" s="234"/>
      <c r="BJP73" s="234"/>
      <c r="BJQ73" s="234"/>
      <c r="BJR73" s="234"/>
      <c r="BJS73" s="234"/>
      <c r="BJT73" s="234"/>
      <c r="BJU73" s="234"/>
      <c r="BJV73" s="234"/>
      <c r="BJW73" s="234"/>
      <c r="BJX73" s="234"/>
      <c r="BJY73" s="234"/>
      <c r="BJZ73" s="234"/>
      <c r="BKA73" s="234"/>
      <c r="BKB73" s="234"/>
      <c r="BKC73" s="234"/>
      <c r="BKD73" s="234"/>
      <c r="BKE73" s="234"/>
      <c r="BKF73" s="234"/>
      <c r="BKG73" s="234"/>
      <c r="BKH73" s="234"/>
      <c r="BKI73" s="234"/>
      <c r="BKJ73" s="234"/>
      <c r="BKK73" s="234"/>
      <c r="BKL73" s="234"/>
      <c r="BKM73" s="234"/>
      <c r="BKN73" s="234"/>
    </row>
    <row r="74" spans="1:1652" ht="20.100000000000001" customHeight="1" x14ac:dyDescent="0.3">
      <c r="A74" s="84" t="s">
        <v>20</v>
      </c>
      <c r="B74" s="53"/>
      <c r="C74" s="189"/>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174"/>
      <c r="BJO74" s="4"/>
      <c r="BJP74" s="4"/>
      <c r="BJQ74" s="4"/>
      <c r="BJR74" s="4"/>
      <c r="BJS74" s="4"/>
      <c r="BJT74" s="4"/>
      <c r="BJU74" s="4"/>
      <c r="BJV74" s="4"/>
      <c r="BJW74" s="4"/>
      <c r="BJX74" s="4"/>
      <c r="BJY74" s="4"/>
      <c r="BJZ74" s="4"/>
      <c r="BKA74" s="4"/>
      <c r="BKB74" s="4"/>
      <c r="BKC74" s="4"/>
      <c r="BKD74" s="4"/>
      <c r="BKE74" s="4"/>
      <c r="BKF74" s="4"/>
      <c r="BKG74" s="4"/>
      <c r="BKH74" s="4"/>
      <c r="BKI74" s="4"/>
      <c r="BKJ74" s="4"/>
      <c r="BKK74" s="4"/>
      <c r="BKL74" s="4"/>
      <c r="BKM74" s="4"/>
      <c r="BKN74" s="4"/>
    </row>
    <row r="75" spans="1:1652" ht="20.100000000000001" customHeight="1" x14ac:dyDescent="0.25">
      <c r="A75" s="84" t="s">
        <v>19</v>
      </c>
      <c r="B75" s="53"/>
      <c r="C75" s="177"/>
      <c r="D75" s="129" t="str">
        <f t="shared" si="0"/>
        <v>0h</v>
      </c>
      <c r="E75" s="26">
        <v>0</v>
      </c>
      <c r="F75" s="235"/>
      <c r="G75" s="236"/>
      <c r="H75" s="236"/>
      <c r="I75" s="236"/>
      <c r="J75" s="236"/>
      <c r="K75" s="237"/>
      <c r="L75" s="236"/>
      <c r="M75" s="236"/>
      <c r="N75" s="236"/>
      <c r="O75" s="236"/>
      <c r="P75" s="236"/>
      <c r="Q75" s="238"/>
      <c r="R75" s="236"/>
      <c r="S75" s="236"/>
      <c r="T75" s="236"/>
      <c r="U75" s="236"/>
      <c r="V75" s="236"/>
      <c r="W75" s="239"/>
      <c r="X75" s="236"/>
      <c r="Y75" s="236"/>
      <c r="Z75" s="236"/>
      <c r="AA75" s="236"/>
      <c r="AB75" s="236"/>
      <c r="AC75" s="238"/>
      <c r="AD75" s="236"/>
      <c r="AE75" s="236"/>
      <c r="AF75" s="236"/>
      <c r="AG75" s="236"/>
      <c r="AH75" s="236"/>
      <c r="AI75" s="239"/>
      <c r="AJ75" s="236"/>
      <c r="AK75" s="236"/>
      <c r="AL75" s="236"/>
      <c r="AM75" s="236"/>
      <c r="AN75" s="236"/>
      <c r="AO75" s="238"/>
      <c r="AP75" s="236"/>
      <c r="AQ75" s="236"/>
      <c r="AR75" s="236"/>
      <c r="AS75" s="236"/>
      <c r="AT75" s="236"/>
      <c r="AU75" s="239"/>
      <c r="AV75" s="236"/>
      <c r="AW75" s="236"/>
      <c r="AX75" s="236"/>
      <c r="AY75" s="236"/>
      <c r="AZ75" s="236"/>
      <c r="BA75" s="238"/>
      <c r="BB75" s="236"/>
      <c r="BC75" s="236"/>
      <c r="BD75" s="236"/>
      <c r="BE75" s="236"/>
      <c r="BF75" s="236"/>
      <c r="BG75" s="239"/>
      <c r="BH75" s="236"/>
      <c r="BI75" s="236"/>
      <c r="BJ75" s="236"/>
      <c r="BK75" s="236"/>
      <c r="BL75" s="236"/>
      <c r="BM75" s="240"/>
      <c r="BN75" s="235"/>
      <c r="BO75" s="236"/>
      <c r="BP75" s="236"/>
      <c r="BQ75" s="236"/>
      <c r="BR75" s="236"/>
      <c r="BS75" s="237"/>
      <c r="BT75" s="236"/>
      <c r="BU75" s="236"/>
      <c r="BV75" s="236"/>
      <c r="BW75" s="236"/>
      <c r="BX75" s="236"/>
      <c r="BY75" s="238"/>
      <c r="BZ75" s="236"/>
      <c r="CA75" s="236"/>
      <c r="CB75" s="236"/>
      <c r="CC75" s="236"/>
      <c r="CD75" s="236"/>
      <c r="CE75" s="239"/>
      <c r="CF75" s="236"/>
      <c r="CG75" s="236"/>
      <c r="CH75" s="236"/>
      <c r="CI75" s="236"/>
      <c r="CJ75" s="236"/>
      <c r="CK75" s="238"/>
      <c r="CL75" s="236"/>
      <c r="CM75" s="236"/>
      <c r="CN75" s="236"/>
      <c r="CO75" s="236"/>
      <c r="CP75" s="236"/>
      <c r="CQ75" s="239"/>
      <c r="CR75" s="236"/>
      <c r="CS75" s="236"/>
      <c r="CT75" s="236"/>
      <c r="CU75" s="236"/>
      <c r="CV75" s="236"/>
      <c r="CW75" s="238"/>
      <c r="CX75" s="236"/>
      <c r="CY75" s="236"/>
      <c r="CZ75" s="236"/>
      <c r="DA75" s="236"/>
      <c r="DB75" s="236"/>
      <c r="DC75" s="239"/>
      <c r="DD75" s="236"/>
      <c r="DE75" s="236"/>
      <c r="DF75" s="236"/>
      <c r="DG75" s="236"/>
      <c r="DH75" s="236"/>
      <c r="DI75" s="238"/>
      <c r="DJ75" s="236"/>
      <c r="DK75" s="236"/>
      <c r="DL75" s="236"/>
      <c r="DM75" s="236"/>
      <c r="DN75" s="236"/>
      <c r="DO75" s="239"/>
      <c r="DP75" s="236"/>
      <c r="DQ75" s="236"/>
      <c r="DR75" s="236"/>
      <c r="DS75" s="236"/>
      <c r="DT75" s="236"/>
      <c r="DU75" s="240"/>
      <c r="DV75" s="235"/>
      <c r="DW75" s="236"/>
      <c r="DX75" s="236"/>
      <c r="DY75" s="236"/>
      <c r="DZ75" s="236"/>
      <c r="EA75" s="237"/>
      <c r="EB75" s="236"/>
      <c r="EC75" s="236"/>
      <c r="ED75" s="236"/>
      <c r="EE75" s="236"/>
      <c r="EF75" s="236"/>
      <c r="EG75" s="238"/>
      <c r="EH75" s="236"/>
      <c r="EI75" s="236"/>
      <c r="EJ75" s="236"/>
      <c r="EK75" s="236"/>
      <c r="EL75" s="236"/>
      <c r="EM75" s="239"/>
      <c r="EN75" s="236"/>
      <c r="EO75" s="236"/>
      <c r="EP75" s="236"/>
      <c r="EQ75" s="236"/>
      <c r="ER75" s="236"/>
      <c r="ES75" s="238"/>
      <c r="ET75" s="236"/>
      <c r="EU75" s="236"/>
      <c r="EV75" s="236"/>
      <c r="EW75" s="236"/>
      <c r="EX75" s="236"/>
      <c r="EY75" s="239"/>
      <c r="EZ75" s="236"/>
      <c r="FA75" s="236"/>
      <c r="FB75" s="236"/>
      <c r="FC75" s="236"/>
      <c r="FD75" s="236"/>
      <c r="FE75" s="238"/>
      <c r="FF75" s="236"/>
      <c r="FG75" s="236"/>
      <c r="FH75" s="236"/>
      <c r="FI75" s="236"/>
      <c r="FJ75" s="236"/>
      <c r="FK75" s="239"/>
      <c r="FL75" s="236"/>
      <c r="FM75" s="236"/>
      <c r="FN75" s="236"/>
      <c r="FO75" s="236"/>
      <c r="FP75" s="236"/>
      <c r="FQ75" s="238"/>
      <c r="FR75" s="236"/>
      <c r="FS75" s="236"/>
      <c r="FT75" s="236"/>
      <c r="FU75" s="236"/>
      <c r="FV75" s="236"/>
      <c r="FW75" s="239"/>
      <c r="FX75" s="236"/>
      <c r="FY75" s="236"/>
      <c r="FZ75" s="236"/>
      <c r="GA75" s="236"/>
      <c r="GB75" s="236"/>
      <c r="GC75" s="240"/>
      <c r="GD75" s="235"/>
      <c r="GE75" s="236"/>
      <c r="GF75" s="236"/>
      <c r="GG75" s="236"/>
      <c r="GH75" s="236"/>
      <c r="GI75" s="237"/>
      <c r="GJ75" s="236"/>
      <c r="GK75" s="236"/>
      <c r="GL75" s="236"/>
      <c r="GM75" s="236"/>
      <c r="GN75" s="236"/>
      <c r="GO75" s="238"/>
      <c r="GP75" s="236"/>
      <c r="GQ75" s="236"/>
      <c r="GR75" s="236"/>
      <c r="GS75" s="236"/>
      <c r="GT75" s="236"/>
      <c r="GU75" s="239"/>
      <c r="GV75" s="236"/>
      <c r="GW75" s="236"/>
      <c r="GX75" s="236"/>
      <c r="GY75" s="236"/>
      <c r="GZ75" s="236"/>
      <c r="HA75" s="238"/>
      <c r="HB75" s="236"/>
      <c r="HC75" s="236"/>
      <c r="HD75" s="236"/>
      <c r="HE75" s="236"/>
      <c r="HF75" s="236"/>
      <c r="HG75" s="239"/>
      <c r="HH75" s="236"/>
      <c r="HI75" s="236"/>
      <c r="HJ75" s="236"/>
      <c r="HK75" s="236"/>
      <c r="HL75" s="236"/>
      <c r="HM75" s="238"/>
      <c r="HN75" s="236"/>
      <c r="HO75" s="236"/>
      <c r="HP75" s="236"/>
      <c r="HQ75" s="236"/>
      <c r="HR75" s="236"/>
      <c r="HS75" s="239"/>
      <c r="HT75" s="236"/>
      <c r="HU75" s="236"/>
      <c r="HV75" s="236"/>
      <c r="HW75" s="236"/>
      <c r="HX75" s="236"/>
      <c r="HY75" s="238"/>
      <c r="HZ75" s="236"/>
      <c r="IA75" s="236"/>
      <c r="IB75" s="236"/>
      <c r="IC75" s="236"/>
      <c r="ID75" s="236"/>
      <c r="IE75" s="239"/>
      <c r="IF75" s="236"/>
      <c r="IG75" s="236"/>
      <c r="IH75" s="236"/>
      <c r="II75" s="236"/>
      <c r="IJ75" s="236"/>
      <c r="IK75" s="240"/>
      <c r="IL75" s="235"/>
      <c r="IM75" s="236"/>
      <c r="IN75" s="236"/>
      <c r="IO75" s="236"/>
      <c r="IP75" s="236"/>
      <c r="IQ75" s="237"/>
      <c r="IR75" s="236"/>
      <c r="IS75" s="236"/>
      <c r="IT75" s="236"/>
      <c r="IU75" s="236"/>
      <c r="IV75" s="236"/>
      <c r="IW75" s="238"/>
      <c r="IX75" s="236"/>
      <c r="IY75" s="236"/>
      <c r="IZ75" s="236"/>
      <c r="JA75" s="236"/>
      <c r="JB75" s="236"/>
      <c r="JC75" s="239"/>
      <c r="JD75" s="236"/>
      <c r="JE75" s="236"/>
      <c r="JF75" s="236"/>
      <c r="JG75" s="236"/>
      <c r="JH75" s="236"/>
      <c r="JI75" s="238"/>
      <c r="JJ75" s="236"/>
      <c r="JK75" s="236"/>
      <c r="JL75" s="236"/>
      <c r="JM75" s="236"/>
      <c r="JN75" s="236"/>
      <c r="JO75" s="239"/>
      <c r="JP75" s="236"/>
      <c r="JQ75" s="236"/>
      <c r="JR75" s="236"/>
      <c r="JS75" s="236"/>
      <c r="JT75" s="236"/>
      <c r="JU75" s="238"/>
      <c r="JV75" s="236"/>
      <c r="JW75" s="236"/>
      <c r="JX75" s="236"/>
      <c r="JY75" s="236"/>
      <c r="JZ75" s="236"/>
      <c r="KA75" s="239"/>
      <c r="KB75" s="236"/>
      <c r="KC75" s="236"/>
      <c r="KD75" s="236"/>
      <c r="KE75" s="236"/>
      <c r="KF75" s="236"/>
      <c r="KG75" s="238"/>
      <c r="KH75" s="236"/>
      <c r="KI75" s="236"/>
      <c r="KJ75" s="236"/>
      <c r="KK75" s="236"/>
      <c r="KL75" s="236"/>
      <c r="KM75" s="239"/>
      <c r="KN75" s="236"/>
      <c r="KO75" s="236"/>
      <c r="KP75" s="236"/>
      <c r="KQ75" s="236"/>
      <c r="KR75" s="236"/>
      <c r="KS75" s="240"/>
      <c r="KT75" s="235"/>
      <c r="KU75" s="236"/>
      <c r="KV75" s="236"/>
      <c r="KW75" s="236"/>
      <c r="KX75" s="236"/>
      <c r="KY75" s="237"/>
      <c r="KZ75" s="236"/>
      <c r="LA75" s="236"/>
      <c r="LB75" s="236"/>
      <c r="LC75" s="236"/>
      <c r="LD75" s="236"/>
      <c r="LE75" s="238"/>
      <c r="LF75" s="236"/>
      <c r="LG75" s="236"/>
      <c r="LH75" s="236"/>
      <c r="LI75" s="236"/>
      <c r="LJ75" s="236"/>
      <c r="LK75" s="239"/>
      <c r="LL75" s="236"/>
      <c r="LM75" s="236"/>
      <c r="LN75" s="236"/>
      <c r="LO75" s="236"/>
      <c r="LP75" s="236"/>
      <c r="LQ75" s="238"/>
      <c r="LR75" s="236"/>
      <c r="LS75" s="236"/>
      <c r="LT75" s="236"/>
      <c r="LU75" s="236"/>
      <c r="LV75" s="236"/>
      <c r="LW75" s="239"/>
      <c r="LX75" s="236"/>
      <c r="LY75" s="236"/>
      <c r="LZ75" s="236"/>
      <c r="MA75" s="236"/>
      <c r="MB75" s="236"/>
      <c r="MC75" s="238"/>
      <c r="MD75" s="236"/>
      <c r="ME75" s="236"/>
      <c r="MF75" s="236"/>
      <c r="MG75" s="236"/>
      <c r="MH75" s="236"/>
      <c r="MI75" s="239"/>
      <c r="MJ75" s="236"/>
      <c r="MK75" s="236"/>
      <c r="ML75" s="236"/>
      <c r="MM75" s="236"/>
      <c r="MN75" s="236"/>
      <c r="MO75" s="238"/>
      <c r="MP75" s="236"/>
      <c r="MQ75" s="236"/>
      <c r="MR75" s="236"/>
      <c r="MS75" s="236"/>
      <c r="MT75" s="236"/>
      <c r="MU75" s="239"/>
      <c r="MV75" s="236"/>
      <c r="MW75" s="236"/>
      <c r="MX75" s="236"/>
      <c r="MY75" s="236"/>
      <c r="MZ75" s="236"/>
      <c r="NA75" s="240"/>
      <c r="NB75" s="235"/>
      <c r="NC75" s="236"/>
      <c r="ND75" s="236"/>
      <c r="NE75" s="236"/>
      <c r="NF75" s="236"/>
      <c r="NG75" s="237"/>
      <c r="NH75" s="236"/>
      <c r="NI75" s="236"/>
      <c r="NJ75" s="236"/>
      <c r="NK75" s="236"/>
      <c r="NL75" s="236"/>
      <c r="NM75" s="238"/>
      <c r="NN75" s="236"/>
      <c r="NO75" s="236"/>
      <c r="NP75" s="236"/>
      <c r="NQ75" s="236"/>
      <c r="NR75" s="236"/>
      <c r="NS75" s="239"/>
      <c r="NT75" s="236"/>
      <c r="NU75" s="236"/>
      <c r="NV75" s="236"/>
      <c r="NW75" s="236"/>
      <c r="NX75" s="236"/>
      <c r="NY75" s="238"/>
      <c r="NZ75" s="236"/>
      <c r="OA75" s="236"/>
      <c r="OB75" s="236"/>
      <c r="OC75" s="236"/>
      <c r="OD75" s="236"/>
      <c r="OE75" s="239"/>
      <c r="OF75" s="236"/>
      <c r="OG75" s="236"/>
      <c r="OH75" s="236"/>
      <c r="OI75" s="236"/>
      <c r="OJ75" s="236"/>
      <c r="OK75" s="238"/>
      <c r="OL75" s="236"/>
      <c r="OM75" s="236"/>
      <c r="ON75" s="236"/>
      <c r="OO75" s="236"/>
      <c r="OP75" s="236"/>
      <c r="OQ75" s="239"/>
      <c r="OR75" s="236"/>
      <c r="OS75" s="236"/>
      <c r="OT75" s="236"/>
      <c r="OU75" s="236"/>
      <c r="OV75" s="236"/>
      <c r="OW75" s="238"/>
      <c r="OX75" s="236"/>
      <c r="OY75" s="236"/>
      <c r="OZ75" s="236"/>
      <c r="PA75" s="236"/>
      <c r="PB75" s="236"/>
      <c r="PC75" s="239"/>
      <c r="PD75" s="236"/>
      <c r="PE75" s="236"/>
      <c r="PF75" s="236"/>
      <c r="PG75" s="236"/>
      <c r="PH75" s="236"/>
      <c r="PI75" s="240"/>
      <c r="PJ75" s="235"/>
      <c r="PK75" s="236"/>
      <c r="PL75" s="236"/>
      <c r="PM75" s="236"/>
      <c r="PN75" s="236"/>
      <c r="PO75" s="237"/>
      <c r="PP75" s="236"/>
      <c r="PQ75" s="236"/>
      <c r="PR75" s="236"/>
      <c r="PS75" s="236"/>
      <c r="PT75" s="236"/>
      <c r="PU75" s="238"/>
      <c r="PV75" s="236"/>
      <c r="PW75" s="236"/>
      <c r="PX75" s="236"/>
      <c r="PY75" s="236"/>
      <c r="PZ75" s="236"/>
      <c r="QA75" s="239"/>
      <c r="QB75" s="236"/>
      <c r="QC75" s="236"/>
      <c r="QD75" s="236"/>
      <c r="QE75" s="236"/>
      <c r="QF75" s="236"/>
      <c r="QG75" s="238"/>
      <c r="QH75" s="236"/>
      <c r="QI75" s="236"/>
      <c r="QJ75" s="236"/>
      <c r="QK75" s="236"/>
      <c r="QL75" s="236"/>
      <c r="QM75" s="239"/>
      <c r="QN75" s="236"/>
      <c r="QO75" s="236"/>
      <c r="QP75" s="236"/>
      <c r="QQ75" s="236"/>
      <c r="QR75" s="236"/>
      <c r="QS75" s="238"/>
      <c r="QT75" s="236"/>
      <c r="QU75" s="236"/>
      <c r="QV75" s="236"/>
      <c r="QW75" s="236"/>
      <c r="QX75" s="236"/>
      <c r="QY75" s="239"/>
      <c r="QZ75" s="236"/>
      <c r="RA75" s="236"/>
      <c r="RB75" s="236"/>
      <c r="RC75" s="236"/>
      <c r="RD75" s="236"/>
      <c r="RE75" s="238"/>
      <c r="RF75" s="236"/>
      <c r="RG75" s="236"/>
      <c r="RH75" s="236"/>
      <c r="RI75" s="236"/>
      <c r="RJ75" s="236"/>
      <c r="RK75" s="239"/>
      <c r="RL75" s="236"/>
      <c r="RM75" s="236"/>
      <c r="RN75" s="236"/>
      <c r="RO75" s="236"/>
      <c r="RP75" s="236"/>
      <c r="RQ75" s="240"/>
      <c r="RR75" s="235"/>
      <c r="RS75" s="236"/>
      <c r="RT75" s="236"/>
      <c r="RU75" s="236"/>
      <c r="RV75" s="236"/>
      <c r="RW75" s="237"/>
      <c r="RX75" s="236"/>
      <c r="RY75" s="236"/>
      <c r="RZ75" s="236"/>
      <c r="SA75" s="236"/>
      <c r="SB75" s="236"/>
      <c r="SC75" s="238"/>
      <c r="SD75" s="236"/>
      <c r="SE75" s="236"/>
      <c r="SF75" s="236"/>
      <c r="SG75" s="236"/>
      <c r="SH75" s="236"/>
      <c r="SI75" s="239"/>
      <c r="SJ75" s="236"/>
      <c r="SK75" s="236"/>
      <c r="SL75" s="236"/>
      <c r="SM75" s="236"/>
      <c r="SN75" s="236"/>
      <c r="SO75" s="238"/>
      <c r="SP75" s="236"/>
      <c r="SQ75" s="236"/>
      <c r="SR75" s="236"/>
      <c r="SS75" s="236"/>
      <c r="ST75" s="236"/>
      <c r="SU75" s="239"/>
      <c r="SV75" s="236"/>
      <c r="SW75" s="236"/>
      <c r="SX75" s="236"/>
      <c r="SY75" s="236"/>
      <c r="SZ75" s="236"/>
      <c r="TA75" s="238"/>
      <c r="TB75" s="236"/>
      <c r="TC75" s="236"/>
      <c r="TD75" s="236"/>
      <c r="TE75" s="236"/>
      <c r="TF75" s="236"/>
      <c r="TG75" s="239"/>
      <c r="TH75" s="236"/>
      <c r="TI75" s="236"/>
      <c r="TJ75" s="236"/>
      <c r="TK75" s="236"/>
      <c r="TL75" s="236"/>
      <c r="TM75" s="238"/>
      <c r="TN75" s="236"/>
      <c r="TO75" s="236"/>
      <c r="TP75" s="236"/>
      <c r="TQ75" s="236"/>
      <c r="TR75" s="236"/>
      <c r="TS75" s="239"/>
      <c r="TT75" s="236"/>
      <c r="TU75" s="236"/>
      <c r="TV75" s="236"/>
      <c r="TW75" s="236"/>
      <c r="TX75" s="236"/>
      <c r="TY75" s="240"/>
      <c r="TZ75" s="235"/>
      <c r="UA75" s="236"/>
      <c r="UB75" s="236"/>
      <c r="UC75" s="236"/>
      <c r="UD75" s="236"/>
      <c r="UE75" s="237"/>
      <c r="UF75" s="236"/>
      <c r="UG75" s="236"/>
      <c r="UH75" s="236"/>
      <c r="UI75" s="236"/>
      <c r="UJ75" s="236"/>
      <c r="UK75" s="238"/>
      <c r="UL75" s="236"/>
      <c r="UM75" s="236"/>
      <c r="UN75" s="236"/>
      <c r="UO75" s="236"/>
      <c r="UP75" s="236"/>
      <c r="UQ75" s="239"/>
      <c r="UR75" s="236"/>
      <c r="US75" s="236"/>
      <c r="UT75" s="236"/>
      <c r="UU75" s="236"/>
      <c r="UV75" s="236"/>
      <c r="UW75" s="238"/>
      <c r="UX75" s="236"/>
      <c r="UY75" s="236"/>
      <c r="UZ75" s="236"/>
      <c r="VA75" s="236"/>
      <c r="VB75" s="236"/>
      <c r="VC75" s="239"/>
      <c r="VD75" s="236"/>
      <c r="VE75" s="236"/>
      <c r="VF75" s="236"/>
      <c r="VG75" s="236"/>
      <c r="VH75" s="236"/>
      <c r="VI75" s="238"/>
      <c r="VJ75" s="236"/>
      <c r="VK75" s="236"/>
      <c r="VL75" s="236"/>
      <c r="VM75" s="236"/>
      <c r="VN75" s="236"/>
      <c r="VO75" s="239"/>
      <c r="VP75" s="236"/>
      <c r="VQ75" s="236"/>
      <c r="VR75" s="236"/>
      <c r="VS75" s="236"/>
      <c r="VT75" s="236"/>
      <c r="VU75" s="238"/>
      <c r="VV75" s="236"/>
      <c r="VW75" s="236"/>
      <c r="VX75" s="236"/>
      <c r="VY75" s="236"/>
      <c r="VZ75" s="236"/>
      <c r="WA75" s="239"/>
      <c r="WB75" s="236"/>
      <c r="WC75" s="236"/>
      <c r="WD75" s="236"/>
      <c r="WE75" s="236"/>
      <c r="WF75" s="236"/>
      <c r="WG75" s="240"/>
      <c r="WH75" s="235"/>
      <c r="WI75" s="236"/>
      <c r="WJ75" s="236"/>
      <c r="WK75" s="236"/>
      <c r="WL75" s="236"/>
      <c r="WM75" s="237"/>
      <c r="WN75" s="236"/>
      <c r="WO75" s="236"/>
      <c r="WP75" s="236"/>
      <c r="WQ75" s="236"/>
      <c r="WR75" s="236"/>
      <c r="WS75" s="238"/>
      <c r="WT75" s="236"/>
      <c r="WU75" s="236"/>
      <c r="WV75" s="236"/>
      <c r="WW75" s="236"/>
      <c r="WX75" s="236"/>
      <c r="WY75" s="239"/>
      <c r="WZ75" s="236"/>
      <c r="XA75" s="236"/>
      <c r="XB75" s="236"/>
      <c r="XC75" s="236"/>
      <c r="XD75" s="236"/>
      <c r="XE75" s="238"/>
      <c r="XF75" s="236"/>
      <c r="XG75" s="236"/>
      <c r="XH75" s="236"/>
      <c r="XI75" s="236"/>
      <c r="XJ75" s="236"/>
      <c r="XK75" s="239"/>
      <c r="XL75" s="236"/>
      <c r="XM75" s="236"/>
      <c r="XN75" s="236"/>
      <c r="XO75" s="236"/>
      <c r="XP75" s="236"/>
      <c r="XQ75" s="238"/>
      <c r="XR75" s="236"/>
      <c r="XS75" s="236"/>
      <c r="XT75" s="236"/>
      <c r="XU75" s="236"/>
      <c r="XV75" s="236"/>
      <c r="XW75" s="239"/>
      <c r="XX75" s="236"/>
      <c r="XY75" s="236"/>
      <c r="XZ75" s="236"/>
      <c r="YA75" s="236"/>
      <c r="YB75" s="236"/>
      <c r="YC75" s="238"/>
      <c r="YD75" s="236"/>
      <c r="YE75" s="236"/>
      <c r="YF75" s="236"/>
      <c r="YG75" s="236"/>
      <c r="YH75" s="236"/>
      <c r="YI75" s="239"/>
      <c r="YJ75" s="236"/>
      <c r="YK75" s="236"/>
      <c r="YL75" s="236"/>
      <c r="YM75" s="236"/>
      <c r="YN75" s="236"/>
      <c r="YO75" s="240"/>
      <c r="YP75" s="235"/>
      <c r="YQ75" s="236"/>
      <c r="YR75" s="236"/>
      <c r="YS75" s="236"/>
      <c r="YT75" s="236"/>
      <c r="YU75" s="237"/>
      <c r="YV75" s="236"/>
      <c r="YW75" s="236"/>
      <c r="YX75" s="236"/>
      <c r="YY75" s="236"/>
      <c r="YZ75" s="236"/>
      <c r="ZA75" s="238"/>
      <c r="ZB75" s="236"/>
      <c r="ZC75" s="236"/>
      <c r="ZD75" s="236"/>
      <c r="ZE75" s="236"/>
      <c r="ZF75" s="236"/>
      <c r="ZG75" s="239"/>
      <c r="ZH75" s="236"/>
      <c r="ZI75" s="236"/>
      <c r="ZJ75" s="236"/>
      <c r="ZK75" s="236"/>
      <c r="ZL75" s="236"/>
      <c r="ZM75" s="238"/>
      <c r="ZN75" s="236"/>
      <c r="ZO75" s="236"/>
      <c r="ZP75" s="236"/>
      <c r="ZQ75" s="236"/>
      <c r="ZR75" s="236"/>
      <c r="ZS75" s="239"/>
      <c r="ZT75" s="236"/>
      <c r="ZU75" s="236"/>
      <c r="ZV75" s="236"/>
      <c r="ZW75" s="236"/>
      <c r="ZX75" s="236"/>
      <c r="ZY75" s="238"/>
      <c r="ZZ75" s="236"/>
      <c r="AAA75" s="236"/>
      <c r="AAB75" s="236"/>
      <c r="AAC75" s="236"/>
      <c r="AAD75" s="236"/>
      <c r="AAE75" s="239"/>
      <c r="AAF75" s="236"/>
      <c r="AAG75" s="236"/>
      <c r="AAH75" s="236"/>
      <c r="AAI75" s="236"/>
      <c r="AAJ75" s="236"/>
      <c r="AAK75" s="238"/>
      <c r="AAL75" s="236"/>
      <c r="AAM75" s="236"/>
      <c r="AAN75" s="236"/>
      <c r="AAO75" s="236"/>
      <c r="AAP75" s="236"/>
      <c r="AAQ75" s="239"/>
      <c r="AAR75" s="236"/>
      <c r="AAS75" s="236"/>
      <c r="AAT75" s="236"/>
      <c r="AAU75" s="236"/>
      <c r="AAV75" s="236"/>
      <c r="AAW75" s="240"/>
      <c r="AAX75" s="235"/>
      <c r="AAY75" s="236"/>
      <c r="AAZ75" s="236"/>
      <c r="ABA75" s="236"/>
      <c r="ABB75" s="236"/>
      <c r="ABC75" s="237"/>
      <c r="ABD75" s="236"/>
      <c r="ABE75" s="236"/>
      <c r="ABF75" s="236"/>
      <c r="ABG75" s="236"/>
      <c r="ABH75" s="236"/>
      <c r="ABI75" s="238"/>
      <c r="ABJ75" s="236"/>
      <c r="ABK75" s="236"/>
      <c r="ABL75" s="236"/>
      <c r="ABM75" s="236"/>
      <c r="ABN75" s="236"/>
      <c r="ABO75" s="239"/>
      <c r="ABP75" s="236"/>
      <c r="ABQ75" s="236"/>
      <c r="ABR75" s="236"/>
      <c r="ABS75" s="236"/>
      <c r="ABT75" s="236"/>
      <c r="ABU75" s="238"/>
      <c r="ABV75" s="236"/>
      <c r="ABW75" s="236"/>
      <c r="ABX75" s="236"/>
      <c r="ABY75" s="236"/>
      <c r="ABZ75" s="236"/>
      <c r="ACA75" s="239"/>
      <c r="ACB75" s="236"/>
      <c r="ACC75" s="236"/>
      <c r="ACD75" s="236"/>
      <c r="ACE75" s="236"/>
      <c r="ACF75" s="236"/>
      <c r="ACG75" s="238"/>
      <c r="ACH75" s="236"/>
      <c r="ACI75" s="236"/>
      <c r="ACJ75" s="236"/>
      <c r="ACK75" s="236"/>
      <c r="ACL75" s="236"/>
      <c r="ACM75" s="239"/>
      <c r="ACN75" s="236"/>
      <c r="ACO75" s="236"/>
      <c r="ACP75" s="236"/>
      <c r="ACQ75" s="236"/>
      <c r="ACR75" s="236"/>
      <c r="ACS75" s="238"/>
      <c r="ACT75" s="236"/>
      <c r="ACU75" s="236"/>
      <c r="ACV75" s="236"/>
      <c r="ACW75" s="236"/>
      <c r="ACX75" s="236"/>
      <c r="ACY75" s="239"/>
      <c r="ACZ75" s="236"/>
      <c r="ADA75" s="236"/>
      <c r="ADB75" s="236"/>
      <c r="ADC75" s="236"/>
      <c r="ADD75" s="236"/>
      <c r="ADE75" s="240"/>
      <c r="ADF75" s="235"/>
      <c r="ADG75" s="236"/>
      <c r="ADH75" s="236"/>
      <c r="ADI75" s="236"/>
      <c r="ADJ75" s="236"/>
      <c r="ADK75" s="237"/>
      <c r="ADL75" s="236"/>
      <c r="ADM75" s="236"/>
      <c r="ADN75" s="236"/>
      <c r="ADO75" s="236"/>
      <c r="ADP75" s="236"/>
      <c r="ADQ75" s="238"/>
      <c r="ADR75" s="236"/>
      <c r="ADS75" s="236"/>
      <c r="ADT75" s="236"/>
      <c r="ADU75" s="236"/>
      <c r="ADV75" s="236"/>
      <c r="ADW75" s="239"/>
      <c r="ADX75" s="236"/>
      <c r="ADY75" s="236"/>
      <c r="ADZ75" s="236"/>
      <c r="AEA75" s="236"/>
      <c r="AEB75" s="236"/>
      <c r="AEC75" s="238"/>
      <c r="AED75" s="236"/>
      <c r="AEE75" s="236"/>
      <c r="AEF75" s="236"/>
      <c r="AEG75" s="236"/>
      <c r="AEH75" s="236"/>
      <c r="AEI75" s="239"/>
      <c r="AEJ75" s="236"/>
      <c r="AEK75" s="236"/>
      <c r="AEL75" s="236"/>
      <c r="AEM75" s="236"/>
      <c r="AEN75" s="236"/>
      <c r="AEO75" s="238"/>
      <c r="AEP75" s="236"/>
      <c r="AEQ75" s="236"/>
      <c r="AER75" s="236"/>
      <c r="AES75" s="236"/>
      <c r="AET75" s="236"/>
      <c r="AEU75" s="239"/>
      <c r="AEV75" s="236"/>
      <c r="AEW75" s="236"/>
      <c r="AEX75" s="236"/>
      <c r="AEY75" s="236"/>
      <c r="AEZ75" s="236"/>
      <c r="AFA75" s="238"/>
      <c r="AFB75" s="236"/>
      <c r="AFC75" s="236"/>
      <c r="AFD75" s="236"/>
      <c r="AFE75" s="236"/>
      <c r="AFF75" s="236"/>
      <c r="AFG75" s="239"/>
      <c r="AFH75" s="236"/>
      <c r="AFI75" s="236"/>
      <c r="AFJ75" s="236"/>
      <c r="AFK75" s="236"/>
      <c r="AFL75" s="236"/>
      <c r="AFM75" s="240"/>
      <c r="AFN75" s="235"/>
      <c r="AFO75" s="236"/>
      <c r="AFP75" s="236"/>
      <c r="AFQ75" s="236"/>
      <c r="AFR75" s="236"/>
      <c r="AFS75" s="237"/>
      <c r="AFT75" s="236"/>
      <c r="AFU75" s="236"/>
      <c r="AFV75" s="236"/>
      <c r="AFW75" s="236"/>
      <c r="AFX75" s="236"/>
      <c r="AFY75" s="238"/>
      <c r="AFZ75" s="236"/>
      <c r="AGA75" s="236"/>
      <c r="AGB75" s="236"/>
      <c r="AGC75" s="236"/>
      <c r="AGD75" s="236"/>
      <c r="AGE75" s="239"/>
      <c r="AGF75" s="236"/>
      <c r="AGG75" s="236"/>
      <c r="AGH75" s="236"/>
      <c r="AGI75" s="236"/>
      <c r="AGJ75" s="236"/>
      <c r="AGK75" s="238"/>
      <c r="AGL75" s="236"/>
      <c r="AGM75" s="236"/>
      <c r="AGN75" s="236"/>
      <c r="AGO75" s="236"/>
      <c r="AGP75" s="236"/>
      <c r="AGQ75" s="239"/>
      <c r="AGR75" s="236"/>
      <c r="AGS75" s="236"/>
      <c r="AGT75" s="236"/>
      <c r="AGU75" s="236"/>
      <c r="AGV75" s="236"/>
      <c r="AGW75" s="238"/>
      <c r="AGX75" s="236"/>
      <c r="AGY75" s="236"/>
      <c r="AGZ75" s="236"/>
      <c r="AHA75" s="236"/>
      <c r="AHB75" s="236"/>
      <c r="AHC75" s="239"/>
      <c r="AHD75" s="236"/>
      <c r="AHE75" s="236"/>
      <c r="AHF75" s="236"/>
      <c r="AHG75" s="236"/>
      <c r="AHH75" s="236"/>
      <c r="AHI75" s="238"/>
      <c r="AHJ75" s="236"/>
      <c r="AHK75" s="236"/>
      <c r="AHL75" s="236"/>
      <c r="AHM75" s="236"/>
      <c r="AHN75" s="236"/>
      <c r="AHO75" s="239"/>
      <c r="AHP75" s="236"/>
      <c r="AHQ75" s="236"/>
      <c r="AHR75" s="236"/>
      <c r="AHS75" s="236"/>
      <c r="AHT75" s="236"/>
      <c r="AHU75" s="240"/>
      <c r="AHV75" s="235"/>
      <c r="AHW75" s="236"/>
      <c r="AHX75" s="236"/>
      <c r="AHY75" s="236"/>
      <c r="AHZ75" s="236"/>
      <c r="AIA75" s="237"/>
      <c r="AIB75" s="236"/>
      <c r="AIC75" s="236"/>
      <c r="AID75" s="236"/>
      <c r="AIE75" s="236"/>
      <c r="AIF75" s="236"/>
      <c r="AIG75" s="238"/>
      <c r="AIH75" s="236"/>
      <c r="AII75" s="236"/>
      <c r="AIJ75" s="236"/>
      <c r="AIK75" s="236"/>
      <c r="AIL75" s="236"/>
      <c r="AIM75" s="239"/>
      <c r="AIN75" s="236"/>
      <c r="AIO75" s="236"/>
      <c r="AIP75" s="236"/>
      <c r="AIQ75" s="236"/>
      <c r="AIR75" s="236"/>
      <c r="AIS75" s="238"/>
      <c r="AIT75" s="236"/>
      <c r="AIU75" s="236"/>
      <c r="AIV75" s="236"/>
      <c r="AIW75" s="236"/>
      <c r="AIX75" s="236"/>
      <c r="AIY75" s="239"/>
      <c r="AIZ75" s="236"/>
      <c r="AJA75" s="236"/>
      <c r="AJB75" s="236"/>
      <c r="AJC75" s="236"/>
      <c r="AJD75" s="236"/>
      <c r="AJE75" s="238"/>
      <c r="AJF75" s="236"/>
      <c r="AJG75" s="236"/>
      <c r="AJH75" s="236"/>
      <c r="AJI75" s="236"/>
      <c r="AJJ75" s="236"/>
      <c r="AJK75" s="239"/>
      <c r="AJL75" s="236"/>
      <c r="AJM75" s="236"/>
      <c r="AJN75" s="236"/>
      <c r="AJO75" s="236"/>
      <c r="AJP75" s="236"/>
      <c r="AJQ75" s="238"/>
      <c r="AJR75" s="236"/>
      <c r="AJS75" s="236"/>
      <c r="AJT75" s="236"/>
      <c r="AJU75" s="236"/>
      <c r="AJV75" s="236"/>
      <c r="AJW75" s="239"/>
      <c r="AJX75" s="236"/>
      <c r="AJY75" s="236"/>
      <c r="AJZ75" s="236"/>
      <c r="AKA75" s="236"/>
      <c r="AKB75" s="236"/>
      <c r="AKC75" s="240"/>
      <c r="AKD75" s="235"/>
      <c r="AKE75" s="236"/>
      <c r="AKF75" s="236"/>
      <c r="AKG75" s="236"/>
      <c r="AKH75" s="236"/>
      <c r="AKI75" s="237"/>
      <c r="AKJ75" s="236"/>
      <c r="AKK75" s="236"/>
      <c r="AKL75" s="236"/>
      <c r="AKM75" s="236"/>
      <c r="AKN75" s="236"/>
      <c r="AKO75" s="238"/>
      <c r="AKP75" s="236"/>
      <c r="AKQ75" s="236"/>
      <c r="AKR75" s="236"/>
      <c r="AKS75" s="236"/>
      <c r="AKT75" s="236"/>
      <c r="AKU75" s="239"/>
      <c r="AKV75" s="236"/>
      <c r="AKW75" s="236"/>
      <c r="AKX75" s="236"/>
      <c r="AKY75" s="236"/>
      <c r="AKZ75" s="236"/>
      <c r="ALA75" s="238"/>
      <c r="ALB75" s="236"/>
      <c r="ALC75" s="236"/>
      <c r="ALD75" s="236"/>
      <c r="ALE75" s="236"/>
      <c r="ALF75" s="236"/>
      <c r="ALG75" s="239"/>
      <c r="ALH75" s="236"/>
      <c r="ALI75" s="236"/>
      <c r="ALJ75" s="236"/>
      <c r="ALK75" s="236"/>
      <c r="ALL75" s="236"/>
      <c r="ALM75" s="238"/>
      <c r="ALN75" s="236"/>
      <c r="ALO75" s="236"/>
      <c r="ALP75" s="236"/>
      <c r="ALQ75" s="236"/>
      <c r="ALR75" s="236"/>
      <c r="ALS75" s="239"/>
      <c r="ALT75" s="236"/>
      <c r="ALU75" s="236"/>
      <c r="ALV75" s="236"/>
      <c r="ALW75" s="236"/>
      <c r="ALX75" s="236"/>
      <c r="ALY75" s="238"/>
      <c r="ALZ75" s="236"/>
      <c r="AMA75" s="236"/>
      <c r="AMB75" s="236"/>
      <c r="AMC75" s="236"/>
      <c r="AMD75" s="236"/>
      <c r="AME75" s="239"/>
      <c r="AMF75" s="236"/>
      <c r="AMG75" s="236"/>
      <c r="AMH75" s="236"/>
      <c r="AMI75" s="236"/>
      <c r="AMJ75" s="236"/>
      <c r="AMK75" s="240"/>
      <c r="AML75" s="235"/>
      <c r="AMM75" s="236"/>
      <c r="AMN75" s="236"/>
      <c r="AMO75" s="236"/>
      <c r="AMP75" s="236"/>
      <c r="AMQ75" s="237"/>
      <c r="AMR75" s="236"/>
      <c r="AMS75" s="236"/>
      <c r="AMT75" s="236"/>
      <c r="AMU75" s="236"/>
      <c r="AMV75" s="236"/>
      <c r="AMW75" s="238"/>
      <c r="AMX75" s="236"/>
      <c r="AMY75" s="236"/>
      <c r="AMZ75" s="236"/>
      <c r="ANA75" s="236"/>
      <c r="ANB75" s="236"/>
      <c r="ANC75" s="239"/>
      <c r="AND75" s="236"/>
      <c r="ANE75" s="236"/>
      <c r="ANF75" s="236"/>
      <c r="ANG75" s="236"/>
      <c r="ANH75" s="236"/>
      <c r="ANI75" s="238"/>
      <c r="ANJ75" s="236"/>
      <c r="ANK75" s="236"/>
      <c r="ANL75" s="236"/>
      <c r="ANM75" s="236"/>
      <c r="ANN75" s="236"/>
      <c r="ANO75" s="239"/>
      <c r="ANP75" s="236"/>
      <c r="ANQ75" s="236"/>
      <c r="ANR75" s="236"/>
      <c r="ANS75" s="236"/>
      <c r="ANT75" s="236"/>
      <c r="ANU75" s="238"/>
      <c r="ANV75" s="236"/>
      <c r="ANW75" s="236"/>
      <c r="ANX75" s="236"/>
      <c r="ANY75" s="236"/>
      <c r="ANZ75" s="236"/>
      <c r="AOA75" s="239"/>
      <c r="AOB75" s="236"/>
      <c r="AOC75" s="236"/>
      <c r="AOD75" s="236"/>
      <c r="AOE75" s="236"/>
      <c r="AOF75" s="236"/>
      <c r="AOG75" s="238"/>
      <c r="AOH75" s="236"/>
      <c r="AOI75" s="236"/>
      <c r="AOJ75" s="236"/>
      <c r="AOK75" s="236"/>
      <c r="AOL75" s="236"/>
      <c r="AOM75" s="239"/>
      <c r="AON75" s="236"/>
      <c r="AOO75" s="236"/>
      <c r="AOP75" s="236"/>
      <c r="AOQ75" s="236"/>
      <c r="AOR75" s="236"/>
      <c r="AOS75" s="240"/>
      <c r="AOT75" s="235"/>
      <c r="AOU75" s="236"/>
      <c r="AOV75" s="236"/>
      <c r="AOW75" s="236"/>
      <c r="AOX75" s="236"/>
      <c r="AOY75" s="237"/>
      <c r="AOZ75" s="236"/>
      <c r="APA75" s="236"/>
      <c r="APB75" s="236"/>
      <c r="APC75" s="236"/>
      <c r="APD75" s="236"/>
      <c r="APE75" s="238"/>
      <c r="APF75" s="236"/>
      <c r="APG75" s="236"/>
      <c r="APH75" s="236"/>
      <c r="API75" s="236"/>
      <c r="APJ75" s="236"/>
      <c r="APK75" s="239"/>
      <c r="APL75" s="236"/>
      <c r="APM75" s="236"/>
      <c r="APN75" s="236"/>
      <c r="APO75" s="236"/>
      <c r="APP75" s="236"/>
      <c r="APQ75" s="238"/>
      <c r="APR75" s="236"/>
      <c r="APS75" s="236"/>
      <c r="APT75" s="236"/>
      <c r="APU75" s="236"/>
      <c r="APV75" s="236"/>
      <c r="APW75" s="239"/>
      <c r="APX75" s="236"/>
      <c r="APY75" s="236"/>
      <c r="APZ75" s="236"/>
      <c r="AQA75" s="236"/>
      <c r="AQB75" s="236"/>
      <c r="AQC75" s="238"/>
      <c r="AQD75" s="236"/>
      <c r="AQE75" s="236"/>
      <c r="AQF75" s="236"/>
      <c r="AQG75" s="236"/>
      <c r="AQH75" s="236"/>
      <c r="AQI75" s="239"/>
      <c r="AQJ75" s="236"/>
      <c r="AQK75" s="236"/>
      <c r="AQL75" s="236"/>
      <c r="AQM75" s="236"/>
      <c r="AQN75" s="236"/>
      <c r="AQO75" s="238"/>
      <c r="AQP75" s="236"/>
      <c r="AQQ75" s="236"/>
      <c r="AQR75" s="236"/>
      <c r="AQS75" s="236"/>
      <c r="AQT75" s="236"/>
      <c r="AQU75" s="239"/>
      <c r="AQV75" s="236"/>
      <c r="AQW75" s="236"/>
      <c r="AQX75" s="236"/>
      <c r="AQY75" s="236"/>
      <c r="AQZ75" s="236"/>
      <c r="ARA75" s="240"/>
      <c r="ARB75" s="235"/>
      <c r="ARC75" s="236"/>
      <c r="ARD75" s="236"/>
      <c r="ARE75" s="236"/>
      <c r="ARF75" s="236"/>
      <c r="ARG75" s="237"/>
      <c r="ARH75" s="236"/>
      <c r="ARI75" s="236"/>
      <c r="ARJ75" s="236"/>
      <c r="ARK75" s="236"/>
      <c r="ARL75" s="236"/>
      <c r="ARM75" s="238"/>
      <c r="ARN75" s="236"/>
      <c r="ARO75" s="236"/>
      <c r="ARP75" s="236"/>
      <c r="ARQ75" s="236"/>
      <c r="ARR75" s="236"/>
      <c r="ARS75" s="239"/>
      <c r="ART75" s="236"/>
      <c r="ARU75" s="236"/>
      <c r="ARV75" s="236"/>
      <c r="ARW75" s="236"/>
      <c r="ARX75" s="236"/>
      <c r="ARY75" s="238"/>
      <c r="ARZ75" s="236"/>
      <c r="ASA75" s="236"/>
      <c r="ASB75" s="236"/>
      <c r="ASC75" s="236"/>
      <c r="ASD75" s="236"/>
      <c r="ASE75" s="239"/>
      <c r="ASF75" s="236"/>
      <c r="ASG75" s="236"/>
      <c r="ASH75" s="236"/>
      <c r="ASI75" s="236"/>
      <c r="ASJ75" s="236"/>
      <c r="ASK75" s="238"/>
      <c r="ASL75" s="236"/>
      <c r="ASM75" s="236"/>
      <c r="ASN75" s="236"/>
      <c r="ASO75" s="236"/>
      <c r="ASP75" s="236"/>
      <c r="ASQ75" s="239"/>
      <c r="ASR75" s="236"/>
      <c r="ASS75" s="236"/>
      <c r="AST75" s="236"/>
      <c r="ASU75" s="236"/>
      <c r="ASV75" s="236"/>
      <c r="ASW75" s="238"/>
      <c r="ASX75" s="236"/>
      <c r="ASY75" s="236"/>
      <c r="ASZ75" s="236"/>
      <c r="ATA75" s="236"/>
      <c r="ATB75" s="236"/>
      <c r="ATC75" s="239"/>
      <c r="ATD75" s="236"/>
      <c r="ATE75" s="236"/>
      <c r="ATF75" s="236"/>
      <c r="ATG75" s="236"/>
      <c r="ATH75" s="236"/>
      <c r="ATI75" s="240"/>
      <c r="ATJ75" s="235"/>
      <c r="ATK75" s="236"/>
      <c r="ATL75" s="236"/>
      <c r="ATM75" s="236"/>
      <c r="ATN75" s="236"/>
      <c r="ATO75" s="237"/>
      <c r="ATP75" s="236"/>
      <c r="ATQ75" s="236"/>
      <c r="ATR75" s="236"/>
      <c r="ATS75" s="236"/>
      <c r="ATT75" s="236"/>
      <c r="ATU75" s="238"/>
      <c r="ATV75" s="236"/>
      <c r="ATW75" s="236"/>
      <c r="ATX75" s="236"/>
      <c r="ATY75" s="236"/>
      <c r="ATZ75" s="236"/>
      <c r="AUA75" s="239"/>
      <c r="AUB75" s="236"/>
      <c r="AUC75" s="236"/>
      <c r="AUD75" s="236"/>
      <c r="AUE75" s="236"/>
      <c r="AUF75" s="236"/>
      <c r="AUG75" s="238"/>
      <c r="AUH75" s="236"/>
      <c r="AUI75" s="236"/>
      <c r="AUJ75" s="236"/>
      <c r="AUK75" s="236"/>
      <c r="AUL75" s="236"/>
      <c r="AUM75" s="239"/>
      <c r="AUN75" s="236"/>
      <c r="AUO75" s="236"/>
      <c r="AUP75" s="236"/>
      <c r="AUQ75" s="236"/>
      <c r="AUR75" s="236"/>
      <c r="AUS75" s="238"/>
      <c r="AUT75" s="236"/>
      <c r="AUU75" s="236"/>
      <c r="AUV75" s="236"/>
      <c r="AUW75" s="236"/>
      <c r="AUX75" s="236"/>
      <c r="AUY75" s="239"/>
      <c r="AUZ75" s="236"/>
      <c r="AVA75" s="236"/>
      <c r="AVB75" s="236"/>
      <c r="AVC75" s="236"/>
      <c r="AVD75" s="236"/>
      <c r="AVE75" s="238"/>
      <c r="AVF75" s="236"/>
      <c r="AVG75" s="236"/>
      <c r="AVH75" s="236"/>
      <c r="AVI75" s="236"/>
      <c r="AVJ75" s="236"/>
      <c r="AVK75" s="239"/>
      <c r="AVL75" s="236"/>
      <c r="AVM75" s="236"/>
      <c r="AVN75" s="236"/>
      <c r="AVO75" s="236"/>
      <c r="AVP75" s="236"/>
      <c r="AVQ75" s="240"/>
      <c r="AVR75" s="235"/>
      <c r="AVS75" s="236"/>
      <c r="AVT75" s="236"/>
      <c r="AVU75" s="236"/>
      <c r="AVV75" s="236"/>
      <c r="AVW75" s="237"/>
      <c r="AVX75" s="236"/>
      <c r="AVY75" s="236"/>
      <c r="AVZ75" s="236"/>
      <c r="AWA75" s="236"/>
      <c r="AWB75" s="236"/>
      <c r="AWC75" s="238"/>
      <c r="AWD75" s="236"/>
      <c r="AWE75" s="236"/>
      <c r="AWF75" s="236"/>
      <c r="AWG75" s="236"/>
      <c r="AWH75" s="236"/>
      <c r="AWI75" s="239"/>
      <c r="AWJ75" s="236"/>
      <c r="AWK75" s="236"/>
      <c r="AWL75" s="236"/>
      <c r="AWM75" s="236"/>
      <c r="AWN75" s="236"/>
      <c r="AWO75" s="238"/>
      <c r="AWP75" s="236"/>
      <c r="AWQ75" s="236"/>
      <c r="AWR75" s="236"/>
      <c r="AWS75" s="236"/>
      <c r="AWT75" s="236"/>
      <c r="AWU75" s="239"/>
      <c r="AWV75" s="236"/>
      <c r="AWW75" s="236"/>
      <c r="AWX75" s="236"/>
      <c r="AWY75" s="236"/>
      <c r="AWZ75" s="236"/>
      <c r="AXA75" s="238"/>
      <c r="AXB75" s="236"/>
      <c r="AXC75" s="236"/>
      <c r="AXD75" s="236"/>
      <c r="AXE75" s="236"/>
      <c r="AXF75" s="236"/>
      <c r="AXG75" s="239"/>
      <c r="AXH75" s="236"/>
      <c r="AXI75" s="236"/>
      <c r="AXJ75" s="236"/>
      <c r="AXK75" s="236"/>
      <c r="AXL75" s="236"/>
      <c r="AXM75" s="238"/>
      <c r="AXN75" s="236"/>
      <c r="AXO75" s="236"/>
      <c r="AXP75" s="236"/>
      <c r="AXQ75" s="236"/>
      <c r="AXR75" s="236"/>
      <c r="AXS75" s="239"/>
      <c r="AXT75" s="236"/>
      <c r="AXU75" s="236"/>
      <c r="AXV75" s="236"/>
      <c r="AXW75" s="236"/>
      <c r="AXX75" s="236"/>
      <c r="AXY75" s="240"/>
      <c r="AXZ75" s="235"/>
      <c r="AYA75" s="236"/>
      <c r="AYB75" s="236"/>
      <c r="AYC75" s="236"/>
      <c r="AYD75" s="236"/>
      <c r="AYE75" s="237"/>
      <c r="AYF75" s="236"/>
      <c r="AYG75" s="236"/>
      <c r="AYH75" s="236"/>
      <c r="AYI75" s="236"/>
      <c r="AYJ75" s="236"/>
      <c r="AYK75" s="238"/>
      <c r="AYL75" s="236"/>
      <c r="AYM75" s="236"/>
      <c r="AYN75" s="236"/>
      <c r="AYO75" s="236"/>
      <c r="AYP75" s="236"/>
      <c r="AYQ75" s="239"/>
      <c r="AYR75" s="236"/>
      <c r="AYS75" s="236"/>
      <c r="AYT75" s="236"/>
      <c r="AYU75" s="236"/>
      <c r="AYV75" s="236"/>
      <c r="AYW75" s="238"/>
      <c r="AYX75" s="236"/>
      <c r="AYY75" s="236"/>
      <c r="AYZ75" s="236"/>
      <c r="AZA75" s="236"/>
      <c r="AZB75" s="236"/>
      <c r="AZC75" s="239"/>
      <c r="AZD75" s="236"/>
      <c r="AZE75" s="236"/>
      <c r="AZF75" s="236"/>
      <c r="AZG75" s="236"/>
      <c r="AZH75" s="236"/>
      <c r="AZI75" s="238"/>
      <c r="AZJ75" s="236"/>
      <c r="AZK75" s="236"/>
      <c r="AZL75" s="236"/>
      <c r="AZM75" s="236"/>
      <c r="AZN75" s="236"/>
      <c r="AZO75" s="239"/>
      <c r="AZP75" s="236"/>
      <c r="AZQ75" s="236"/>
      <c r="AZR75" s="236"/>
      <c r="AZS75" s="236"/>
      <c r="AZT75" s="236"/>
      <c r="AZU75" s="238"/>
      <c r="AZV75" s="236"/>
      <c r="AZW75" s="236"/>
      <c r="AZX75" s="236"/>
      <c r="AZY75" s="236"/>
      <c r="AZZ75" s="236"/>
      <c r="BAA75" s="239"/>
      <c r="BAB75" s="236"/>
      <c r="BAC75" s="236"/>
      <c r="BAD75" s="236"/>
      <c r="BAE75" s="236"/>
      <c r="BAF75" s="236"/>
      <c r="BAG75" s="240"/>
      <c r="BAH75" s="235"/>
      <c r="BAI75" s="236"/>
      <c r="BAJ75" s="236"/>
      <c r="BAK75" s="236"/>
      <c r="BAL75" s="236"/>
      <c r="BAM75" s="237"/>
      <c r="BAN75" s="236"/>
      <c r="BAO75" s="236"/>
      <c r="BAP75" s="236"/>
      <c r="BAQ75" s="236"/>
      <c r="BAR75" s="236"/>
      <c r="BAS75" s="238"/>
      <c r="BAT75" s="236"/>
      <c r="BAU75" s="236"/>
      <c r="BAV75" s="236"/>
      <c r="BAW75" s="236"/>
      <c r="BAX75" s="236"/>
      <c r="BAY75" s="239"/>
      <c r="BAZ75" s="236"/>
      <c r="BBA75" s="236"/>
      <c r="BBB75" s="236"/>
      <c r="BBC75" s="236"/>
      <c r="BBD75" s="236"/>
      <c r="BBE75" s="238"/>
      <c r="BBF75" s="236"/>
      <c r="BBG75" s="236"/>
      <c r="BBH75" s="236"/>
      <c r="BBI75" s="236"/>
      <c r="BBJ75" s="236"/>
      <c r="BBK75" s="239"/>
      <c r="BBL75" s="236"/>
      <c r="BBM75" s="236"/>
      <c r="BBN75" s="236"/>
      <c r="BBO75" s="236"/>
      <c r="BBP75" s="236"/>
      <c r="BBQ75" s="238"/>
      <c r="BBR75" s="236"/>
      <c r="BBS75" s="236"/>
      <c r="BBT75" s="236"/>
      <c r="BBU75" s="236"/>
      <c r="BBV75" s="236"/>
      <c r="BBW75" s="239"/>
      <c r="BBX75" s="236"/>
      <c r="BBY75" s="236"/>
      <c r="BBZ75" s="236"/>
      <c r="BCA75" s="236"/>
      <c r="BCB75" s="236"/>
      <c r="BCC75" s="238"/>
      <c r="BCD75" s="236"/>
      <c r="BCE75" s="236"/>
      <c r="BCF75" s="236"/>
      <c r="BCG75" s="236"/>
      <c r="BCH75" s="236"/>
      <c r="BCI75" s="239"/>
      <c r="BCJ75" s="236"/>
      <c r="BCK75" s="236"/>
      <c r="BCL75" s="236"/>
      <c r="BCM75" s="236"/>
      <c r="BCN75" s="236"/>
      <c r="BCO75" s="240"/>
      <c r="BCP75" s="235"/>
      <c r="BCQ75" s="236"/>
      <c r="BCR75" s="236"/>
      <c r="BCS75" s="236"/>
      <c r="BCT75" s="236"/>
      <c r="BCU75" s="237"/>
      <c r="BCV75" s="236"/>
      <c r="BCW75" s="236"/>
      <c r="BCX75" s="236"/>
      <c r="BCY75" s="236"/>
      <c r="BCZ75" s="236"/>
      <c r="BDA75" s="238"/>
      <c r="BDB75" s="236"/>
      <c r="BDC75" s="236"/>
      <c r="BDD75" s="236"/>
      <c r="BDE75" s="236"/>
      <c r="BDF75" s="236"/>
      <c r="BDG75" s="239"/>
      <c r="BDH75" s="236"/>
      <c r="BDI75" s="236"/>
      <c r="BDJ75" s="236"/>
      <c r="BDK75" s="236"/>
      <c r="BDL75" s="236"/>
      <c r="BDM75" s="238"/>
      <c r="BDN75" s="236"/>
      <c r="BDO75" s="236"/>
      <c r="BDP75" s="236"/>
      <c r="BDQ75" s="236"/>
      <c r="BDR75" s="236"/>
      <c r="BDS75" s="239"/>
      <c r="BDT75" s="236"/>
      <c r="BDU75" s="236"/>
      <c r="BDV75" s="236"/>
      <c r="BDW75" s="236"/>
      <c r="BDX75" s="236"/>
      <c r="BDY75" s="238"/>
      <c r="BDZ75" s="236"/>
      <c r="BEA75" s="236"/>
      <c r="BEB75" s="236"/>
      <c r="BEC75" s="236"/>
      <c r="BED75" s="236"/>
      <c r="BEE75" s="239"/>
      <c r="BEF75" s="236"/>
      <c r="BEG75" s="236"/>
      <c r="BEH75" s="236"/>
      <c r="BEI75" s="236"/>
      <c r="BEJ75" s="236"/>
      <c r="BEK75" s="238"/>
      <c r="BEL75" s="236"/>
      <c r="BEM75" s="236"/>
      <c r="BEN75" s="236"/>
      <c r="BEO75" s="236"/>
      <c r="BEP75" s="236"/>
      <c r="BEQ75" s="239"/>
      <c r="BER75" s="236"/>
      <c r="BES75" s="236"/>
      <c r="BET75" s="236"/>
      <c r="BEU75" s="236"/>
      <c r="BEV75" s="236"/>
      <c r="BEW75" s="240"/>
      <c r="BEX75" s="235"/>
      <c r="BEY75" s="236"/>
      <c r="BEZ75" s="236"/>
      <c r="BFA75" s="236"/>
      <c r="BFB75" s="236"/>
      <c r="BFC75" s="237"/>
      <c r="BFD75" s="236"/>
      <c r="BFE75" s="236"/>
      <c r="BFF75" s="236"/>
      <c r="BFG75" s="236"/>
      <c r="BFH75" s="236"/>
      <c r="BFI75" s="238"/>
      <c r="BFJ75" s="236"/>
      <c r="BFK75" s="236"/>
      <c r="BFL75" s="236"/>
      <c r="BFM75" s="236"/>
      <c r="BFN75" s="236"/>
      <c r="BFO75" s="239"/>
      <c r="BFP75" s="236"/>
      <c r="BFQ75" s="236"/>
      <c r="BFR75" s="236"/>
      <c r="BFS75" s="236"/>
      <c r="BFT75" s="236"/>
      <c r="BFU75" s="238"/>
      <c r="BFV75" s="236"/>
      <c r="BFW75" s="236"/>
      <c r="BFX75" s="236"/>
      <c r="BFY75" s="236"/>
      <c r="BFZ75" s="236"/>
      <c r="BGA75" s="239"/>
      <c r="BGB75" s="236"/>
      <c r="BGC75" s="236"/>
      <c r="BGD75" s="236"/>
      <c r="BGE75" s="236"/>
      <c r="BGF75" s="236"/>
      <c r="BGG75" s="238"/>
      <c r="BGH75" s="236"/>
      <c r="BGI75" s="236"/>
      <c r="BGJ75" s="236"/>
      <c r="BGK75" s="236"/>
      <c r="BGL75" s="236"/>
      <c r="BGM75" s="239"/>
      <c r="BGN75" s="236"/>
      <c r="BGO75" s="236"/>
      <c r="BGP75" s="236"/>
      <c r="BGQ75" s="236"/>
      <c r="BGR75" s="236"/>
      <c r="BGS75" s="238"/>
      <c r="BGT75" s="236"/>
      <c r="BGU75" s="236"/>
      <c r="BGV75" s="236"/>
      <c r="BGW75" s="236"/>
      <c r="BGX75" s="236"/>
      <c r="BGY75" s="239"/>
      <c r="BGZ75" s="236"/>
      <c r="BHA75" s="236"/>
      <c r="BHB75" s="236"/>
      <c r="BHC75" s="236"/>
      <c r="BHD75" s="236"/>
      <c r="BHE75" s="240"/>
      <c r="BHF75" s="235"/>
      <c r="BHG75" s="236"/>
      <c r="BHH75" s="236"/>
      <c r="BHI75" s="236"/>
      <c r="BHJ75" s="236"/>
      <c r="BHK75" s="237"/>
      <c r="BHL75" s="236"/>
      <c r="BHM75" s="236"/>
      <c r="BHN75" s="236"/>
      <c r="BHO75" s="236"/>
      <c r="BHP75" s="236"/>
      <c r="BHQ75" s="238"/>
      <c r="BHR75" s="236"/>
      <c r="BHS75" s="236"/>
      <c r="BHT75" s="236"/>
      <c r="BHU75" s="236"/>
      <c r="BHV75" s="236"/>
      <c r="BHW75" s="239"/>
      <c r="BHX75" s="236"/>
      <c r="BHY75" s="236"/>
      <c r="BHZ75" s="236"/>
      <c r="BIA75" s="236"/>
      <c r="BIB75" s="236"/>
      <c r="BIC75" s="238"/>
      <c r="BID75" s="236"/>
      <c r="BIE75" s="236"/>
      <c r="BIF75" s="236"/>
      <c r="BIG75" s="236"/>
      <c r="BIH75" s="236"/>
      <c r="BII75" s="239"/>
      <c r="BIJ75" s="236"/>
      <c r="BIK75" s="236"/>
      <c r="BIL75" s="236"/>
      <c r="BIM75" s="236"/>
      <c r="BIN75" s="236"/>
      <c r="BIO75" s="238"/>
      <c r="BIP75" s="236"/>
      <c r="BIQ75" s="236"/>
      <c r="BIR75" s="236"/>
      <c r="BIS75" s="236"/>
      <c r="BIT75" s="236"/>
      <c r="BIU75" s="239"/>
      <c r="BIV75" s="236"/>
      <c r="BIW75" s="236"/>
      <c r="BIX75" s="236"/>
      <c r="BIY75" s="236"/>
      <c r="BIZ75" s="236"/>
      <c r="BJA75" s="238"/>
      <c r="BJB75" s="236"/>
      <c r="BJC75" s="236"/>
      <c r="BJD75" s="236"/>
      <c r="BJE75" s="236"/>
      <c r="BJF75" s="236"/>
      <c r="BJG75" s="239"/>
      <c r="BJH75" s="236"/>
      <c r="BJI75" s="236"/>
      <c r="BJJ75" s="236"/>
      <c r="BJK75" s="236"/>
      <c r="BJL75" s="236"/>
      <c r="BJM75" s="240"/>
      <c r="BJN75" s="233"/>
      <c r="BJO75" s="234"/>
      <c r="BJP75" s="234"/>
      <c r="BJQ75" s="234"/>
      <c r="BJR75" s="234"/>
      <c r="BJS75" s="234"/>
      <c r="BJT75" s="234"/>
      <c r="BJU75" s="234"/>
      <c r="BJV75" s="234"/>
      <c r="BJW75" s="234"/>
      <c r="BJX75" s="234"/>
      <c r="BJY75" s="234"/>
      <c r="BJZ75" s="234"/>
      <c r="BKA75" s="234"/>
      <c r="BKB75" s="234"/>
      <c r="BKC75" s="234"/>
      <c r="BKD75" s="234"/>
      <c r="BKE75" s="234"/>
      <c r="BKF75" s="234"/>
      <c r="BKG75" s="234"/>
      <c r="BKH75" s="234"/>
      <c r="BKI75" s="234"/>
      <c r="BKJ75" s="234"/>
      <c r="BKK75" s="234"/>
      <c r="BKL75" s="234"/>
      <c r="BKM75" s="234"/>
      <c r="BKN75" s="234"/>
    </row>
    <row r="76" spans="1:1652" ht="20.100000000000001" customHeight="1" x14ac:dyDescent="0.3">
      <c r="A76" s="84" t="s">
        <v>20</v>
      </c>
      <c r="B76" s="53"/>
      <c r="C76" s="189"/>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174"/>
      <c r="BJO76" s="4"/>
      <c r="BJP76" s="4"/>
      <c r="BJQ76" s="4"/>
      <c r="BJR76" s="4"/>
      <c r="BJS76" s="4"/>
      <c r="BJT76" s="4"/>
      <c r="BJU76" s="4"/>
      <c r="BJV76" s="4"/>
      <c r="BJW76" s="4"/>
      <c r="BJX76" s="4"/>
      <c r="BJY76" s="4"/>
      <c r="BJZ76" s="4"/>
      <c r="BKA76" s="4"/>
      <c r="BKB76" s="4"/>
      <c r="BKC76" s="4"/>
      <c r="BKD76" s="4"/>
      <c r="BKE76" s="4"/>
      <c r="BKF76" s="4"/>
      <c r="BKG76" s="4"/>
      <c r="BKH76" s="4"/>
      <c r="BKI76" s="4"/>
      <c r="BKJ76" s="4"/>
      <c r="BKK76" s="4"/>
      <c r="BKL76" s="4"/>
      <c r="BKM76" s="4"/>
      <c r="BKN76" s="4"/>
    </row>
    <row r="77" spans="1:1652" ht="20.100000000000001" customHeight="1" x14ac:dyDescent="0.25">
      <c r="A77" s="84" t="s">
        <v>19</v>
      </c>
      <c r="B77" s="53"/>
      <c r="C77" s="177"/>
      <c r="D77" s="129" t="str">
        <f t="shared" si="0"/>
        <v>0h</v>
      </c>
      <c r="E77" s="34">
        <v>0</v>
      </c>
      <c r="F77" s="241"/>
      <c r="G77" s="242"/>
      <c r="H77" s="242"/>
      <c r="I77" s="242"/>
      <c r="J77" s="242"/>
      <c r="K77" s="243"/>
      <c r="L77" s="242"/>
      <c r="M77" s="242"/>
      <c r="N77" s="242"/>
      <c r="O77" s="242"/>
      <c r="P77" s="242"/>
      <c r="Q77" s="244"/>
      <c r="R77" s="242"/>
      <c r="S77" s="242"/>
      <c r="T77" s="242"/>
      <c r="U77" s="242"/>
      <c r="V77" s="242"/>
      <c r="W77" s="245"/>
      <c r="X77" s="242"/>
      <c r="Y77" s="242"/>
      <c r="Z77" s="242"/>
      <c r="AA77" s="242"/>
      <c r="AB77" s="242"/>
      <c r="AC77" s="244"/>
      <c r="AD77" s="242"/>
      <c r="AE77" s="242"/>
      <c r="AF77" s="242"/>
      <c r="AG77" s="242"/>
      <c r="AH77" s="242"/>
      <c r="AI77" s="245"/>
      <c r="AJ77" s="242"/>
      <c r="AK77" s="242"/>
      <c r="AL77" s="242"/>
      <c r="AM77" s="242"/>
      <c r="AN77" s="242"/>
      <c r="AO77" s="244"/>
      <c r="AP77" s="242"/>
      <c r="AQ77" s="242"/>
      <c r="AR77" s="242"/>
      <c r="AS77" s="242"/>
      <c r="AT77" s="242"/>
      <c r="AU77" s="245"/>
      <c r="AV77" s="242"/>
      <c r="AW77" s="242"/>
      <c r="AX77" s="242"/>
      <c r="AY77" s="242"/>
      <c r="AZ77" s="242"/>
      <c r="BA77" s="244"/>
      <c r="BB77" s="242"/>
      <c r="BC77" s="242"/>
      <c r="BD77" s="242"/>
      <c r="BE77" s="242"/>
      <c r="BF77" s="242"/>
      <c r="BG77" s="245"/>
      <c r="BH77" s="242"/>
      <c r="BI77" s="242"/>
      <c r="BJ77" s="242"/>
      <c r="BK77" s="242"/>
      <c r="BL77" s="242"/>
      <c r="BM77" s="246"/>
      <c r="BN77" s="241"/>
      <c r="BO77" s="242"/>
      <c r="BP77" s="242"/>
      <c r="BQ77" s="242"/>
      <c r="BR77" s="242"/>
      <c r="BS77" s="243"/>
      <c r="BT77" s="242"/>
      <c r="BU77" s="242"/>
      <c r="BV77" s="242"/>
      <c r="BW77" s="242"/>
      <c r="BX77" s="242"/>
      <c r="BY77" s="244"/>
      <c r="BZ77" s="242"/>
      <c r="CA77" s="242"/>
      <c r="CB77" s="242"/>
      <c r="CC77" s="242"/>
      <c r="CD77" s="242"/>
      <c r="CE77" s="245"/>
      <c r="CF77" s="242"/>
      <c r="CG77" s="242"/>
      <c r="CH77" s="242"/>
      <c r="CI77" s="242"/>
      <c r="CJ77" s="242"/>
      <c r="CK77" s="244"/>
      <c r="CL77" s="242"/>
      <c r="CM77" s="242"/>
      <c r="CN77" s="242"/>
      <c r="CO77" s="242"/>
      <c r="CP77" s="242"/>
      <c r="CQ77" s="245"/>
      <c r="CR77" s="242"/>
      <c r="CS77" s="242"/>
      <c r="CT77" s="242"/>
      <c r="CU77" s="242"/>
      <c r="CV77" s="242"/>
      <c r="CW77" s="244"/>
      <c r="CX77" s="242"/>
      <c r="CY77" s="242"/>
      <c r="CZ77" s="242"/>
      <c r="DA77" s="242"/>
      <c r="DB77" s="242"/>
      <c r="DC77" s="245"/>
      <c r="DD77" s="242"/>
      <c r="DE77" s="242"/>
      <c r="DF77" s="242"/>
      <c r="DG77" s="242"/>
      <c r="DH77" s="242"/>
      <c r="DI77" s="244"/>
      <c r="DJ77" s="242"/>
      <c r="DK77" s="242"/>
      <c r="DL77" s="242"/>
      <c r="DM77" s="242"/>
      <c r="DN77" s="242"/>
      <c r="DO77" s="245"/>
      <c r="DP77" s="242"/>
      <c r="DQ77" s="242"/>
      <c r="DR77" s="242"/>
      <c r="DS77" s="242"/>
      <c r="DT77" s="242"/>
      <c r="DU77" s="246"/>
      <c r="DV77" s="241"/>
      <c r="DW77" s="242"/>
      <c r="DX77" s="242"/>
      <c r="DY77" s="242"/>
      <c r="DZ77" s="242"/>
      <c r="EA77" s="243"/>
      <c r="EB77" s="242"/>
      <c r="EC77" s="242"/>
      <c r="ED77" s="242"/>
      <c r="EE77" s="242"/>
      <c r="EF77" s="242"/>
      <c r="EG77" s="244"/>
      <c r="EH77" s="242"/>
      <c r="EI77" s="242"/>
      <c r="EJ77" s="242"/>
      <c r="EK77" s="242"/>
      <c r="EL77" s="242"/>
      <c r="EM77" s="245"/>
      <c r="EN77" s="242"/>
      <c r="EO77" s="242"/>
      <c r="EP77" s="242"/>
      <c r="EQ77" s="242"/>
      <c r="ER77" s="242"/>
      <c r="ES77" s="244"/>
      <c r="ET77" s="242"/>
      <c r="EU77" s="242"/>
      <c r="EV77" s="242"/>
      <c r="EW77" s="242"/>
      <c r="EX77" s="242"/>
      <c r="EY77" s="245"/>
      <c r="EZ77" s="242"/>
      <c r="FA77" s="242"/>
      <c r="FB77" s="242"/>
      <c r="FC77" s="242"/>
      <c r="FD77" s="242"/>
      <c r="FE77" s="244"/>
      <c r="FF77" s="242"/>
      <c r="FG77" s="242"/>
      <c r="FH77" s="242"/>
      <c r="FI77" s="242"/>
      <c r="FJ77" s="242"/>
      <c r="FK77" s="245"/>
      <c r="FL77" s="242"/>
      <c r="FM77" s="242"/>
      <c r="FN77" s="242"/>
      <c r="FO77" s="242"/>
      <c r="FP77" s="242"/>
      <c r="FQ77" s="244"/>
      <c r="FR77" s="242"/>
      <c r="FS77" s="242"/>
      <c r="FT77" s="242"/>
      <c r="FU77" s="242"/>
      <c r="FV77" s="242"/>
      <c r="FW77" s="245"/>
      <c r="FX77" s="242"/>
      <c r="FY77" s="242"/>
      <c r="FZ77" s="242"/>
      <c r="GA77" s="242"/>
      <c r="GB77" s="242"/>
      <c r="GC77" s="246"/>
      <c r="GD77" s="241"/>
      <c r="GE77" s="242"/>
      <c r="GF77" s="242"/>
      <c r="GG77" s="242"/>
      <c r="GH77" s="242"/>
      <c r="GI77" s="243"/>
      <c r="GJ77" s="242"/>
      <c r="GK77" s="242"/>
      <c r="GL77" s="242"/>
      <c r="GM77" s="242"/>
      <c r="GN77" s="242"/>
      <c r="GO77" s="244"/>
      <c r="GP77" s="242"/>
      <c r="GQ77" s="242"/>
      <c r="GR77" s="242"/>
      <c r="GS77" s="242"/>
      <c r="GT77" s="242"/>
      <c r="GU77" s="245"/>
      <c r="GV77" s="242"/>
      <c r="GW77" s="242"/>
      <c r="GX77" s="242"/>
      <c r="GY77" s="242"/>
      <c r="GZ77" s="242"/>
      <c r="HA77" s="244"/>
      <c r="HB77" s="242"/>
      <c r="HC77" s="242"/>
      <c r="HD77" s="242"/>
      <c r="HE77" s="242"/>
      <c r="HF77" s="242"/>
      <c r="HG77" s="245"/>
      <c r="HH77" s="242"/>
      <c r="HI77" s="242"/>
      <c r="HJ77" s="242"/>
      <c r="HK77" s="242"/>
      <c r="HL77" s="242"/>
      <c r="HM77" s="244"/>
      <c r="HN77" s="242"/>
      <c r="HO77" s="242"/>
      <c r="HP77" s="242"/>
      <c r="HQ77" s="242"/>
      <c r="HR77" s="242"/>
      <c r="HS77" s="245"/>
      <c r="HT77" s="242"/>
      <c r="HU77" s="242"/>
      <c r="HV77" s="242"/>
      <c r="HW77" s="242"/>
      <c r="HX77" s="242"/>
      <c r="HY77" s="244"/>
      <c r="HZ77" s="242"/>
      <c r="IA77" s="242"/>
      <c r="IB77" s="242"/>
      <c r="IC77" s="242"/>
      <c r="ID77" s="242"/>
      <c r="IE77" s="245"/>
      <c r="IF77" s="242"/>
      <c r="IG77" s="242"/>
      <c r="IH77" s="242"/>
      <c r="II77" s="242"/>
      <c r="IJ77" s="242"/>
      <c r="IK77" s="246"/>
      <c r="IL77" s="241"/>
      <c r="IM77" s="242"/>
      <c r="IN77" s="242"/>
      <c r="IO77" s="242"/>
      <c r="IP77" s="242"/>
      <c r="IQ77" s="243"/>
      <c r="IR77" s="242"/>
      <c r="IS77" s="242"/>
      <c r="IT77" s="242"/>
      <c r="IU77" s="242"/>
      <c r="IV77" s="242"/>
      <c r="IW77" s="244"/>
      <c r="IX77" s="242"/>
      <c r="IY77" s="242"/>
      <c r="IZ77" s="242"/>
      <c r="JA77" s="242"/>
      <c r="JB77" s="242"/>
      <c r="JC77" s="245"/>
      <c r="JD77" s="242"/>
      <c r="JE77" s="242"/>
      <c r="JF77" s="242"/>
      <c r="JG77" s="242"/>
      <c r="JH77" s="242"/>
      <c r="JI77" s="244"/>
      <c r="JJ77" s="242"/>
      <c r="JK77" s="242"/>
      <c r="JL77" s="242"/>
      <c r="JM77" s="242"/>
      <c r="JN77" s="242"/>
      <c r="JO77" s="245"/>
      <c r="JP77" s="242"/>
      <c r="JQ77" s="242"/>
      <c r="JR77" s="242"/>
      <c r="JS77" s="242"/>
      <c r="JT77" s="242"/>
      <c r="JU77" s="244"/>
      <c r="JV77" s="242"/>
      <c r="JW77" s="242"/>
      <c r="JX77" s="242"/>
      <c r="JY77" s="242"/>
      <c r="JZ77" s="242"/>
      <c r="KA77" s="245"/>
      <c r="KB77" s="242"/>
      <c r="KC77" s="242"/>
      <c r="KD77" s="242"/>
      <c r="KE77" s="242"/>
      <c r="KF77" s="242"/>
      <c r="KG77" s="244"/>
      <c r="KH77" s="242"/>
      <c r="KI77" s="242"/>
      <c r="KJ77" s="242"/>
      <c r="KK77" s="242"/>
      <c r="KL77" s="242"/>
      <c r="KM77" s="245"/>
      <c r="KN77" s="242"/>
      <c r="KO77" s="242"/>
      <c r="KP77" s="242"/>
      <c r="KQ77" s="242"/>
      <c r="KR77" s="242"/>
      <c r="KS77" s="246"/>
      <c r="KT77" s="241"/>
      <c r="KU77" s="242"/>
      <c r="KV77" s="242"/>
      <c r="KW77" s="242"/>
      <c r="KX77" s="242"/>
      <c r="KY77" s="243"/>
      <c r="KZ77" s="242"/>
      <c r="LA77" s="242"/>
      <c r="LB77" s="242"/>
      <c r="LC77" s="242"/>
      <c r="LD77" s="242"/>
      <c r="LE77" s="244"/>
      <c r="LF77" s="242"/>
      <c r="LG77" s="242"/>
      <c r="LH77" s="242"/>
      <c r="LI77" s="242"/>
      <c r="LJ77" s="242"/>
      <c r="LK77" s="245"/>
      <c r="LL77" s="242"/>
      <c r="LM77" s="242"/>
      <c r="LN77" s="242"/>
      <c r="LO77" s="242"/>
      <c r="LP77" s="242"/>
      <c r="LQ77" s="244"/>
      <c r="LR77" s="242"/>
      <c r="LS77" s="242"/>
      <c r="LT77" s="242"/>
      <c r="LU77" s="242"/>
      <c r="LV77" s="242"/>
      <c r="LW77" s="245"/>
      <c r="LX77" s="242"/>
      <c r="LY77" s="242"/>
      <c r="LZ77" s="242"/>
      <c r="MA77" s="242"/>
      <c r="MB77" s="242"/>
      <c r="MC77" s="244"/>
      <c r="MD77" s="242"/>
      <c r="ME77" s="242"/>
      <c r="MF77" s="242"/>
      <c r="MG77" s="242"/>
      <c r="MH77" s="242"/>
      <c r="MI77" s="245"/>
      <c r="MJ77" s="242"/>
      <c r="MK77" s="242"/>
      <c r="ML77" s="242"/>
      <c r="MM77" s="242"/>
      <c r="MN77" s="242"/>
      <c r="MO77" s="244"/>
      <c r="MP77" s="242"/>
      <c r="MQ77" s="242"/>
      <c r="MR77" s="242"/>
      <c r="MS77" s="242"/>
      <c r="MT77" s="242"/>
      <c r="MU77" s="245"/>
      <c r="MV77" s="242"/>
      <c r="MW77" s="242"/>
      <c r="MX77" s="242"/>
      <c r="MY77" s="242"/>
      <c r="MZ77" s="242"/>
      <c r="NA77" s="246"/>
      <c r="NB77" s="241"/>
      <c r="NC77" s="242"/>
      <c r="ND77" s="242"/>
      <c r="NE77" s="242"/>
      <c r="NF77" s="242"/>
      <c r="NG77" s="243"/>
      <c r="NH77" s="242"/>
      <c r="NI77" s="242"/>
      <c r="NJ77" s="242"/>
      <c r="NK77" s="242"/>
      <c r="NL77" s="242"/>
      <c r="NM77" s="244"/>
      <c r="NN77" s="242"/>
      <c r="NO77" s="242"/>
      <c r="NP77" s="242"/>
      <c r="NQ77" s="242"/>
      <c r="NR77" s="242"/>
      <c r="NS77" s="245"/>
      <c r="NT77" s="242"/>
      <c r="NU77" s="242"/>
      <c r="NV77" s="242"/>
      <c r="NW77" s="242"/>
      <c r="NX77" s="242"/>
      <c r="NY77" s="244"/>
      <c r="NZ77" s="242"/>
      <c r="OA77" s="242"/>
      <c r="OB77" s="242"/>
      <c r="OC77" s="242"/>
      <c r="OD77" s="242"/>
      <c r="OE77" s="245"/>
      <c r="OF77" s="242"/>
      <c r="OG77" s="242"/>
      <c r="OH77" s="242"/>
      <c r="OI77" s="242"/>
      <c r="OJ77" s="242"/>
      <c r="OK77" s="244"/>
      <c r="OL77" s="242"/>
      <c r="OM77" s="242"/>
      <c r="ON77" s="242"/>
      <c r="OO77" s="242"/>
      <c r="OP77" s="242"/>
      <c r="OQ77" s="245"/>
      <c r="OR77" s="242"/>
      <c r="OS77" s="242"/>
      <c r="OT77" s="242"/>
      <c r="OU77" s="242"/>
      <c r="OV77" s="242"/>
      <c r="OW77" s="244"/>
      <c r="OX77" s="242"/>
      <c r="OY77" s="242"/>
      <c r="OZ77" s="242"/>
      <c r="PA77" s="242"/>
      <c r="PB77" s="242"/>
      <c r="PC77" s="245"/>
      <c r="PD77" s="242"/>
      <c r="PE77" s="242"/>
      <c r="PF77" s="242"/>
      <c r="PG77" s="242"/>
      <c r="PH77" s="242"/>
      <c r="PI77" s="246"/>
      <c r="PJ77" s="241"/>
      <c r="PK77" s="242"/>
      <c r="PL77" s="242"/>
      <c r="PM77" s="242"/>
      <c r="PN77" s="242"/>
      <c r="PO77" s="243"/>
      <c r="PP77" s="242"/>
      <c r="PQ77" s="242"/>
      <c r="PR77" s="242"/>
      <c r="PS77" s="242"/>
      <c r="PT77" s="242"/>
      <c r="PU77" s="244"/>
      <c r="PV77" s="242"/>
      <c r="PW77" s="242"/>
      <c r="PX77" s="242"/>
      <c r="PY77" s="242"/>
      <c r="PZ77" s="242"/>
      <c r="QA77" s="245"/>
      <c r="QB77" s="242"/>
      <c r="QC77" s="242"/>
      <c r="QD77" s="242"/>
      <c r="QE77" s="242"/>
      <c r="QF77" s="242"/>
      <c r="QG77" s="244"/>
      <c r="QH77" s="242"/>
      <c r="QI77" s="242"/>
      <c r="QJ77" s="242"/>
      <c r="QK77" s="242"/>
      <c r="QL77" s="242"/>
      <c r="QM77" s="245"/>
      <c r="QN77" s="242"/>
      <c r="QO77" s="242"/>
      <c r="QP77" s="242"/>
      <c r="QQ77" s="242"/>
      <c r="QR77" s="242"/>
      <c r="QS77" s="244"/>
      <c r="QT77" s="242"/>
      <c r="QU77" s="242"/>
      <c r="QV77" s="242"/>
      <c r="QW77" s="242"/>
      <c r="QX77" s="242"/>
      <c r="QY77" s="245"/>
      <c r="QZ77" s="242"/>
      <c r="RA77" s="242"/>
      <c r="RB77" s="242"/>
      <c r="RC77" s="242"/>
      <c r="RD77" s="242"/>
      <c r="RE77" s="244"/>
      <c r="RF77" s="242"/>
      <c r="RG77" s="242"/>
      <c r="RH77" s="242"/>
      <c r="RI77" s="242"/>
      <c r="RJ77" s="242"/>
      <c r="RK77" s="245"/>
      <c r="RL77" s="242"/>
      <c r="RM77" s="242"/>
      <c r="RN77" s="242"/>
      <c r="RO77" s="242"/>
      <c r="RP77" s="242"/>
      <c r="RQ77" s="246"/>
      <c r="RR77" s="241"/>
      <c r="RS77" s="242"/>
      <c r="RT77" s="242"/>
      <c r="RU77" s="242"/>
      <c r="RV77" s="242"/>
      <c r="RW77" s="243"/>
      <c r="RX77" s="242"/>
      <c r="RY77" s="242"/>
      <c r="RZ77" s="242"/>
      <c r="SA77" s="242"/>
      <c r="SB77" s="242"/>
      <c r="SC77" s="244"/>
      <c r="SD77" s="242"/>
      <c r="SE77" s="242"/>
      <c r="SF77" s="242"/>
      <c r="SG77" s="242"/>
      <c r="SH77" s="242"/>
      <c r="SI77" s="245"/>
      <c r="SJ77" s="242"/>
      <c r="SK77" s="242"/>
      <c r="SL77" s="242"/>
      <c r="SM77" s="242"/>
      <c r="SN77" s="242"/>
      <c r="SO77" s="244"/>
      <c r="SP77" s="242"/>
      <c r="SQ77" s="242"/>
      <c r="SR77" s="242"/>
      <c r="SS77" s="242"/>
      <c r="ST77" s="242"/>
      <c r="SU77" s="245"/>
      <c r="SV77" s="242"/>
      <c r="SW77" s="242"/>
      <c r="SX77" s="242"/>
      <c r="SY77" s="242"/>
      <c r="SZ77" s="242"/>
      <c r="TA77" s="244"/>
      <c r="TB77" s="242"/>
      <c r="TC77" s="242"/>
      <c r="TD77" s="242"/>
      <c r="TE77" s="242"/>
      <c r="TF77" s="242"/>
      <c r="TG77" s="245"/>
      <c r="TH77" s="242"/>
      <c r="TI77" s="242"/>
      <c r="TJ77" s="242"/>
      <c r="TK77" s="242"/>
      <c r="TL77" s="242"/>
      <c r="TM77" s="244"/>
      <c r="TN77" s="242"/>
      <c r="TO77" s="242"/>
      <c r="TP77" s="242"/>
      <c r="TQ77" s="242"/>
      <c r="TR77" s="242"/>
      <c r="TS77" s="245"/>
      <c r="TT77" s="242"/>
      <c r="TU77" s="242"/>
      <c r="TV77" s="242"/>
      <c r="TW77" s="242"/>
      <c r="TX77" s="242"/>
      <c r="TY77" s="246"/>
      <c r="TZ77" s="241"/>
      <c r="UA77" s="242"/>
      <c r="UB77" s="242"/>
      <c r="UC77" s="242"/>
      <c r="UD77" s="242"/>
      <c r="UE77" s="243"/>
      <c r="UF77" s="242"/>
      <c r="UG77" s="242"/>
      <c r="UH77" s="242"/>
      <c r="UI77" s="242"/>
      <c r="UJ77" s="242"/>
      <c r="UK77" s="244"/>
      <c r="UL77" s="242"/>
      <c r="UM77" s="242"/>
      <c r="UN77" s="242"/>
      <c r="UO77" s="242"/>
      <c r="UP77" s="242"/>
      <c r="UQ77" s="245"/>
      <c r="UR77" s="242"/>
      <c r="US77" s="242"/>
      <c r="UT77" s="242"/>
      <c r="UU77" s="242"/>
      <c r="UV77" s="242"/>
      <c r="UW77" s="244"/>
      <c r="UX77" s="242"/>
      <c r="UY77" s="242"/>
      <c r="UZ77" s="242"/>
      <c r="VA77" s="242"/>
      <c r="VB77" s="242"/>
      <c r="VC77" s="245"/>
      <c r="VD77" s="242"/>
      <c r="VE77" s="242"/>
      <c r="VF77" s="242"/>
      <c r="VG77" s="242"/>
      <c r="VH77" s="242"/>
      <c r="VI77" s="244"/>
      <c r="VJ77" s="242"/>
      <c r="VK77" s="242"/>
      <c r="VL77" s="242"/>
      <c r="VM77" s="242"/>
      <c r="VN77" s="242"/>
      <c r="VO77" s="245"/>
      <c r="VP77" s="242"/>
      <c r="VQ77" s="242"/>
      <c r="VR77" s="242"/>
      <c r="VS77" s="242"/>
      <c r="VT77" s="242"/>
      <c r="VU77" s="244"/>
      <c r="VV77" s="242"/>
      <c r="VW77" s="242"/>
      <c r="VX77" s="242"/>
      <c r="VY77" s="242"/>
      <c r="VZ77" s="242"/>
      <c r="WA77" s="245"/>
      <c r="WB77" s="242"/>
      <c r="WC77" s="242"/>
      <c r="WD77" s="242"/>
      <c r="WE77" s="242"/>
      <c r="WF77" s="242"/>
      <c r="WG77" s="246"/>
      <c r="WH77" s="241"/>
      <c r="WI77" s="242"/>
      <c r="WJ77" s="242"/>
      <c r="WK77" s="242"/>
      <c r="WL77" s="242"/>
      <c r="WM77" s="243"/>
      <c r="WN77" s="242"/>
      <c r="WO77" s="242"/>
      <c r="WP77" s="242"/>
      <c r="WQ77" s="242"/>
      <c r="WR77" s="242"/>
      <c r="WS77" s="244"/>
      <c r="WT77" s="242"/>
      <c r="WU77" s="242"/>
      <c r="WV77" s="242"/>
      <c r="WW77" s="242"/>
      <c r="WX77" s="242"/>
      <c r="WY77" s="245"/>
      <c r="WZ77" s="242"/>
      <c r="XA77" s="242"/>
      <c r="XB77" s="242"/>
      <c r="XC77" s="242"/>
      <c r="XD77" s="242"/>
      <c r="XE77" s="244"/>
      <c r="XF77" s="242"/>
      <c r="XG77" s="242"/>
      <c r="XH77" s="242"/>
      <c r="XI77" s="242"/>
      <c r="XJ77" s="242"/>
      <c r="XK77" s="245"/>
      <c r="XL77" s="242"/>
      <c r="XM77" s="242"/>
      <c r="XN77" s="242"/>
      <c r="XO77" s="242"/>
      <c r="XP77" s="242"/>
      <c r="XQ77" s="244"/>
      <c r="XR77" s="242"/>
      <c r="XS77" s="242"/>
      <c r="XT77" s="242"/>
      <c r="XU77" s="242"/>
      <c r="XV77" s="242"/>
      <c r="XW77" s="245"/>
      <c r="XX77" s="242"/>
      <c r="XY77" s="242"/>
      <c r="XZ77" s="242"/>
      <c r="YA77" s="242"/>
      <c r="YB77" s="242"/>
      <c r="YC77" s="244"/>
      <c r="YD77" s="242"/>
      <c r="YE77" s="242"/>
      <c r="YF77" s="242"/>
      <c r="YG77" s="242"/>
      <c r="YH77" s="242"/>
      <c r="YI77" s="245"/>
      <c r="YJ77" s="242"/>
      <c r="YK77" s="242"/>
      <c r="YL77" s="242"/>
      <c r="YM77" s="242"/>
      <c r="YN77" s="242"/>
      <c r="YO77" s="246"/>
      <c r="YP77" s="241"/>
      <c r="YQ77" s="242"/>
      <c r="YR77" s="242"/>
      <c r="YS77" s="242"/>
      <c r="YT77" s="242"/>
      <c r="YU77" s="243"/>
      <c r="YV77" s="242"/>
      <c r="YW77" s="242"/>
      <c r="YX77" s="242"/>
      <c r="YY77" s="242"/>
      <c r="YZ77" s="242"/>
      <c r="ZA77" s="244"/>
      <c r="ZB77" s="242"/>
      <c r="ZC77" s="242"/>
      <c r="ZD77" s="242"/>
      <c r="ZE77" s="242"/>
      <c r="ZF77" s="242"/>
      <c r="ZG77" s="245"/>
      <c r="ZH77" s="242"/>
      <c r="ZI77" s="242"/>
      <c r="ZJ77" s="242"/>
      <c r="ZK77" s="242"/>
      <c r="ZL77" s="242"/>
      <c r="ZM77" s="244"/>
      <c r="ZN77" s="242"/>
      <c r="ZO77" s="242"/>
      <c r="ZP77" s="242"/>
      <c r="ZQ77" s="242"/>
      <c r="ZR77" s="242"/>
      <c r="ZS77" s="245"/>
      <c r="ZT77" s="242"/>
      <c r="ZU77" s="242"/>
      <c r="ZV77" s="242"/>
      <c r="ZW77" s="242"/>
      <c r="ZX77" s="242"/>
      <c r="ZY77" s="244"/>
      <c r="ZZ77" s="242"/>
      <c r="AAA77" s="242"/>
      <c r="AAB77" s="242"/>
      <c r="AAC77" s="242"/>
      <c r="AAD77" s="242"/>
      <c r="AAE77" s="245"/>
      <c r="AAF77" s="242"/>
      <c r="AAG77" s="242"/>
      <c r="AAH77" s="242"/>
      <c r="AAI77" s="242"/>
      <c r="AAJ77" s="242"/>
      <c r="AAK77" s="244"/>
      <c r="AAL77" s="242"/>
      <c r="AAM77" s="242"/>
      <c r="AAN77" s="242"/>
      <c r="AAO77" s="242"/>
      <c r="AAP77" s="242"/>
      <c r="AAQ77" s="245"/>
      <c r="AAR77" s="242"/>
      <c r="AAS77" s="242"/>
      <c r="AAT77" s="242"/>
      <c r="AAU77" s="242"/>
      <c r="AAV77" s="242"/>
      <c r="AAW77" s="246"/>
      <c r="AAX77" s="241"/>
      <c r="AAY77" s="242"/>
      <c r="AAZ77" s="242"/>
      <c r="ABA77" s="242"/>
      <c r="ABB77" s="242"/>
      <c r="ABC77" s="243"/>
      <c r="ABD77" s="242"/>
      <c r="ABE77" s="242"/>
      <c r="ABF77" s="242"/>
      <c r="ABG77" s="242"/>
      <c r="ABH77" s="242"/>
      <c r="ABI77" s="244"/>
      <c r="ABJ77" s="242"/>
      <c r="ABK77" s="242"/>
      <c r="ABL77" s="242"/>
      <c r="ABM77" s="242"/>
      <c r="ABN77" s="242"/>
      <c r="ABO77" s="245"/>
      <c r="ABP77" s="242"/>
      <c r="ABQ77" s="242"/>
      <c r="ABR77" s="242"/>
      <c r="ABS77" s="242"/>
      <c r="ABT77" s="242"/>
      <c r="ABU77" s="244"/>
      <c r="ABV77" s="242"/>
      <c r="ABW77" s="242"/>
      <c r="ABX77" s="242"/>
      <c r="ABY77" s="242"/>
      <c r="ABZ77" s="242"/>
      <c r="ACA77" s="245"/>
      <c r="ACB77" s="242"/>
      <c r="ACC77" s="242"/>
      <c r="ACD77" s="242"/>
      <c r="ACE77" s="242"/>
      <c r="ACF77" s="242"/>
      <c r="ACG77" s="244"/>
      <c r="ACH77" s="242"/>
      <c r="ACI77" s="242"/>
      <c r="ACJ77" s="242"/>
      <c r="ACK77" s="242"/>
      <c r="ACL77" s="242"/>
      <c r="ACM77" s="245"/>
      <c r="ACN77" s="242"/>
      <c r="ACO77" s="242"/>
      <c r="ACP77" s="242"/>
      <c r="ACQ77" s="242"/>
      <c r="ACR77" s="242"/>
      <c r="ACS77" s="244"/>
      <c r="ACT77" s="242"/>
      <c r="ACU77" s="242"/>
      <c r="ACV77" s="242"/>
      <c r="ACW77" s="242"/>
      <c r="ACX77" s="242"/>
      <c r="ACY77" s="245"/>
      <c r="ACZ77" s="242"/>
      <c r="ADA77" s="242"/>
      <c r="ADB77" s="242"/>
      <c r="ADC77" s="242"/>
      <c r="ADD77" s="242"/>
      <c r="ADE77" s="246"/>
      <c r="ADF77" s="241"/>
      <c r="ADG77" s="242"/>
      <c r="ADH77" s="242"/>
      <c r="ADI77" s="242"/>
      <c r="ADJ77" s="242"/>
      <c r="ADK77" s="243"/>
      <c r="ADL77" s="242"/>
      <c r="ADM77" s="242"/>
      <c r="ADN77" s="242"/>
      <c r="ADO77" s="242"/>
      <c r="ADP77" s="242"/>
      <c r="ADQ77" s="244"/>
      <c r="ADR77" s="242"/>
      <c r="ADS77" s="242"/>
      <c r="ADT77" s="242"/>
      <c r="ADU77" s="242"/>
      <c r="ADV77" s="242"/>
      <c r="ADW77" s="245"/>
      <c r="ADX77" s="242"/>
      <c r="ADY77" s="242"/>
      <c r="ADZ77" s="242"/>
      <c r="AEA77" s="242"/>
      <c r="AEB77" s="242"/>
      <c r="AEC77" s="244"/>
      <c r="AED77" s="242"/>
      <c r="AEE77" s="242"/>
      <c r="AEF77" s="242"/>
      <c r="AEG77" s="242"/>
      <c r="AEH77" s="242"/>
      <c r="AEI77" s="245"/>
      <c r="AEJ77" s="242"/>
      <c r="AEK77" s="242"/>
      <c r="AEL77" s="242"/>
      <c r="AEM77" s="242"/>
      <c r="AEN77" s="242"/>
      <c r="AEO77" s="244"/>
      <c r="AEP77" s="242"/>
      <c r="AEQ77" s="242"/>
      <c r="AER77" s="242"/>
      <c r="AES77" s="242"/>
      <c r="AET77" s="242"/>
      <c r="AEU77" s="245"/>
      <c r="AEV77" s="242"/>
      <c r="AEW77" s="242"/>
      <c r="AEX77" s="242"/>
      <c r="AEY77" s="242"/>
      <c r="AEZ77" s="242"/>
      <c r="AFA77" s="244"/>
      <c r="AFB77" s="242"/>
      <c r="AFC77" s="242"/>
      <c r="AFD77" s="242"/>
      <c r="AFE77" s="242"/>
      <c r="AFF77" s="242"/>
      <c r="AFG77" s="245"/>
      <c r="AFH77" s="242"/>
      <c r="AFI77" s="242"/>
      <c r="AFJ77" s="242"/>
      <c r="AFK77" s="242"/>
      <c r="AFL77" s="242"/>
      <c r="AFM77" s="246"/>
      <c r="AFN77" s="241"/>
      <c r="AFO77" s="242"/>
      <c r="AFP77" s="242"/>
      <c r="AFQ77" s="242"/>
      <c r="AFR77" s="242"/>
      <c r="AFS77" s="243"/>
      <c r="AFT77" s="242"/>
      <c r="AFU77" s="242"/>
      <c r="AFV77" s="242"/>
      <c r="AFW77" s="242"/>
      <c r="AFX77" s="242"/>
      <c r="AFY77" s="244"/>
      <c r="AFZ77" s="242"/>
      <c r="AGA77" s="242"/>
      <c r="AGB77" s="242"/>
      <c r="AGC77" s="242"/>
      <c r="AGD77" s="242"/>
      <c r="AGE77" s="245"/>
      <c r="AGF77" s="242"/>
      <c r="AGG77" s="242"/>
      <c r="AGH77" s="242"/>
      <c r="AGI77" s="242"/>
      <c r="AGJ77" s="242"/>
      <c r="AGK77" s="244"/>
      <c r="AGL77" s="242"/>
      <c r="AGM77" s="242"/>
      <c r="AGN77" s="242"/>
      <c r="AGO77" s="242"/>
      <c r="AGP77" s="242"/>
      <c r="AGQ77" s="245"/>
      <c r="AGR77" s="242"/>
      <c r="AGS77" s="242"/>
      <c r="AGT77" s="242"/>
      <c r="AGU77" s="242"/>
      <c r="AGV77" s="242"/>
      <c r="AGW77" s="244"/>
      <c r="AGX77" s="242"/>
      <c r="AGY77" s="242"/>
      <c r="AGZ77" s="242"/>
      <c r="AHA77" s="242"/>
      <c r="AHB77" s="242"/>
      <c r="AHC77" s="245"/>
      <c r="AHD77" s="242"/>
      <c r="AHE77" s="242"/>
      <c r="AHF77" s="242"/>
      <c r="AHG77" s="242"/>
      <c r="AHH77" s="242"/>
      <c r="AHI77" s="244"/>
      <c r="AHJ77" s="242"/>
      <c r="AHK77" s="242"/>
      <c r="AHL77" s="242"/>
      <c r="AHM77" s="242"/>
      <c r="AHN77" s="242"/>
      <c r="AHO77" s="245"/>
      <c r="AHP77" s="242"/>
      <c r="AHQ77" s="242"/>
      <c r="AHR77" s="242"/>
      <c r="AHS77" s="242"/>
      <c r="AHT77" s="242"/>
      <c r="AHU77" s="246"/>
      <c r="AHV77" s="241"/>
      <c r="AHW77" s="242"/>
      <c r="AHX77" s="242"/>
      <c r="AHY77" s="242"/>
      <c r="AHZ77" s="242"/>
      <c r="AIA77" s="243"/>
      <c r="AIB77" s="242"/>
      <c r="AIC77" s="242"/>
      <c r="AID77" s="242"/>
      <c r="AIE77" s="242"/>
      <c r="AIF77" s="242"/>
      <c r="AIG77" s="244"/>
      <c r="AIH77" s="242"/>
      <c r="AII77" s="242"/>
      <c r="AIJ77" s="242"/>
      <c r="AIK77" s="242"/>
      <c r="AIL77" s="242"/>
      <c r="AIM77" s="245"/>
      <c r="AIN77" s="242"/>
      <c r="AIO77" s="242"/>
      <c r="AIP77" s="242"/>
      <c r="AIQ77" s="242"/>
      <c r="AIR77" s="242"/>
      <c r="AIS77" s="244"/>
      <c r="AIT77" s="242"/>
      <c r="AIU77" s="242"/>
      <c r="AIV77" s="242"/>
      <c r="AIW77" s="242"/>
      <c r="AIX77" s="242"/>
      <c r="AIY77" s="245"/>
      <c r="AIZ77" s="242"/>
      <c r="AJA77" s="242"/>
      <c r="AJB77" s="242"/>
      <c r="AJC77" s="242"/>
      <c r="AJD77" s="242"/>
      <c r="AJE77" s="244"/>
      <c r="AJF77" s="242"/>
      <c r="AJG77" s="242"/>
      <c r="AJH77" s="242"/>
      <c r="AJI77" s="242"/>
      <c r="AJJ77" s="242"/>
      <c r="AJK77" s="245"/>
      <c r="AJL77" s="242"/>
      <c r="AJM77" s="242"/>
      <c r="AJN77" s="242"/>
      <c r="AJO77" s="242"/>
      <c r="AJP77" s="242"/>
      <c r="AJQ77" s="244"/>
      <c r="AJR77" s="242"/>
      <c r="AJS77" s="242"/>
      <c r="AJT77" s="242"/>
      <c r="AJU77" s="242"/>
      <c r="AJV77" s="242"/>
      <c r="AJW77" s="245"/>
      <c r="AJX77" s="242"/>
      <c r="AJY77" s="242"/>
      <c r="AJZ77" s="242"/>
      <c r="AKA77" s="242"/>
      <c r="AKB77" s="242"/>
      <c r="AKC77" s="246"/>
      <c r="AKD77" s="241"/>
      <c r="AKE77" s="242"/>
      <c r="AKF77" s="242"/>
      <c r="AKG77" s="242"/>
      <c r="AKH77" s="242"/>
      <c r="AKI77" s="243"/>
      <c r="AKJ77" s="242"/>
      <c r="AKK77" s="242"/>
      <c r="AKL77" s="242"/>
      <c r="AKM77" s="242"/>
      <c r="AKN77" s="242"/>
      <c r="AKO77" s="244"/>
      <c r="AKP77" s="242"/>
      <c r="AKQ77" s="242"/>
      <c r="AKR77" s="242"/>
      <c r="AKS77" s="242"/>
      <c r="AKT77" s="242"/>
      <c r="AKU77" s="245"/>
      <c r="AKV77" s="242"/>
      <c r="AKW77" s="242"/>
      <c r="AKX77" s="242"/>
      <c r="AKY77" s="242"/>
      <c r="AKZ77" s="242"/>
      <c r="ALA77" s="244"/>
      <c r="ALB77" s="242"/>
      <c r="ALC77" s="242"/>
      <c r="ALD77" s="242"/>
      <c r="ALE77" s="242"/>
      <c r="ALF77" s="242"/>
      <c r="ALG77" s="245"/>
      <c r="ALH77" s="242"/>
      <c r="ALI77" s="242"/>
      <c r="ALJ77" s="242"/>
      <c r="ALK77" s="242"/>
      <c r="ALL77" s="242"/>
      <c r="ALM77" s="244"/>
      <c r="ALN77" s="242"/>
      <c r="ALO77" s="242"/>
      <c r="ALP77" s="242"/>
      <c r="ALQ77" s="242"/>
      <c r="ALR77" s="242"/>
      <c r="ALS77" s="245"/>
      <c r="ALT77" s="242"/>
      <c r="ALU77" s="242"/>
      <c r="ALV77" s="242"/>
      <c r="ALW77" s="242"/>
      <c r="ALX77" s="242"/>
      <c r="ALY77" s="244"/>
      <c r="ALZ77" s="242"/>
      <c r="AMA77" s="242"/>
      <c r="AMB77" s="242"/>
      <c r="AMC77" s="242"/>
      <c r="AMD77" s="242"/>
      <c r="AME77" s="245"/>
      <c r="AMF77" s="242"/>
      <c r="AMG77" s="242"/>
      <c r="AMH77" s="242"/>
      <c r="AMI77" s="242"/>
      <c r="AMJ77" s="242"/>
      <c r="AMK77" s="246"/>
      <c r="AML77" s="241"/>
      <c r="AMM77" s="242"/>
      <c r="AMN77" s="242"/>
      <c r="AMO77" s="242"/>
      <c r="AMP77" s="242"/>
      <c r="AMQ77" s="243"/>
      <c r="AMR77" s="242"/>
      <c r="AMS77" s="242"/>
      <c r="AMT77" s="242"/>
      <c r="AMU77" s="242"/>
      <c r="AMV77" s="242"/>
      <c r="AMW77" s="244"/>
      <c r="AMX77" s="242"/>
      <c r="AMY77" s="242"/>
      <c r="AMZ77" s="242"/>
      <c r="ANA77" s="242"/>
      <c r="ANB77" s="242"/>
      <c r="ANC77" s="245"/>
      <c r="AND77" s="242"/>
      <c r="ANE77" s="242"/>
      <c r="ANF77" s="242"/>
      <c r="ANG77" s="242"/>
      <c r="ANH77" s="242"/>
      <c r="ANI77" s="244"/>
      <c r="ANJ77" s="242"/>
      <c r="ANK77" s="242"/>
      <c r="ANL77" s="242"/>
      <c r="ANM77" s="242"/>
      <c r="ANN77" s="242"/>
      <c r="ANO77" s="245"/>
      <c r="ANP77" s="242"/>
      <c r="ANQ77" s="242"/>
      <c r="ANR77" s="242"/>
      <c r="ANS77" s="242"/>
      <c r="ANT77" s="242"/>
      <c r="ANU77" s="244"/>
      <c r="ANV77" s="242"/>
      <c r="ANW77" s="242"/>
      <c r="ANX77" s="242"/>
      <c r="ANY77" s="242"/>
      <c r="ANZ77" s="242"/>
      <c r="AOA77" s="245"/>
      <c r="AOB77" s="242"/>
      <c r="AOC77" s="242"/>
      <c r="AOD77" s="242"/>
      <c r="AOE77" s="242"/>
      <c r="AOF77" s="242"/>
      <c r="AOG77" s="244"/>
      <c r="AOH77" s="242"/>
      <c r="AOI77" s="242"/>
      <c r="AOJ77" s="242"/>
      <c r="AOK77" s="242"/>
      <c r="AOL77" s="242"/>
      <c r="AOM77" s="245"/>
      <c r="AON77" s="242"/>
      <c r="AOO77" s="242"/>
      <c r="AOP77" s="242"/>
      <c r="AOQ77" s="242"/>
      <c r="AOR77" s="242"/>
      <c r="AOS77" s="246"/>
      <c r="AOT77" s="241"/>
      <c r="AOU77" s="242"/>
      <c r="AOV77" s="242"/>
      <c r="AOW77" s="242"/>
      <c r="AOX77" s="242"/>
      <c r="AOY77" s="243"/>
      <c r="AOZ77" s="242"/>
      <c r="APA77" s="242"/>
      <c r="APB77" s="242"/>
      <c r="APC77" s="242"/>
      <c r="APD77" s="242"/>
      <c r="APE77" s="244"/>
      <c r="APF77" s="242"/>
      <c r="APG77" s="242"/>
      <c r="APH77" s="242"/>
      <c r="API77" s="242"/>
      <c r="APJ77" s="242"/>
      <c r="APK77" s="245"/>
      <c r="APL77" s="242"/>
      <c r="APM77" s="242"/>
      <c r="APN77" s="242"/>
      <c r="APO77" s="242"/>
      <c r="APP77" s="242"/>
      <c r="APQ77" s="244"/>
      <c r="APR77" s="242"/>
      <c r="APS77" s="242"/>
      <c r="APT77" s="242"/>
      <c r="APU77" s="242"/>
      <c r="APV77" s="242"/>
      <c r="APW77" s="245"/>
      <c r="APX77" s="242"/>
      <c r="APY77" s="242"/>
      <c r="APZ77" s="242"/>
      <c r="AQA77" s="242"/>
      <c r="AQB77" s="242"/>
      <c r="AQC77" s="244"/>
      <c r="AQD77" s="242"/>
      <c r="AQE77" s="242"/>
      <c r="AQF77" s="242"/>
      <c r="AQG77" s="242"/>
      <c r="AQH77" s="242"/>
      <c r="AQI77" s="245"/>
      <c r="AQJ77" s="242"/>
      <c r="AQK77" s="242"/>
      <c r="AQL77" s="242"/>
      <c r="AQM77" s="242"/>
      <c r="AQN77" s="242"/>
      <c r="AQO77" s="244"/>
      <c r="AQP77" s="242"/>
      <c r="AQQ77" s="242"/>
      <c r="AQR77" s="242"/>
      <c r="AQS77" s="242"/>
      <c r="AQT77" s="242"/>
      <c r="AQU77" s="245"/>
      <c r="AQV77" s="242"/>
      <c r="AQW77" s="242"/>
      <c r="AQX77" s="242"/>
      <c r="AQY77" s="242"/>
      <c r="AQZ77" s="242"/>
      <c r="ARA77" s="246"/>
      <c r="ARB77" s="241"/>
      <c r="ARC77" s="242"/>
      <c r="ARD77" s="242"/>
      <c r="ARE77" s="242"/>
      <c r="ARF77" s="242"/>
      <c r="ARG77" s="243"/>
      <c r="ARH77" s="242"/>
      <c r="ARI77" s="242"/>
      <c r="ARJ77" s="242"/>
      <c r="ARK77" s="242"/>
      <c r="ARL77" s="242"/>
      <c r="ARM77" s="244"/>
      <c r="ARN77" s="242"/>
      <c r="ARO77" s="242"/>
      <c r="ARP77" s="242"/>
      <c r="ARQ77" s="242"/>
      <c r="ARR77" s="242"/>
      <c r="ARS77" s="245"/>
      <c r="ART77" s="242"/>
      <c r="ARU77" s="242"/>
      <c r="ARV77" s="242"/>
      <c r="ARW77" s="242"/>
      <c r="ARX77" s="242"/>
      <c r="ARY77" s="244"/>
      <c r="ARZ77" s="242"/>
      <c r="ASA77" s="242"/>
      <c r="ASB77" s="242"/>
      <c r="ASC77" s="242"/>
      <c r="ASD77" s="242"/>
      <c r="ASE77" s="245"/>
      <c r="ASF77" s="242"/>
      <c r="ASG77" s="242"/>
      <c r="ASH77" s="242"/>
      <c r="ASI77" s="242"/>
      <c r="ASJ77" s="242"/>
      <c r="ASK77" s="244"/>
      <c r="ASL77" s="242"/>
      <c r="ASM77" s="242"/>
      <c r="ASN77" s="242"/>
      <c r="ASO77" s="242"/>
      <c r="ASP77" s="242"/>
      <c r="ASQ77" s="245"/>
      <c r="ASR77" s="242"/>
      <c r="ASS77" s="242"/>
      <c r="AST77" s="242"/>
      <c r="ASU77" s="242"/>
      <c r="ASV77" s="242"/>
      <c r="ASW77" s="244"/>
      <c r="ASX77" s="242"/>
      <c r="ASY77" s="242"/>
      <c r="ASZ77" s="242"/>
      <c r="ATA77" s="242"/>
      <c r="ATB77" s="242"/>
      <c r="ATC77" s="245"/>
      <c r="ATD77" s="242"/>
      <c r="ATE77" s="242"/>
      <c r="ATF77" s="242"/>
      <c r="ATG77" s="242"/>
      <c r="ATH77" s="242"/>
      <c r="ATI77" s="246"/>
      <c r="ATJ77" s="241"/>
      <c r="ATK77" s="242"/>
      <c r="ATL77" s="242"/>
      <c r="ATM77" s="242"/>
      <c r="ATN77" s="242"/>
      <c r="ATO77" s="243"/>
      <c r="ATP77" s="242"/>
      <c r="ATQ77" s="242"/>
      <c r="ATR77" s="242"/>
      <c r="ATS77" s="242"/>
      <c r="ATT77" s="242"/>
      <c r="ATU77" s="244"/>
      <c r="ATV77" s="242"/>
      <c r="ATW77" s="242"/>
      <c r="ATX77" s="242"/>
      <c r="ATY77" s="242"/>
      <c r="ATZ77" s="242"/>
      <c r="AUA77" s="245"/>
      <c r="AUB77" s="242"/>
      <c r="AUC77" s="242"/>
      <c r="AUD77" s="242"/>
      <c r="AUE77" s="242"/>
      <c r="AUF77" s="242"/>
      <c r="AUG77" s="244"/>
      <c r="AUH77" s="242"/>
      <c r="AUI77" s="242"/>
      <c r="AUJ77" s="242"/>
      <c r="AUK77" s="242"/>
      <c r="AUL77" s="242"/>
      <c r="AUM77" s="245"/>
      <c r="AUN77" s="242"/>
      <c r="AUO77" s="242"/>
      <c r="AUP77" s="242"/>
      <c r="AUQ77" s="242"/>
      <c r="AUR77" s="242"/>
      <c r="AUS77" s="244"/>
      <c r="AUT77" s="242"/>
      <c r="AUU77" s="242"/>
      <c r="AUV77" s="242"/>
      <c r="AUW77" s="242"/>
      <c r="AUX77" s="242"/>
      <c r="AUY77" s="245"/>
      <c r="AUZ77" s="242"/>
      <c r="AVA77" s="242"/>
      <c r="AVB77" s="242"/>
      <c r="AVC77" s="242"/>
      <c r="AVD77" s="242"/>
      <c r="AVE77" s="244"/>
      <c r="AVF77" s="242"/>
      <c r="AVG77" s="242"/>
      <c r="AVH77" s="242"/>
      <c r="AVI77" s="242"/>
      <c r="AVJ77" s="242"/>
      <c r="AVK77" s="245"/>
      <c r="AVL77" s="242"/>
      <c r="AVM77" s="242"/>
      <c r="AVN77" s="242"/>
      <c r="AVO77" s="242"/>
      <c r="AVP77" s="242"/>
      <c r="AVQ77" s="246"/>
      <c r="AVR77" s="241"/>
      <c r="AVS77" s="242"/>
      <c r="AVT77" s="242"/>
      <c r="AVU77" s="242"/>
      <c r="AVV77" s="242"/>
      <c r="AVW77" s="243"/>
      <c r="AVX77" s="242"/>
      <c r="AVY77" s="242"/>
      <c r="AVZ77" s="242"/>
      <c r="AWA77" s="242"/>
      <c r="AWB77" s="242"/>
      <c r="AWC77" s="244"/>
      <c r="AWD77" s="242"/>
      <c r="AWE77" s="242"/>
      <c r="AWF77" s="242"/>
      <c r="AWG77" s="242"/>
      <c r="AWH77" s="242"/>
      <c r="AWI77" s="245"/>
      <c r="AWJ77" s="242"/>
      <c r="AWK77" s="242"/>
      <c r="AWL77" s="242"/>
      <c r="AWM77" s="242"/>
      <c r="AWN77" s="242"/>
      <c r="AWO77" s="244"/>
      <c r="AWP77" s="242"/>
      <c r="AWQ77" s="242"/>
      <c r="AWR77" s="242"/>
      <c r="AWS77" s="242"/>
      <c r="AWT77" s="242"/>
      <c r="AWU77" s="245"/>
      <c r="AWV77" s="242"/>
      <c r="AWW77" s="242"/>
      <c r="AWX77" s="242"/>
      <c r="AWY77" s="242"/>
      <c r="AWZ77" s="242"/>
      <c r="AXA77" s="244"/>
      <c r="AXB77" s="242"/>
      <c r="AXC77" s="242"/>
      <c r="AXD77" s="242"/>
      <c r="AXE77" s="242"/>
      <c r="AXF77" s="242"/>
      <c r="AXG77" s="245"/>
      <c r="AXH77" s="242"/>
      <c r="AXI77" s="242"/>
      <c r="AXJ77" s="242"/>
      <c r="AXK77" s="242"/>
      <c r="AXL77" s="242"/>
      <c r="AXM77" s="244"/>
      <c r="AXN77" s="242"/>
      <c r="AXO77" s="242"/>
      <c r="AXP77" s="242"/>
      <c r="AXQ77" s="242"/>
      <c r="AXR77" s="242"/>
      <c r="AXS77" s="245"/>
      <c r="AXT77" s="242"/>
      <c r="AXU77" s="242"/>
      <c r="AXV77" s="242"/>
      <c r="AXW77" s="242"/>
      <c r="AXX77" s="242"/>
      <c r="AXY77" s="246"/>
      <c r="AXZ77" s="241"/>
      <c r="AYA77" s="242"/>
      <c r="AYB77" s="242"/>
      <c r="AYC77" s="242"/>
      <c r="AYD77" s="242"/>
      <c r="AYE77" s="243"/>
      <c r="AYF77" s="242"/>
      <c r="AYG77" s="242"/>
      <c r="AYH77" s="242"/>
      <c r="AYI77" s="242"/>
      <c r="AYJ77" s="242"/>
      <c r="AYK77" s="244"/>
      <c r="AYL77" s="242"/>
      <c r="AYM77" s="242"/>
      <c r="AYN77" s="242"/>
      <c r="AYO77" s="242"/>
      <c r="AYP77" s="242"/>
      <c r="AYQ77" s="245"/>
      <c r="AYR77" s="242"/>
      <c r="AYS77" s="242"/>
      <c r="AYT77" s="242"/>
      <c r="AYU77" s="242"/>
      <c r="AYV77" s="242"/>
      <c r="AYW77" s="244"/>
      <c r="AYX77" s="242"/>
      <c r="AYY77" s="242"/>
      <c r="AYZ77" s="242"/>
      <c r="AZA77" s="242"/>
      <c r="AZB77" s="242"/>
      <c r="AZC77" s="245"/>
      <c r="AZD77" s="242"/>
      <c r="AZE77" s="242"/>
      <c r="AZF77" s="242"/>
      <c r="AZG77" s="242"/>
      <c r="AZH77" s="242"/>
      <c r="AZI77" s="244"/>
      <c r="AZJ77" s="242"/>
      <c r="AZK77" s="242"/>
      <c r="AZL77" s="242"/>
      <c r="AZM77" s="242"/>
      <c r="AZN77" s="242"/>
      <c r="AZO77" s="245"/>
      <c r="AZP77" s="242"/>
      <c r="AZQ77" s="242"/>
      <c r="AZR77" s="242"/>
      <c r="AZS77" s="242"/>
      <c r="AZT77" s="242"/>
      <c r="AZU77" s="244"/>
      <c r="AZV77" s="242"/>
      <c r="AZW77" s="242"/>
      <c r="AZX77" s="242"/>
      <c r="AZY77" s="242"/>
      <c r="AZZ77" s="242"/>
      <c r="BAA77" s="245"/>
      <c r="BAB77" s="242"/>
      <c r="BAC77" s="242"/>
      <c r="BAD77" s="242"/>
      <c r="BAE77" s="242"/>
      <c r="BAF77" s="242"/>
      <c r="BAG77" s="246"/>
      <c r="BAH77" s="241"/>
      <c r="BAI77" s="242"/>
      <c r="BAJ77" s="242"/>
      <c r="BAK77" s="242"/>
      <c r="BAL77" s="242"/>
      <c r="BAM77" s="243"/>
      <c r="BAN77" s="242"/>
      <c r="BAO77" s="242"/>
      <c r="BAP77" s="242"/>
      <c r="BAQ77" s="242"/>
      <c r="BAR77" s="242"/>
      <c r="BAS77" s="244"/>
      <c r="BAT77" s="242"/>
      <c r="BAU77" s="242"/>
      <c r="BAV77" s="242"/>
      <c r="BAW77" s="242"/>
      <c r="BAX77" s="242"/>
      <c r="BAY77" s="245"/>
      <c r="BAZ77" s="242"/>
      <c r="BBA77" s="242"/>
      <c r="BBB77" s="242"/>
      <c r="BBC77" s="242"/>
      <c r="BBD77" s="242"/>
      <c r="BBE77" s="244"/>
      <c r="BBF77" s="242"/>
      <c r="BBG77" s="242"/>
      <c r="BBH77" s="242"/>
      <c r="BBI77" s="242"/>
      <c r="BBJ77" s="242"/>
      <c r="BBK77" s="245"/>
      <c r="BBL77" s="242"/>
      <c r="BBM77" s="242"/>
      <c r="BBN77" s="242"/>
      <c r="BBO77" s="242"/>
      <c r="BBP77" s="242"/>
      <c r="BBQ77" s="244"/>
      <c r="BBR77" s="242"/>
      <c r="BBS77" s="242"/>
      <c r="BBT77" s="242"/>
      <c r="BBU77" s="242"/>
      <c r="BBV77" s="242"/>
      <c r="BBW77" s="245"/>
      <c r="BBX77" s="242"/>
      <c r="BBY77" s="242"/>
      <c r="BBZ77" s="242"/>
      <c r="BCA77" s="242"/>
      <c r="BCB77" s="242"/>
      <c r="BCC77" s="244"/>
      <c r="BCD77" s="242"/>
      <c r="BCE77" s="242"/>
      <c r="BCF77" s="242"/>
      <c r="BCG77" s="242"/>
      <c r="BCH77" s="242"/>
      <c r="BCI77" s="245"/>
      <c r="BCJ77" s="242"/>
      <c r="BCK77" s="242"/>
      <c r="BCL77" s="242"/>
      <c r="BCM77" s="242"/>
      <c r="BCN77" s="242"/>
      <c r="BCO77" s="246"/>
      <c r="BCP77" s="241"/>
      <c r="BCQ77" s="242"/>
      <c r="BCR77" s="242"/>
      <c r="BCS77" s="242"/>
      <c r="BCT77" s="242"/>
      <c r="BCU77" s="243"/>
      <c r="BCV77" s="242"/>
      <c r="BCW77" s="242"/>
      <c r="BCX77" s="242"/>
      <c r="BCY77" s="242"/>
      <c r="BCZ77" s="242"/>
      <c r="BDA77" s="244"/>
      <c r="BDB77" s="242"/>
      <c r="BDC77" s="242"/>
      <c r="BDD77" s="242"/>
      <c r="BDE77" s="242"/>
      <c r="BDF77" s="242"/>
      <c r="BDG77" s="245"/>
      <c r="BDH77" s="242"/>
      <c r="BDI77" s="242"/>
      <c r="BDJ77" s="242"/>
      <c r="BDK77" s="242"/>
      <c r="BDL77" s="242"/>
      <c r="BDM77" s="244"/>
      <c r="BDN77" s="242"/>
      <c r="BDO77" s="242"/>
      <c r="BDP77" s="242"/>
      <c r="BDQ77" s="242"/>
      <c r="BDR77" s="242"/>
      <c r="BDS77" s="245"/>
      <c r="BDT77" s="242"/>
      <c r="BDU77" s="242"/>
      <c r="BDV77" s="242"/>
      <c r="BDW77" s="242"/>
      <c r="BDX77" s="242"/>
      <c r="BDY77" s="244"/>
      <c r="BDZ77" s="242"/>
      <c r="BEA77" s="242"/>
      <c r="BEB77" s="242"/>
      <c r="BEC77" s="242"/>
      <c r="BED77" s="242"/>
      <c r="BEE77" s="245"/>
      <c r="BEF77" s="242"/>
      <c r="BEG77" s="242"/>
      <c r="BEH77" s="242"/>
      <c r="BEI77" s="242"/>
      <c r="BEJ77" s="242"/>
      <c r="BEK77" s="244"/>
      <c r="BEL77" s="242"/>
      <c r="BEM77" s="242"/>
      <c r="BEN77" s="242"/>
      <c r="BEO77" s="242"/>
      <c r="BEP77" s="242"/>
      <c r="BEQ77" s="245"/>
      <c r="BER77" s="242"/>
      <c r="BES77" s="242"/>
      <c r="BET77" s="242"/>
      <c r="BEU77" s="242"/>
      <c r="BEV77" s="242"/>
      <c r="BEW77" s="246"/>
      <c r="BEX77" s="241"/>
      <c r="BEY77" s="242"/>
      <c r="BEZ77" s="242"/>
      <c r="BFA77" s="242"/>
      <c r="BFB77" s="242"/>
      <c r="BFC77" s="243"/>
      <c r="BFD77" s="242"/>
      <c r="BFE77" s="242"/>
      <c r="BFF77" s="242"/>
      <c r="BFG77" s="242"/>
      <c r="BFH77" s="242"/>
      <c r="BFI77" s="244"/>
      <c r="BFJ77" s="242"/>
      <c r="BFK77" s="242"/>
      <c r="BFL77" s="242"/>
      <c r="BFM77" s="242"/>
      <c r="BFN77" s="242"/>
      <c r="BFO77" s="245"/>
      <c r="BFP77" s="242"/>
      <c r="BFQ77" s="242"/>
      <c r="BFR77" s="242"/>
      <c r="BFS77" s="242"/>
      <c r="BFT77" s="242"/>
      <c r="BFU77" s="244"/>
      <c r="BFV77" s="242"/>
      <c r="BFW77" s="242"/>
      <c r="BFX77" s="242"/>
      <c r="BFY77" s="242"/>
      <c r="BFZ77" s="242"/>
      <c r="BGA77" s="245"/>
      <c r="BGB77" s="242"/>
      <c r="BGC77" s="242"/>
      <c r="BGD77" s="242"/>
      <c r="BGE77" s="242"/>
      <c r="BGF77" s="242"/>
      <c r="BGG77" s="244"/>
      <c r="BGH77" s="242"/>
      <c r="BGI77" s="242"/>
      <c r="BGJ77" s="242"/>
      <c r="BGK77" s="242"/>
      <c r="BGL77" s="242"/>
      <c r="BGM77" s="245"/>
      <c r="BGN77" s="242"/>
      <c r="BGO77" s="242"/>
      <c r="BGP77" s="242"/>
      <c r="BGQ77" s="242"/>
      <c r="BGR77" s="242"/>
      <c r="BGS77" s="244"/>
      <c r="BGT77" s="242"/>
      <c r="BGU77" s="242"/>
      <c r="BGV77" s="242"/>
      <c r="BGW77" s="242"/>
      <c r="BGX77" s="242"/>
      <c r="BGY77" s="245"/>
      <c r="BGZ77" s="242"/>
      <c r="BHA77" s="242"/>
      <c r="BHB77" s="242"/>
      <c r="BHC77" s="242"/>
      <c r="BHD77" s="242"/>
      <c r="BHE77" s="246"/>
      <c r="BHF77" s="241"/>
      <c r="BHG77" s="242"/>
      <c r="BHH77" s="242"/>
      <c r="BHI77" s="242"/>
      <c r="BHJ77" s="242"/>
      <c r="BHK77" s="243"/>
      <c r="BHL77" s="242"/>
      <c r="BHM77" s="242"/>
      <c r="BHN77" s="242"/>
      <c r="BHO77" s="242"/>
      <c r="BHP77" s="242"/>
      <c r="BHQ77" s="244"/>
      <c r="BHR77" s="242"/>
      <c r="BHS77" s="242"/>
      <c r="BHT77" s="242"/>
      <c r="BHU77" s="242"/>
      <c r="BHV77" s="242"/>
      <c r="BHW77" s="245"/>
      <c r="BHX77" s="242"/>
      <c r="BHY77" s="242"/>
      <c r="BHZ77" s="242"/>
      <c r="BIA77" s="242"/>
      <c r="BIB77" s="242"/>
      <c r="BIC77" s="244"/>
      <c r="BID77" s="242"/>
      <c r="BIE77" s="242"/>
      <c r="BIF77" s="242"/>
      <c r="BIG77" s="242"/>
      <c r="BIH77" s="242"/>
      <c r="BII77" s="245"/>
      <c r="BIJ77" s="242"/>
      <c r="BIK77" s="242"/>
      <c r="BIL77" s="242"/>
      <c r="BIM77" s="242"/>
      <c r="BIN77" s="242"/>
      <c r="BIO77" s="244"/>
      <c r="BIP77" s="242"/>
      <c r="BIQ77" s="242"/>
      <c r="BIR77" s="242"/>
      <c r="BIS77" s="242"/>
      <c r="BIT77" s="242"/>
      <c r="BIU77" s="245"/>
      <c r="BIV77" s="242"/>
      <c r="BIW77" s="242"/>
      <c r="BIX77" s="242"/>
      <c r="BIY77" s="242"/>
      <c r="BIZ77" s="242"/>
      <c r="BJA77" s="244"/>
      <c r="BJB77" s="242"/>
      <c r="BJC77" s="242"/>
      <c r="BJD77" s="242"/>
      <c r="BJE77" s="242"/>
      <c r="BJF77" s="242"/>
      <c r="BJG77" s="245"/>
      <c r="BJH77" s="242"/>
      <c r="BJI77" s="242"/>
      <c r="BJJ77" s="242"/>
      <c r="BJK77" s="242"/>
      <c r="BJL77" s="242"/>
      <c r="BJM77" s="246"/>
      <c r="BJN77" s="233"/>
      <c r="BJO77" s="234"/>
      <c r="BJP77" s="234"/>
      <c r="BJQ77" s="234"/>
      <c r="BJR77" s="234"/>
      <c r="BJS77" s="234"/>
      <c r="BJT77" s="234"/>
      <c r="BJU77" s="234"/>
      <c r="BJV77" s="234"/>
      <c r="BJW77" s="234"/>
      <c r="BJX77" s="234"/>
      <c r="BJY77" s="234"/>
      <c r="BJZ77" s="234"/>
      <c r="BKA77" s="234"/>
      <c r="BKB77" s="234"/>
      <c r="BKC77" s="234"/>
      <c r="BKD77" s="234"/>
      <c r="BKE77" s="234"/>
      <c r="BKF77" s="234"/>
      <c r="BKG77" s="234"/>
      <c r="BKH77" s="234"/>
      <c r="BKI77" s="234"/>
      <c r="BKJ77" s="234"/>
      <c r="BKK77" s="234"/>
      <c r="BKL77" s="234"/>
      <c r="BKM77" s="234"/>
      <c r="BKN77" s="234"/>
    </row>
    <row r="78" spans="1:1652" ht="20.100000000000001" customHeight="1" x14ac:dyDescent="0.25">
      <c r="A78" s="84" t="s">
        <v>20</v>
      </c>
      <c r="B78" s="53"/>
      <c r="C78" s="178"/>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174"/>
      <c r="BJO78" s="4"/>
      <c r="BJP78" s="4"/>
      <c r="BJQ78" s="4"/>
      <c r="BJR78" s="4"/>
      <c r="BJS78" s="4"/>
      <c r="BJT78" s="4"/>
      <c r="BJU78" s="4"/>
      <c r="BJV78" s="4"/>
      <c r="BJW78" s="4"/>
      <c r="BJX78" s="4"/>
      <c r="BJY78" s="4"/>
      <c r="BJZ78" s="4"/>
      <c r="BKA78" s="4"/>
      <c r="BKB78" s="4"/>
      <c r="BKC78" s="4"/>
      <c r="BKD78" s="4"/>
      <c r="BKE78" s="4"/>
      <c r="BKF78" s="4"/>
      <c r="BKG78" s="4"/>
      <c r="BKH78" s="4"/>
      <c r="BKI78" s="4"/>
      <c r="BKJ78" s="4"/>
      <c r="BKK78" s="4"/>
      <c r="BKL78" s="4"/>
      <c r="BKM78" s="4"/>
      <c r="BKN78" s="4"/>
    </row>
    <row r="79" spans="1:1652" ht="20.100000000000001" customHeight="1" x14ac:dyDescent="0.25">
      <c r="A79" s="84" t="s">
        <v>19</v>
      </c>
      <c r="B79" s="53"/>
      <c r="C79" s="177"/>
      <c r="D79" s="129" t="str">
        <f t="shared" si="0"/>
        <v>0h</v>
      </c>
      <c r="E79" s="34">
        <v>0</v>
      </c>
      <c r="F79" s="235"/>
      <c r="G79" s="236"/>
      <c r="H79" s="236"/>
      <c r="I79" s="236"/>
      <c r="J79" s="236"/>
      <c r="K79" s="237"/>
      <c r="L79" s="236"/>
      <c r="M79" s="236"/>
      <c r="N79" s="236"/>
      <c r="O79" s="236"/>
      <c r="P79" s="236"/>
      <c r="Q79" s="238"/>
      <c r="R79" s="236"/>
      <c r="S79" s="236"/>
      <c r="T79" s="236"/>
      <c r="U79" s="236"/>
      <c r="V79" s="236"/>
      <c r="W79" s="239"/>
      <c r="X79" s="236"/>
      <c r="Y79" s="236"/>
      <c r="Z79" s="236"/>
      <c r="AA79" s="236"/>
      <c r="AB79" s="236"/>
      <c r="AC79" s="238"/>
      <c r="AD79" s="236"/>
      <c r="AE79" s="236"/>
      <c r="AF79" s="236"/>
      <c r="AG79" s="236"/>
      <c r="AH79" s="236"/>
      <c r="AI79" s="239"/>
      <c r="AJ79" s="236"/>
      <c r="AK79" s="236"/>
      <c r="AL79" s="236"/>
      <c r="AM79" s="236"/>
      <c r="AN79" s="236"/>
      <c r="AO79" s="238"/>
      <c r="AP79" s="236"/>
      <c r="AQ79" s="236"/>
      <c r="AR79" s="236"/>
      <c r="AS79" s="236"/>
      <c r="AT79" s="236"/>
      <c r="AU79" s="239"/>
      <c r="AV79" s="236"/>
      <c r="AW79" s="236"/>
      <c r="AX79" s="236"/>
      <c r="AY79" s="236"/>
      <c r="AZ79" s="236"/>
      <c r="BA79" s="238"/>
      <c r="BB79" s="236"/>
      <c r="BC79" s="236"/>
      <c r="BD79" s="236"/>
      <c r="BE79" s="236"/>
      <c r="BF79" s="236"/>
      <c r="BG79" s="239"/>
      <c r="BH79" s="236"/>
      <c r="BI79" s="236"/>
      <c r="BJ79" s="236"/>
      <c r="BK79" s="236"/>
      <c r="BL79" s="236"/>
      <c r="BM79" s="240"/>
      <c r="BN79" s="235"/>
      <c r="BO79" s="236"/>
      <c r="BP79" s="236"/>
      <c r="BQ79" s="236"/>
      <c r="BR79" s="236"/>
      <c r="BS79" s="237"/>
      <c r="BT79" s="236"/>
      <c r="BU79" s="236"/>
      <c r="BV79" s="236"/>
      <c r="BW79" s="236"/>
      <c r="BX79" s="236"/>
      <c r="BY79" s="238"/>
      <c r="BZ79" s="236"/>
      <c r="CA79" s="236"/>
      <c r="CB79" s="236"/>
      <c r="CC79" s="236"/>
      <c r="CD79" s="236"/>
      <c r="CE79" s="239"/>
      <c r="CF79" s="236"/>
      <c r="CG79" s="236"/>
      <c r="CH79" s="236"/>
      <c r="CI79" s="236"/>
      <c r="CJ79" s="236"/>
      <c r="CK79" s="238"/>
      <c r="CL79" s="236"/>
      <c r="CM79" s="236"/>
      <c r="CN79" s="236"/>
      <c r="CO79" s="236"/>
      <c r="CP79" s="236"/>
      <c r="CQ79" s="239"/>
      <c r="CR79" s="236"/>
      <c r="CS79" s="236"/>
      <c r="CT79" s="236"/>
      <c r="CU79" s="236"/>
      <c r="CV79" s="236"/>
      <c r="CW79" s="238"/>
      <c r="CX79" s="236"/>
      <c r="CY79" s="236"/>
      <c r="CZ79" s="236"/>
      <c r="DA79" s="236"/>
      <c r="DB79" s="236"/>
      <c r="DC79" s="239"/>
      <c r="DD79" s="236"/>
      <c r="DE79" s="236"/>
      <c r="DF79" s="236"/>
      <c r="DG79" s="236"/>
      <c r="DH79" s="236"/>
      <c r="DI79" s="238"/>
      <c r="DJ79" s="236"/>
      <c r="DK79" s="236"/>
      <c r="DL79" s="236"/>
      <c r="DM79" s="236"/>
      <c r="DN79" s="236"/>
      <c r="DO79" s="239"/>
      <c r="DP79" s="236"/>
      <c r="DQ79" s="236"/>
      <c r="DR79" s="236"/>
      <c r="DS79" s="236"/>
      <c r="DT79" s="236"/>
      <c r="DU79" s="240"/>
      <c r="DV79" s="235"/>
      <c r="DW79" s="236"/>
      <c r="DX79" s="236"/>
      <c r="DY79" s="236"/>
      <c r="DZ79" s="236"/>
      <c r="EA79" s="237"/>
      <c r="EB79" s="236"/>
      <c r="EC79" s="236"/>
      <c r="ED79" s="236"/>
      <c r="EE79" s="236"/>
      <c r="EF79" s="236"/>
      <c r="EG79" s="238"/>
      <c r="EH79" s="236"/>
      <c r="EI79" s="236"/>
      <c r="EJ79" s="236"/>
      <c r="EK79" s="236"/>
      <c r="EL79" s="236"/>
      <c r="EM79" s="239"/>
      <c r="EN79" s="236"/>
      <c r="EO79" s="236"/>
      <c r="EP79" s="236"/>
      <c r="EQ79" s="236"/>
      <c r="ER79" s="236"/>
      <c r="ES79" s="238"/>
      <c r="ET79" s="236"/>
      <c r="EU79" s="236"/>
      <c r="EV79" s="236"/>
      <c r="EW79" s="236"/>
      <c r="EX79" s="236"/>
      <c r="EY79" s="239"/>
      <c r="EZ79" s="236"/>
      <c r="FA79" s="236"/>
      <c r="FB79" s="236"/>
      <c r="FC79" s="236"/>
      <c r="FD79" s="236"/>
      <c r="FE79" s="238"/>
      <c r="FF79" s="236"/>
      <c r="FG79" s="236"/>
      <c r="FH79" s="236"/>
      <c r="FI79" s="236"/>
      <c r="FJ79" s="236"/>
      <c r="FK79" s="239"/>
      <c r="FL79" s="236"/>
      <c r="FM79" s="236"/>
      <c r="FN79" s="236"/>
      <c r="FO79" s="236"/>
      <c r="FP79" s="236"/>
      <c r="FQ79" s="238"/>
      <c r="FR79" s="236"/>
      <c r="FS79" s="236"/>
      <c r="FT79" s="236"/>
      <c r="FU79" s="236"/>
      <c r="FV79" s="236"/>
      <c r="FW79" s="239"/>
      <c r="FX79" s="236"/>
      <c r="FY79" s="236"/>
      <c r="FZ79" s="236"/>
      <c r="GA79" s="236"/>
      <c r="GB79" s="236"/>
      <c r="GC79" s="240"/>
      <c r="GD79" s="235"/>
      <c r="GE79" s="236"/>
      <c r="GF79" s="236"/>
      <c r="GG79" s="236"/>
      <c r="GH79" s="236"/>
      <c r="GI79" s="237"/>
      <c r="GJ79" s="236"/>
      <c r="GK79" s="236"/>
      <c r="GL79" s="236"/>
      <c r="GM79" s="236"/>
      <c r="GN79" s="236"/>
      <c r="GO79" s="238"/>
      <c r="GP79" s="236"/>
      <c r="GQ79" s="236"/>
      <c r="GR79" s="236"/>
      <c r="GS79" s="236"/>
      <c r="GT79" s="236"/>
      <c r="GU79" s="239"/>
      <c r="GV79" s="236"/>
      <c r="GW79" s="236"/>
      <c r="GX79" s="236"/>
      <c r="GY79" s="236"/>
      <c r="GZ79" s="236"/>
      <c r="HA79" s="238"/>
      <c r="HB79" s="236"/>
      <c r="HC79" s="236"/>
      <c r="HD79" s="236"/>
      <c r="HE79" s="236"/>
      <c r="HF79" s="236"/>
      <c r="HG79" s="239"/>
      <c r="HH79" s="236"/>
      <c r="HI79" s="236"/>
      <c r="HJ79" s="236"/>
      <c r="HK79" s="236"/>
      <c r="HL79" s="236"/>
      <c r="HM79" s="238"/>
      <c r="HN79" s="236"/>
      <c r="HO79" s="236"/>
      <c r="HP79" s="236"/>
      <c r="HQ79" s="236"/>
      <c r="HR79" s="236"/>
      <c r="HS79" s="239"/>
      <c r="HT79" s="236"/>
      <c r="HU79" s="236"/>
      <c r="HV79" s="236"/>
      <c r="HW79" s="236"/>
      <c r="HX79" s="236"/>
      <c r="HY79" s="238"/>
      <c r="HZ79" s="236"/>
      <c r="IA79" s="236"/>
      <c r="IB79" s="236"/>
      <c r="IC79" s="236"/>
      <c r="ID79" s="236"/>
      <c r="IE79" s="239"/>
      <c r="IF79" s="236"/>
      <c r="IG79" s="236"/>
      <c r="IH79" s="236"/>
      <c r="II79" s="236"/>
      <c r="IJ79" s="236"/>
      <c r="IK79" s="240"/>
      <c r="IL79" s="235"/>
      <c r="IM79" s="236"/>
      <c r="IN79" s="236"/>
      <c r="IO79" s="236"/>
      <c r="IP79" s="236"/>
      <c r="IQ79" s="237"/>
      <c r="IR79" s="236"/>
      <c r="IS79" s="236"/>
      <c r="IT79" s="236"/>
      <c r="IU79" s="236"/>
      <c r="IV79" s="236"/>
      <c r="IW79" s="238"/>
      <c r="IX79" s="236"/>
      <c r="IY79" s="236"/>
      <c r="IZ79" s="236"/>
      <c r="JA79" s="236"/>
      <c r="JB79" s="236"/>
      <c r="JC79" s="239"/>
      <c r="JD79" s="236"/>
      <c r="JE79" s="236"/>
      <c r="JF79" s="236"/>
      <c r="JG79" s="236"/>
      <c r="JH79" s="236"/>
      <c r="JI79" s="238"/>
      <c r="JJ79" s="236"/>
      <c r="JK79" s="236"/>
      <c r="JL79" s="236"/>
      <c r="JM79" s="236"/>
      <c r="JN79" s="236"/>
      <c r="JO79" s="239"/>
      <c r="JP79" s="236"/>
      <c r="JQ79" s="236"/>
      <c r="JR79" s="236"/>
      <c r="JS79" s="236"/>
      <c r="JT79" s="236"/>
      <c r="JU79" s="238"/>
      <c r="JV79" s="236"/>
      <c r="JW79" s="236"/>
      <c r="JX79" s="236"/>
      <c r="JY79" s="236"/>
      <c r="JZ79" s="236"/>
      <c r="KA79" s="239"/>
      <c r="KB79" s="236"/>
      <c r="KC79" s="236"/>
      <c r="KD79" s="236"/>
      <c r="KE79" s="236"/>
      <c r="KF79" s="236"/>
      <c r="KG79" s="238"/>
      <c r="KH79" s="236"/>
      <c r="KI79" s="236"/>
      <c r="KJ79" s="236"/>
      <c r="KK79" s="236"/>
      <c r="KL79" s="236"/>
      <c r="KM79" s="239"/>
      <c r="KN79" s="236"/>
      <c r="KO79" s="236"/>
      <c r="KP79" s="236"/>
      <c r="KQ79" s="236"/>
      <c r="KR79" s="236"/>
      <c r="KS79" s="240"/>
      <c r="KT79" s="235"/>
      <c r="KU79" s="236"/>
      <c r="KV79" s="236"/>
      <c r="KW79" s="236"/>
      <c r="KX79" s="236"/>
      <c r="KY79" s="237"/>
      <c r="KZ79" s="236"/>
      <c r="LA79" s="236"/>
      <c r="LB79" s="236"/>
      <c r="LC79" s="236"/>
      <c r="LD79" s="236"/>
      <c r="LE79" s="238"/>
      <c r="LF79" s="236"/>
      <c r="LG79" s="236"/>
      <c r="LH79" s="236"/>
      <c r="LI79" s="236"/>
      <c r="LJ79" s="236"/>
      <c r="LK79" s="239"/>
      <c r="LL79" s="236"/>
      <c r="LM79" s="236"/>
      <c r="LN79" s="236"/>
      <c r="LO79" s="236"/>
      <c r="LP79" s="236"/>
      <c r="LQ79" s="238"/>
      <c r="LR79" s="236"/>
      <c r="LS79" s="236"/>
      <c r="LT79" s="236"/>
      <c r="LU79" s="236"/>
      <c r="LV79" s="236"/>
      <c r="LW79" s="239"/>
      <c r="LX79" s="236"/>
      <c r="LY79" s="236"/>
      <c r="LZ79" s="236"/>
      <c r="MA79" s="236"/>
      <c r="MB79" s="236"/>
      <c r="MC79" s="238"/>
      <c r="MD79" s="236"/>
      <c r="ME79" s="236"/>
      <c r="MF79" s="236"/>
      <c r="MG79" s="236"/>
      <c r="MH79" s="236"/>
      <c r="MI79" s="239"/>
      <c r="MJ79" s="236"/>
      <c r="MK79" s="236"/>
      <c r="ML79" s="236"/>
      <c r="MM79" s="236"/>
      <c r="MN79" s="236"/>
      <c r="MO79" s="238"/>
      <c r="MP79" s="236"/>
      <c r="MQ79" s="236"/>
      <c r="MR79" s="236"/>
      <c r="MS79" s="236"/>
      <c r="MT79" s="236"/>
      <c r="MU79" s="239"/>
      <c r="MV79" s="236"/>
      <c r="MW79" s="236"/>
      <c r="MX79" s="236"/>
      <c r="MY79" s="236"/>
      <c r="MZ79" s="236"/>
      <c r="NA79" s="240"/>
      <c r="NB79" s="235"/>
      <c r="NC79" s="236"/>
      <c r="ND79" s="236"/>
      <c r="NE79" s="236"/>
      <c r="NF79" s="236"/>
      <c r="NG79" s="237"/>
      <c r="NH79" s="236"/>
      <c r="NI79" s="236"/>
      <c r="NJ79" s="236"/>
      <c r="NK79" s="236"/>
      <c r="NL79" s="236"/>
      <c r="NM79" s="238"/>
      <c r="NN79" s="236"/>
      <c r="NO79" s="236"/>
      <c r="NP79" s="236"/>
      <c r="NQ79" s="236"/>
      <c r="NR79" s="236"/>
      <c r="NS79" s="239"/>
      <c r="NT79" s="236"/>
      <c r="NU79" s="236"/>
      <c r="NV79" s="236"/>
      <c r="NW79" s="236"/>
      <c r="NX79" s="236"/>
      <c r="NY79" s="238"/>
      <c r="NZ79" s="236"/>
      <c r="OA79" s="236"/>
      <c r="OB79" s="236"/>
      <c r="OC79" s="236"/>
      <c r="OD79" s="236"/>
      <c r="OE79" s="239"/>
      <c r="OF79" s="236"/>
      <c r="OG79" s="236"/>
      <c r="OH79" s="236"/>
      <c r="OI79" s="236"/>
      <c r="OJ79" s="236"/>
      <c r="OK79" s="238"/>
      <c r="OL79" s="236"/>
      <c r="OM79" s="236"/>
      <c r="ON79" s="236"/>
      <c r="OO79" s="236"/>
      <c r="OP79" s="236"/>
      <c r="OQ79" s="239"/>
      <c r="OR79" s="236"/>
      <c r="OS79" s="236"/>
      <c r="OT79" s="236"/>
      <c r="OU79" s="236"/>
      <c r="OV79" s="236"/>
      <c r="OW79" s="238"/>
      <c r="OX79" s="236"/>
      <c r="OY79" s="236"/>
      <c r="OZ79" s="236"/>
      <c r="PA79" s="236"/>
      <c r="PB79" s="236"/>
      <c r="PC79" s="239"/>
      <c r="PD79" s="236"/>
      <c r="PE79" s="236"/>
      <c r="PF79" s="236"/>
      <c r="PG79" s="236"/>
      <c r="PH79" s="236"/>
      <c r="PI79" s="240"/>
      <c r="PJ79" s="235"/>
      <c r="PK79" s="236"/>
      <c r="PL79" s="236"/>
      <c r="PM79" s="236"/>
      <c r="PN79" s="236"/>
      <c r="PO79" s="237"/>
      <c r="PP79" s="236"/>
      <c r="PQ79" s="236"/>
      <c r="PR79" s="236"/>
      <c r="PS79" s="236"/>
      <c r="PT79" s="236"/>
      <c r="PU79" s="238"/>
      <c r="PV79" s="236"/>
      <c r="PW79" s="236"/>
      <c r="PX79" s="236"/>
      <c r="PY79" s="236"/>
      <c r="PZ79" s="236"/>
      <c r="QA79" s="239"/>
      <c r="QB79" s="236"/>
      <c r="QC79" s="236"/>
      <c r="QD79" s="236"/>
      <c r="QE79" s="236"/>
      <c r="QF79" s="236"/>
      <c r="QG79" s="238"/>
      <c r="QH79" s="236"/>
      <c r="QI79" s="236"/>
      <c r="QJ79" s="236"/>
      <c r="QK79" s="236"/>
      <c r="QL79" s="236"/>
      <c r="QM79" s="239"/>
      <c r="QN79" s="236"/>
      <c r="QO79" s="236"/>
      <c r="QP79" s="236"/>
      <c r="QQ79" s="236"/>
      <c r="QR79" s="236"/>
      <c r="QS79" s="238"/>
      <c r="QT79" s="236"/>
      <c r="QU79" s="236"/>
      <c r="QV79" s="236"/>
      <c r="QW79" s="236"/>
      <c r="QX79" s="236"/>
      <c r="QY79" s="239"/>
      <c r="QZ79" s="236"/>
      <c r="RA79" s="236"/>
      <c r="RB79" s="236"/>
      <c r="RC79" s="236"/>
      <c r="RD79" s="236"/>
      <c r="RE79" s="238"/>
      <c r="RF79" s="236"/>
      <c r="RG79" s="236"/>
      <c r="RH79" s="236"/>
      <c r="RI79" s="236"/>
      <c r="RJ79" s="236"/>
      <c r="RK79" s="239"/>
      <c r="RL79" s="236"/>
      <c r="RM79" s="236"/>
      <c r="RN79" s="236"/>
      <c r="RO79" s="236"/>
      <c r="RP79" s="236"/>
      <c r="RQ79" s="240"/>
      <c r="RR79" s="235"/>
      <c r="RS79" s="236"/>
      <c r="RT79" s="236"/>
      <c r="RU79" s="236"/>
      <c r="RV79" s="236"/>
      <c r="RW79" s="237"/>
      <c r="RX79" s="236"/>
      <c r="RY79" s="236"/>
      <c r="RZ79" s="236"/>
      <c r="SA79" s="236"/>
      <c r="SB79" s="236"/>
      <c r="SC79" s="238"/>
      <c r="SD79" s="236"/>
      <c r="SE79" s="236"/>
      <c r="SF79" s="236"/>
      <c r="SG79" s="236"/>
      <c r="SH79" s="236"/>
      <c r="SI79" s="239"/>
      <c r="SJ79" s="236"/>
      <c r="SK79" s="236"/>
      <c r="SL79" s="236"/>
      <c r="SM79" s="236"/>
      <c r="SN79" s="236"/>
      <c r="SO79" s="238"/>
      <c r="SP79" s="236"/>
      <c r="SQ79" s="236"/>
      <c r="SR79" s="236"/>
      <c r="SS79" s="236"/>
      <c r="ST79" s="236"/>
      <c r="SU79" s="239"/>
      <c r="SV79" s="236"/>
      <c r="SW79" s="236"/>
      <c r="SX79" s="236"/>
      <c r="SY79" s="236"/>
      <c r="SZ79" s="236"/>
      <c r="TA79" s="238"/>
      <c r="TB79" s="236"/>
      <c r="TC79" s="236"/>
      <c r="TD79" s="236"/>
      <c r="TE79" s="236"/>
      <c r="TF79" s="236"/>
      <c r="TG79" s="239"/>
      <c r="TH79" s="236"/>
      <c r="TI79" s="236"/>
      <c r="TJ79" s="236"/>
      <c r="TK79" s="236"/>
      <c r="TL79" s="236"/>
      <c r="TM79" s="238"/>
      <c r="TN79" s="236"/>
      <c r="TO79" s="236"/>
      <c r="TP79" s="236"/>
      <c r="TQ79" s="236"/>
      <c r="TR79" s="236"/>
      <c r="TS79" s="239"/>
      <c r="TT79" s="236"/>
      <c r="TU79" s="236"/>
      <c r="TV79" s="236"/>
      <c r="TW79" s="236"/>
      <c r="TX79" s="236"/>
      <c r="TY79" s="240"/>
      <c r="TZ79" s="235"/>
      <c r="UA79" s="236"/>
      <c r="UB79" s="236"/>
      <c r="UC79" s="236"/>
      <c r="UD79" s="236"/>
      <c r="UE79" s="237"/>
      <c r="UF79" s="236"/>
      <c r="UG79" s="236"/>
      <c r="UH79" s="236"/>
      <c r="UI79" s="236"/>
      <c r="UJ79" s="236"/>
      <c r="UK79" s="238"/>
      <c r="UL79" s="236"/>
      <c r="UM79" s="236"/>
      <c r="UN79" s="236"/>
      <c r="UO79" s="236"/>
      <c r="UP79" s="236"/>
      <c r="UQ79" s="239"/>
      <c r="UR79" s="236"/>
      <c r="US79" s="236"/>
      <c r="UT79" s="236"/>
      <c r="UU79" s="236"/>
      <c r="UV79" s="236"/>
      <c r="UW79" s="238"/>
      <c r="UX79" s="236"/>
      <c r="UY79" s="236"/>
      <c r="UZ79" s="236"/>
      <c r="VA79" s="236"/>
      <c r="VB79" s="236"/>
      <c r="VC79" s="239"/>
      <c r="VD79" s="236"/>
      <c r="VE79" s="236"/>
      <c r="VF79" s="236"/>
      <c r="VG79" s="236"/>
      <c r="VH79" s="236"/>
      <c r="VI79" s="238"/>
      <c r="VJ79" s="236"/>
      <c r="VK79" s="236"/>
      <c r="VL79" s="236"/>
      <c r="VM79" s="236"/>
      <c r="VN79" s="236"/>
      <c r="VO79" s="239"/>
      <c r="VP79" s="236"/>
      <c r="VQ79" s="236"/>
      <c r="VR79" s="236"/>
      <c r="VS79" s="236"/>
      <c r="VT79" s="236"/>
      <c r="VU79" s="238"/>
      <c r="VV79" s="236"/>
      <c r="VW79" s="236"/>
      <c r="VX79" s="236"/>
      <c r="VY79" s="236"/>
      <c r="VZ79" s="236"/>
      <c r="WA79" s="239"/>
      <c r="WB79" s="236"/>
      <c r="WC79" s="236"/>
      <c r="WD79" s="236"/>
      <c r="WE79" s="236"/>
      <c r="WF79" s="236"/>
      <c r="WG79" s="240"/>
      <c r="WH79" s="235"/>
      <c r="WI79" s="236"/>
      <c r="WJ79" s="236"/>
      <c r="WK79" s="236"/>
      <c r="WL79" s="236"/>
      <c r="WM79" s="237"/>
      <c r="WN79" s="236"/>
      <c r="WO79" s="236"/>
      <c r="WP79" s="236"/>
      <c r="WQ79" s="236"/>
      <c r="WR79" s="236"/>
      <c r="WS79" s="238"/>
      <c r="WT79" s="236"/>
      <c r="WU79" s="236"/>
      <c r="WV79" s="236"/>
      <c r="WW79" s="236"/>
      <c r="WX79" s="236"/>
      <c r="WY79" s="239"/>
      <c r="WZ79" s="236"/>
      <c r="XA79" s="236"/>
      <c r="XB79" s="236"/>
      <c r="XC79" s="236"/>
      <c r="XD79" s="236"/>
      <c r="XE79" s="238"/>
      <c r="XF79" s="236"/>
      <c r="XG79" s="236"/>
      <c r="XH79" s="236"/>
      <c r="XI79" s="236"/>
      <c r="XJ79" s="236"/>
      <c r="XK79" s="239"/>
      <c r="XL79" s="236"/>
      <c r="XM79" s="236"/>
      <c r="XN79" s="236"/>
      <c r="XO79" s="236"/>
      <c r="XP79" s="236"/>
      <c r="XQ79" s="238"/>
      <c r="XR79" s="236"/>
      <c r="XS79" s="236"/>
      <c r="XT79" s="236"/>
      <c r="XU79" s="236"/>
      <c r="XV79" s="236"/>
      <c r="XW79" s="239"/>
      <c r="XX79" s="236"/>
      <c r="XY79" s="236"/>
      <c r="XZ79" s="236"/>
      <c r="YA79" s="236"/>
      <c r="YB79" s="236"/>
      <c r="YC79" s="238"/>
      <c r="YD79" s="236"/>
      <c r="YE79" s="236"/>
      <c r="YF79" s="236"/>
      <c r="YG79" s="236"/>
      <c r="YH79" s="236"/>
      <c r="YI79" s="239"/>
      <c r="YJ79" s="236"/>
      <c r="YK79" s="236"/>
      <c r="YL79" s="236"/>
      <c r="YM79" s="236"/>
      <c r="YN79" s="236"/>
      <c r="YO79" s="240"/>
      <c r="YP79" s="235"/>
      <c r="YQ79" s="236"/>
      <c r="YR79" s="236"/>
      <c r="YS79" s="236"/>
      <c r="YT79" s="236"/>
      <c r="YU79" s="237"/>
      <c r="YV79" s="236"/>
      <c r="YW79" s="236"/>
      <c r="YX79" s="236"/>
      <c r="YY79" s="236"/>
      <c r="YZ79" s="236"/>
      <c r="ZA79" s="238"/>
      <c r="ZB79" s="236"/>
      <c r="ZC79" s="236"/>
      <c r="ZD79" s="236"/>
      <c r="ZE79" s="236"/>
      <c r="ZF79" s="236"/>
      <c r="ZG79" s="239"/>
      <c r="ZH79" s="236"/>
      <c r="ZI79" s="236"/>
      <c r="ZJ79" s="236"/>
      <c r="ZK79" s="236"/>
      <c r="ZL79" s="236"/>
      <c r="ZM79" s="238"/>
      <c r="ZN79" s="236"/>
      <c r="ZO79" s="236"/>
      <c r="ZP79" s="236"/>
      <c r="ZQ79" s="236"/>
      <c r="ZR79" s="236"/>
      <c r="ZS79" s="239"/>
      <c r="ZT79" s="236"/>
      <c r="ZU79" s="236"/>
      <c r="ZV79" s="236"/>
      <c r="ZW79" s="236"/>
      <c r="ZX79" s="236"/>
      <c r="ZY79" s="238"/>
      <c r="ZZ79" s="236"/>
      <c r="AAA79" s="236"/>
      <c r="AAB79" s="236"/>
      <c r="AAC79" s="236"/>
      <c r="AAD79" s="236"/>
      <c r="AAE79" s="239"/>
      <c r="AAF79" s="236"/>
      <c r="AAG79" s="236"/>
      <c r="AAH79" s="236"/>
      <c r="AAI79" s="236"/>
      <c r="AAJ79" s="236"/>
      <c r="AAK79" s="238"/>
      <c r="AAL79" s="236"/>
      <c r="AAM79" s="236"/>
      <c r="AAN79" s="236"/>
      <c r="AAO79" s="236"/>
      <c r="AAP79" s="236"/>
      <c r="AAQ79" s="239"/>
      <c r="AAR79" s="236"/>
      <c r="AAS79" s="236"/>
      <c r="AAT79" s="236"/>
      <c r="AAU79" s="236"/>
      <c r="AAV79" s="236"/>
      <c r="AAW79" s="240"/>
      <c r="AAX79" s="235"/>
      <c r="AAY79" s="236"/>
      <c r="AAZ79" s="236"/>
      <c r="ABA79" s="236"/>
      <c r="ABB79" s="236"/>
      <c r="ABC79" s="237"/>
      <c r="ABD79" s="236"/>
      <c r="ABE79" s="236"/>
      <c r="ABF79" s="236"/>
      <c r="ABG79" s="236"/>
      <c r="ABH79" s="236"/>
      <c r="ABI79" s="238"/>
      <c r="ABJ79" s="236"/>
      <c r="ABK79" s="236"/>
      <c r="ABL79" s="236"/>
      <c r="ABM79" s="236"/>
      <c r="ABN79" s="236"/>
      <c r="ABO79" s="239"/>
      <c r="ABP79" s="236"/>
      <c r="ABQ79" s="236"/>
      <c r="ABR79" s="236"/>
      <c r="ABS79" s="236"/>
      <c r="ABT79" s="236"/>
      <c r="ABU79" s="238"/>
      <c r="ABV79" s="236"/>
      <c r="ABW79" s="236"/>
      <c r="ABX79" s="236"/>
      <c r="ABY79" s="236"/>
      <c r="ABZ79" s="236"/>
      <c r="ACA79" s="239"/>
      <c r="ACB79" s="236"/>
      <c r="ACC79" s="236"/>
      <c r="ACD79" s="236"/>
      <c r="ACE79" s="236"/>
      <c r="ACF79" s="236"/>
      <c r="ACG79" s="238"/>
      <c r="ACH79" s="236"/>
      <c r="ACI79" s="236"/>
      <c r="ACJ79" s="236"/>
      <c r="ACK79" s="236"/>
      <c r="ACL79" s="236"/>
      <c r="ACM79" s="239"/>
      <c r="ACN79" s="236"/>
      <c r="ACO79" s="236"/>
      <c r="ACP79" s="236"/>
      <c r="ACQ79" s="236"/>
      <c r="ACR79" s="236"/>
      <c r="ACS79" s="238"/>
      <c r="ACT79" s="236"/>
      <c r="ACU79" s="236"/>
      <c r="ACV79" s="236"/>
      <c r="ACW79" s="236"/>
      <c r="ACX79" s="236"/>
      <c r="ACY79" s="239"/>
      <c r="ACZ79" s="236"/>
      <c r="ADA79" s="236"/>
      <c r="ADB79" s="236"/>
      <c r="ADC79" s="236"/>
      <c r="ADD79" s="236"/>
      <c r="ADE79" s="240"/>
      <c r="ADF79" s="235"/>
      <c r="ADG79" s="236"/>
      <c r="ADH79" s="236"/>
      <c r="ADI79" s="236"/>
      <c r="ADJ79" s="236"/>
      <c r="ADK79" s="237"/>
      <c r="ADL79" s="236"/>
      <c r="ADM79" s="236"/>
      <c r="ADN79" s="236"/>
      <c r="ADO79" s="236"/>
      <c r="ADP79" s="236"/>
      <c r="ADQ79" s="238"/>
      <c r="ADR79" s="236"/>
      <c r="ADS79" s="236"/>
      <c r="ADT79" s="236"/>
      <c r="ADU79" s="236"/>
      <c r="ADV79" s="236"/>
      <c r="ADW79" s="239"/>
      <c r="ADX79" s="236"/>
      <c r="ADY79" s="236"/>
      <c r="ADZ79" s="236"/>
      <c r="AEA79" s="236"/>
      <c r="AEB79" s="236"/>
      <c r="AEC79" s="238"/>
      <c r="AED79" s="236"/>
      <c r="AEE79" s="236"/>
      <c r="AEF79" s="236"/>
      <c r="AEG79" s="236"/>
      <c r="AEH79" s="236"/>
      <c r="AEI79" s="239"/>
      <c r="AEJ79" s="236"/>
      <c r="AEK79" s="236"/>
      <c r="AEL79" s="236"/>
      <c r="AEM79" s="236"/>
      <c r="AEN79" s="236"/>
      <c r="AEO79" s="238"/>
      <c r="AEP79" s="236"/>
      <c r="AEQ79" s="236"/>
      <c r="AER79" s="236"/>
      <c r="AES79" s="236"/>
      <c r="AET79" s="236"/>
      <c r="AEU79" s="239"/>
      <c r="AEV79" s="236"/>
      <c r="AEW79" s="236"/>
      <c r="AEX79" s="236"/>
      <c r="AEY79" s="236"/>
      <c r="AEZ79" s="236"/>
      <c r="AFA79" s="238"/>
      <c r="AFB79" s="236"/>
      <c r="AFC79" s="236"/>
      <c r="AFD79" s="236"/>
      <c r="AFE79" s="236"/>
      <c r="AFF79" s="236"/>
      <c r="AFG79" s="239"/>
      <c r="AFH79" s="236"/>
      <c r="AFI79" s="236"/>
      <c r="AFJ79" s="236"/>
      <c r="AFK79" s="236"/>
      <c r="AFL79" s="236"/>
      <c r="AFM79" s="240"/>
      <c r="AFN79" s="235"/>
      <c r="AFO79" s="236"/>
      <c r="AFP79" s="236"/>
      <c r="AFQ79" s="236"/>
      <c r="AFR79" s="236"/>
      <c r="AFS79" s="237"/>
      <c r="AFT79" s="236"/>
      <c r="AFU79" s="236"/>
      <c r="AFV79" s="236"/>
      <c r="AFW79" s="236"/>
      <c r="AFX79" s="236"/>
      <c r="AFY79" s="238"/>
      <c r="AFZ79" s="236"/>
      <c r="AGA79" s="236"/>
      <c r="AGB79" s="236"/>
      <c r="AGC79" s="236"/>
      <c r="AGD79" s="236"/>
      <c r="AGE79" s="239"/>
      <c r="AGF79" s="236"/>
      <c r="AGG79" s="236"/>
      <c r="AGH79" s="236"/>
      <c r="AGI79" s="236"/>
      <c r="AGJ79" s="236"/>
      <c r="AGK79" s="238"/>
      <c r="AGL79" s="236"/>
      <c r="AGM79" s="236"/>
      <c r="AGN79" s="236"/>
      <c r="AGO79" s="236"/>
      <c r="AGP79" s="236"/>
      <c r="AGQ79" s="239"/>
      <c r="AGR79" s="236"/>
      <c r="AGS79" s="236"/>
      <c r="AGT79" s="236"/>
      <c r="AGU79" s="236"/>
      <c r="AGV79" s="236"/>
      <c r="AGW79" s="238"/>
      <c r="AGX79" s="236"/>
      <c r="AGY79" s="236"/>
      <c r="AGZ79" s="236"/>
      <c r="AHA79" s="236"/>
      <c r="AHB79" s="236"/>
      <c r="AHC79" s="239"/>
      <c r="AHD79" s="236"/>
      <c r="AHE79" s="236"/>
      <c r="AHF79" s="236"/>
      <c r="AHG79" s="236"/>
      <c r="AHH79" s="236"/>
      <c r="AHI79" s="238"/>
      <c r="AHJ79" s="236"/>
      <c r="AHK79" s="236"/>
      <c r="AHL79" s="236"/>
      <c r="AHM79" s="236"/>
      <c r="AHN79" s="236"/>
      <c r="AHO79" s="239"/>
      <c r="AHP79" s="236"/>
      <c r="AHQ79" s="236"/>
      <c r="AHR79" s="236"/>
      <c r="AHS79" s="236"/>
      <c r="AHT79" s="236"/>
      <c r="AHU79" s="240"/>
      <c r="AHV79" s="235"/>
      <c r="AHW79" s="236"/>
      <c r="AHX79" s="236"/>
      <c r="AHY79" s="236"/>
      <c r="AHZ79" s="236"/>
      <c r="AIA79" s="237"/>
      <c r="AIB79" s="236"/>
      <c r="AIC79" s="236"/>
      <c r="AID79" s="236"/>
      <c r="AIE79" s="236"/>
      <c r="AIF79" s="236"/>
      <c r="AIG79" s="238"/>
      <c r="AIH79" s="236"/>
      <c r="AII79" s="236"/>
      <c r="AIJ79" s="236"/>
      <c r="AIK79" s="236"/>
      <c r="AIL79" s="236"/>
      <c r="AIM79" s="239"/>
      <c r="AIN79" s="236"/>
      <c r="AIO79" s="236"/>
      <c r="AIP79" s="236"/>
      <c r="AIQ79" s="236"/>
      <c r="AIR79" s="236"/>
      <c r="AIS79" s="238"/>
      <c r="AIT79" s="236"/>
      <c r="AIU79" s="236"/>
      <c r="AIV79" s="236"/>
      <c r="AIW79" s="236"/>
      <c r="AIX79" s="236"/>
      <c r="AIY79" s="239"/>
      <c r="AIZ79" s="236"/>
      <c r="AJA79" s="236"/>
      <c r="AJB79" s="236"/>
      <c r="AJC79" s="236"/>
      <c r="AJD79" s="236"/>
      <c r="AJE79" s="238"/>
      <c r="AJF79" s="236"/>
      <c r="AJG79" s="236"/>
      <c r="AJH79" s="236"/>
      <c r="AJI79" s="236"/>
      <c r="AJJ79" s="236"/>
      <c r="AJK79" s="239"/>
      <c r="AJL79" s="236"/>
      <c r="AJM79" s="236"/>
      <c r="AJN79" s="236"/>
      <c r="AJO79" s="236"/>
      <c r="AJP79" s="236"/>
      <c r="AJQ79" s="238"/>
      <c r="AJR79" s="236"/>
      <c r="AJS79" s="236"/>
      <c r="AJT79" s="236"/>
      <c r="AJU79" s="236"/>
      <c r="AJV79" s="236"/>
      <c r="AJW79" s="239"/>
      <c r="AJX79" s="236"/>
      <c r="AJY79" s="236"/>
      <c r="AJZ79" s="236"/>
      <c r="AKA79" s="236"/>
      <c r="AKB79" s="236"/>
      <c r="AKC79" s="240"/>
      <c r="AKD79" s="235"/>
      <c r="AKE79" s="236"/>
      <c r="AKF79" s="236"/>
      <c r="AKG79" s="236"/>
      <c r="AKH79" s="236"/>
      <c r="AKI79" s="237"/>
      <c r="AKJ79" s="236"/>
      <c r="AKK79" s="236"/>
      <c r="AKL79" s="236"/>
      <c r="AKM79" s="236"/>
      <c r="AKN79" s="236"/>
      <c r="AKO79" s="238"/>
      <c r="AKP79" s="236"/>
      <c r="AKQ79" s="236"/>
      <c r="AKR79" s="236"/>
      <c r="AKS79" s="236"/>
      <c r="AKT79" s="236"/>
      <c r="AKU79" s="239"/>
      <c r="AKV79" s="236"/>
      <c r="AKW79" s="236"/>
      <c r="AKX79" s="236"/>
      <c r="AKY79" s="236"/>
      <c r="AKZ79" s="236"/>
      <c r="ALA79" s="238"/>
      <c r="ALB79" s="236"/>
      <c r="ALC79" s="236"/>
      <c r="ALD79" s="236"/>
      <c r="ALE79" s="236"/>
      <c r="ALF79" s="236"/>
      <c r="ALG79" s="239"/>
      <c r="ALH79" s="236"/>
      <c r="ALI79" s="236"/>
      <c r="ALJ79" s="236"/>
      <c r="ALK79" s="236"/>
      <c r="ALL79" s="236"/>
      <c r="ALM79" s="238"/>
      <c r="ALN79" s="236"/>
      <c r="ALO79" s="236"/>
      <c r="ALP79" s="236"/>
      <c r="ALQ79" s="236"/>
      <c r="ALR79" s="236"/>
      <c r="ALS79" s="239"/>
      <c r="ALT79" s="236"/>
      <c r="ALU79" s="236"/>
      <c r="ALV79" s="236"/>
      <c r="ALW79" s="236"/>
      <c r="ALX79" s="236"/>
      <c r="ALY79" s="238"/>
      <c r="ALZ79" s="236"/>
      <c r="AMA79" s="236"/>
      <c r="AMB79" s="236"/>
      <c r="AMC79" s="236"/>
      <c r="AMD79" s="236"/>
      <c r="AME79" s="239"/>
      <c r="AMF79" s="236"/>
      <c r="AMG79" s="236"/>
      <c r="AMH79" s="236"/>
      <c r="AMI79" s="236"/>
      <c r="AMJ79" s="236"/>
      <c r="AMK79" s="240"/>
      <c r="AML79" s="235"/>
      <c r="AMM79" s="236"/>
      <c r="AMN79" s="236"/>
      <c r="AMO79" s="236"/>
      <c r="AMP79" s="236"/>
      <c r="AMQ79" s="237"/>
      <c r="AMR79" s="236"/>
      <c r="AMS79" s="236"/>
      <c r="AMT79" s="236"/>
      <c r="AMU79" s="236"/>
      <c r="AMV79" s="236"/>
      <c r="AMW79" s="238"/>
      <c r="AMX79" s="236"/>
      <c r="AMY79" s="236"/>
      <c r="AMZ79" s="236"/>
      <c r="ANA79" s="236"/>
      <c r="ANB79" s="236"/>
      <c r="ANC79" s="239"/>
      <c r="AND79" s="236"/>
      <c r="ANE79" s="236"/>
      <c r="ANF79" s="236"/>
      <c r="ANG79" s="236"/>
      <c r="ANH79" s="236"/>
      <c r="ANI79" s="238"/>
      <c r="ANJ79" s="236"/>
      <c r="ANK79" s="236"/>
      <c r="ANL79" s="236"/>
      <c r="ANM79" s="236"/>
      <c r="ANN79" s="236"/>
      <c r="ANO79" s="239"/>
      <c r="ANP79" s="236"/>
      <c r="ANQ79" s="236"/>
      <c r="ANR79" s="236"/>
      <c r="ANS79" s="236"/>
      <c r="ANT79" s="236"/>
      <c r="ANU79" s="238"/>
      <c r="ANV79" s="236"/>
      <c r="ANW79" s="236"/>
      <c r="ANX79" s="236"/>
      <c r="ANY79" s="236"/>
      <c r="ANZ79" s="236"/>
      <c r="AOA79" s="239"/>
      <c r="AOB79" s="236"/>
      <c r="AOC79" s="236"/>
      <c r="AOD79" s="236"/>
      <c r="AOE79" s="236"/>
      <c r="AOF79" s="236"/>
      <c r="AOG79" s="238"/>
      <c r="AOH79" s="236"/>
      <c r="AOI79" s="236"/>
      <c r="AOJ79" s="236"/>
      <c r="AOK79" s="236"/>
      <c r="AOL79" s="236"/>
      <c r="AOM79" s="239"/>
      <c r="AON79" s="236"/>
      <c r="AOO79" s="236"/>
      <c r="AOP79" s="236"/>
      <c r="AOQ79" s="236"/>
      <c r="AOR79" s="236"/>
      <c r="AOS79" s="240"/>
      <c r="AOT79" s="235"/>
      <c r="AOU79" s="236"/>
      <c r="AOV79" s="236"/>
      <c r="AOW79" s="236"/>
      <c r="AOX79" s="236"/>
      <c r="AOY79" s="237"/>
      <c r="AOZ79" s="236"/>
      <c r="APA79" s="236"/>
      <c r="APB79" s="236"/>
      <c r="APC79" s="236"/>
      <c r="APD79" s="236"/>
      <c r="APE79" s="238"/>
      <c r="APF79" s="236"/>
      <c r="APG79" s="236"/>
      <c r="APH79" s="236"/>
      <c r="API79" s="236"/>
      <c r="APJ79" s="236"/>
      <c r="APK79" s="239"/>
      <c r="APL79" s="236"/>
      <c r="APM79" s="236"/>
      <c r="APN79" s="236"/>
      <c r="APO79" s="236"/>
      <c r="APP79" s="236"/>
      <c r="APQ79" s="238"/>
      <c r="APR79" s="236"/>
      <c r="APS79" s="236"/>
      <c r="APT79" s="236"/>
      <c r="APU79" s="236"/>
      <c r="APV79" s="236"/>
      <c r="APW79" s="239"/>
      <c r="APX79" s="236"/>
      <c r="APY79" s="236"/>
      <c r="APZ79" s="236"/>
      <c r="AQA79" s="236"/>
      <c r="AQB79" s="236"/>
      <c r="AQC79" s="238"/>
      <c r="AQD79" s="236"/>
      <c r="AQE79" s="236"/>
      <c r="AQF79" s="236"/>
      <c r="AQG79" s="236"/>
      <c r="AQH79" s="236"/>
      <c r="AQI79" s="239"/>
      <c r="AQJ79" s="236"/>
      <c r="AQK79" s="236"/>
      <c r="AQL79" s="236"/>
      <c r="AQM79" s="236"/>
      <c r="AQN79" s="236"/>
      <c r="AQO79" s="238"/>
      <c r="AQP79" s="236"/>
      <c r="AQQ79" s="236"/>
      <c r="AQR79" s="236"/>
      <c r="AQS79" s="236"/>
      <c r="AQT79" s="236"/>
      <c r="AQU79" s="239"/>
      <c r="AQV79" s="236"/>
      <c r="AQW79" s="236"/>
      <c r="AQX79" s="236"/>
      <c r="AQY79" s="236"/>
      <c r="AQZ79" s="236"/>
      <c r="ARA79" s="240"/>
      <c r="ARB79" s="235"/>
      <c r="ARC79" s="236"/>
      <c r="ARD79" s="236"/>
      <c r="ARE79" s="236"/>
      <c r="ARF79" s="236"/>
      <c r="ARG79" s="237"/>
      <c r="ARH79" s="236"/>
      <c r="ARI79" s="236"/>
      <c r="ARJ79" s="236"/>
      <c r="ARK79" s="236"/>
      <c r="ARL79" s="236"/>
      <c r="ARM79" s="238"/>
      <c r="ARN79" s="236"/>
      <c r="ARO79" s="236"/>
      <c r="ARP79" s="236"/>
      <c r="ARQ79" s="236"/>
      <c r="ARR79" s="236"/>
      <c r="ARS79" s="239"/>
      <c r="ART79" s="236"/>
      <c r="ARU79" s="236"/>
      <c r="ARV79" s="236"/>
      <c r="ARW79" s="236"/>
      <c r="ARX79" s="236"/>
      <c r="ARY79" s="238"/>
      <c r="ARZ79" s="236"/>
      <c r="ASA79" s="236"/>
      <c r="ASB79" s="236"/>
      <c r="ASC79" s="236"/>
      <c r="ASD79" s="236"/>
      <c r="ASE79" s="239"/>
      <c r="ASF79" s="236"/>
      <c r="ASG79" s="236"/>
      <c r="ASH79" s="236"/>
      <c r="ASI79" s="236"/>
      <c r="ASJ79" s="236"/>
      <c r="ASK79" s="238"/>
      <c r="ASL79" s="236"/>
      <c r="ASM79" s="236"/>
      <c r="ASN79" s="236"/>
      <c r="ASO79" s="236"/>
      <c r="ASP79" s="236"/>
      <c r="ASQ79" s="239"/>
      <c r="ASR79" s="236"/>
      <c r="ASS79" s="236"/>
      <c r="AST79" s="236"/>
      <c r="ASU79" s="236"/>
      <c r="ASV79" s="236"/>
      <c r="ASW79" s="238"/>
      <c r="ASX79" s="236"/>
      <c r="ASY79" s="236"/>
      <c r="ASZ79" s="236"/>
      <c r="ATA79" s="236"/>
      <c r="ATB79" s="236"/>
      <c r="ATC79" s="239"/>
      <c r="ATD79" s="236"/>
      <c r="ATE79" s="236"/>
      <c r="ATF79" s="236"/>
      <c r="ATG79" s="236"/>
      <c r="ATH79" s="236"/>
      <c r="ATI79" s="240"/>
      <c r="ATJ79" s="235"/>
      <c r="ATK79" s="236"/>
      <c r="ATL79" s="236"/>
      <c r="ATM79" s="236"/>
      <c r="ATN79" s="236"/>
      <c r="ATO79" s="237"/>
      <c r="ATP79" s="236"/>
      <c r="ATQ79" s="236"/>
      <c r="ATR79" s="236"/>
      <c r="ATS79" s="236"/>
      <c r="ATT79" s="236"/>
      <c r="ATU79" s="238"/>
      <c r="ATV79" s="236"/>
      <c r="ATW79" s="236"/>
      <c r="ATX79" s="236"/>
      <c r="ATY79" s="236"/>
      <c r="ATZ79" s="236"/>
      <c r="AUA79" s="239"/>
      <c r="AUB79" s="236"/>
      <c r="AUC79" s="236"/>
      <c r="AUD79" s="236"/>
      <c r="AUE79" s="236"/>
      <c r="AUF79" s="236"/>
      <c r="AUG79" s="238"/>
      <c r="AUH79" s="236"/>
      <c r="AUI79" s="236"/>
      <c r="AUJ79" s="236"/>
      <c r="AUK79" s="236"/>
      <c r="AUL79" s="236"/>
      <c r="AUM79" s="239"/>
      <c r="AUN79" s="236"/>
      <c r="AUO79" s="236"/>
      <c r="AUP79" s="236"/>
      <c r="AUQ79" s="236"/>
      <c r="AUR79" s="236"/>
      <c r="AUS79" s="238"/>
      <c r="AUT79" s="236"/>
      <c r="AUU79" s="236"/>
      <c r="AUV79" s="236"/>
      <c r="AUW79" s="236"/>
      <c r="AUX79" s="236"/>
      <c r="AUY79" s="239"/>
      <c r="AUZ79" s="236"/>
      <c r="AVA79" s="236"/>
      <c r="AVB79" s="236"/>
      <c r="AVC79" s="236"/>
      <c r="AVD79" s="236"/>
      <c r="AVE79" s="238"/>
      <c r="AVF79" s="236"/>
      <c r="AVG79" s="236"/>
      <c r="AVH79" s="236"/>
      <c r="AVI79" s="236"/>
      <c r="AVJ79" s="236"/>
      <c r="AVK79" s="239"/>
      <c r="AVL79" s="236"/>
      <c r="AVM79" s="236"/>
      <c r="AVN79" s="236"/>
      <c r="AVO79" s="236"/>
      <c r="AVP79" s="236"/>
      <c r="AVQ79" s="240"/>
      <c r="AVR79" s="235"/>
      <c r="AVS79" s="236"/>
      <c r="AVT79" s="236"/>
      <c r="AVU79" s="236"/>
      <c r="AVV79" s="236"/>
      <c r="AVW79" s="237"/>
      <c r="AVX79" s="236"/>
      <c r="AVY79" s="236"/>
      <c r="AVZ79" s="236"/>
      <c r="AWA79" s="236"/>
      <c r="AWB79" s="236"/>
      <c r="AWC79" s="238"/>
      <c r="AWD79" s="236"/>
      <c r="AWE79" s="236"/>
      <c r="AWF79" s="236"/>
      <c r="AWG79" s="236"/>
      <c r="AWH79" s="236"/>
      <c r="AWI79" s="239"/>
      <c r="AWJ79" s="236"/>
      <c r="AWK79" s="236"/>
      <c r="AWL79" s="236"/>
      <c r="AWM79" s="236"/>
      <c r="AWN79" s="236"/>
      <c r="AWO79" s="238"/>
      <c r="AWP79" s="236"/>
      <c r="AWQ79" s="236"/>
      <c r="AWR79" s="236"/>
      <c r="AWS79" s="236"/>
      <c r="AWT79" s="236"/>
      <c r="AWU79" s="239"/>
      <c r="AWV79" s="236"/>
      <c r="AWW79" s="236"/>
      <c r="AWX79" s="236"/>
      <c r="AWY79" s="236"/>
      <c r="AWZ79" s="236"/>
      <c r="AXA79" s="238"/>
      <c r="AXB79" s="236"/>
      <c r="AXC79" s="236"/>
      <c r="AXD79" s="236"/>
      <c r="AXE79" s="236"/>
      <c r="AXF79" s="236"/>
      <c r="AXG79" s="239"/>
      <c r="AXH79" s="236"/>
      <c r="AXI79" s="236"/>
      <c r="AXJ79" s="236"/>
      <c r="AXK79" s="236"/>
      <c r="AXL79" s="236"/>
      <c r="AXM79" s="238"/>
      <c r="AXN79" s="236"/>
      <c r="AXO79" s="236"/>
      <c r="AXP79" s="236"/>
      <c r="AXQ79" s="236"/>
      <c r="AXR79" s="236"/>
      <c r="AXS79" s="239"/>
      <c r="AXT79" s="236"/>
      <c r="AXU79" s="236"/>
      <c r="AXV79" s="236"/>
      <c r="AXW79" s="236"/>
      <c r="AXX79" s="236"/>
      <c r="AXY79" s="240"/>
      <c r="AXZ79" s="235"/>
      <c r="AYA79" s="236"/>
      <c r="AYB79" s="236"/>
      <c r="AYC79" s="236"/>
      <c r="AYD79" s="236"/>
      <c r="AYE79" s="237"/>
      <c r="AYF79" s="236"/>
      <c r="AYG79" s="236"/>
      <c r="AYH79" s="236"/>
      <c r="AYI79" s="236"/>
      <c r="AYJ79" s="236"/>
      <c r="AYK79" s="238"/>
      <c r="AYL79" s="236"/>
      <c r="AYM79" s="236"/>
      <c r="AYN79" s="236"/>
      <c r="AYO79" s="236"/>
      <c r="AYP79" s="236"/>
      <c r="AYQ79" s="239"/>
      <c r="AYR79" s="236"/>
      <c r="AYS79" s="236"/>
      <c r="AYT79" s="236"/>
      <c r="AYU79" s="236"/>
      <c r="AYV79" s="236"/>
      <c r="AYW79" s="238"/>
      <c r="AYX79" s="236"/>
      <c r="AYY79" s="236"/>
      <c r="AYZ79" s="236"/>
      <c r="AZA79" s="236"/>
      <c r="AZB79" s="236"/>
      <c r="AZC79" s="239"/>
      <c r="AZD79" s="236"/>
      <c r="AZE79" s="236"/>
      <c r="AZF79" s="236"/>
      <c r="AZG79" s="236"/>
      <c r="AZH79" s="236"/>
      <c r="AZI79" s="238"/>
      <c r="AZJ79" s="236"/>
      <c r="AZK79" s="236"/>
      <c r="AZL79" s="236"/>
      <c r="AZM79" s="236"/>
      <c r="AZN79" s="236"/>
      <c r="AZO79" s="239"/>
      <c r="AZP79" s="236"/>
      <c r="AZQ79" s="236"/>
      <c r="AZR79" s="236"/>
      <c r="AZS79" s="236"/>
      <c r="AZT79" s="236"/>
      <c r="AZU79" s="238"/>
      <c r="AZV79" s="236"/>
      <c r="AZW79" s="236"/>
      <c r="AZX79" s="236"/>
      <c r="AZY79" s="236"/>
      <c r="AZZ79" s="236"/>
      <c r="BAA79" s="239"/>
      <c r="BAB79" s="236"/>
      <c r="BAC79" s="236"/>
      <c r="BAD79" s="236"/>
      <c r="BAE79" s="236"/>
      <c r="BAF79" s="236"/>
      <c r="BAG79" s="240"/>
      <c r="BAH79" s="235"/>
      <c r="BAI79" s="236"/>
      <c r="BAJ79" s="236"/>
      <c r="BAK79" s="236"/>
      <c r="BAL79" s="236"/>
      <c r="BAM79" s="237"/>
      <c r="BAN79" s="236"/>
      <c r="BAO79" s="236"/>
      <c r="BAP79" s="236"/>
      <c r="BAQ79" s="236"/>
      <c r="BAR79" s="236"/>
      <c r="BAS79" s="238"/>
      <c r="BAT79" s="236"/>
      <c r="BAU79" s="236"/>
      <c r="BAV79" s="236"/>
      <c r="BAW79" s="236"/>
      <c r="BAX79" s="236"/>
      <c r="BAY79" s="239"/>
      <c r="BAZ79" s="236"/>
      <c r="BBA79" s="236"/>
      <c r="BBB79" s="236"/>
      <c r="BBC79" s="236"/>
      <c r="BBD79" s="236"/>
      <c r="BBE79" s="238"/>
      <c r="BBF79" s="236"/>
      <c r="BBG79" s="236"/>
      <c r="BBH79" s="236"/>
      <c r="BBI79" s="236"/>
      <c r="BBJ79" s="236"/>
      <c r="BBK79" s="239"/>
      <c r="BBL79" s="236"/>
      <c r="BBM79" s="236"/>
      <c r="BBN79" s="236"/>
      <c r="BBO79" s="236"/>
      <c r="BBP79" s="236"/>
      <c r="BBQ79" s="238"/>
      <c r="BBR79" s="236"/>
      <c r="BBS79" s="236"/>
      <c r="BBT79" s="236"/>
      <c r="BBU79" s="236"/>
      <c r="BBV79" s="236"/>
      <c r="BBW79" s="239"/>
      <c r="BBX79" s="236"/>
      <c r="BBY79" s="236"/>
      <c r="BBZ79" s="236"/>
      <c r="BCA79" s="236"/>
      <c r="BCB79" s="236"/>
      <c r="BCC79" s="238"/>
      <c r="BCD79" s="236"/>
      <c r="BCE79" s="236"/>
      <c r="BCF79" s="236"/>
      <c r="BCG79" s="236"/>
      <c r="BCH79" s="236"/>
      <c r="BCI79" s="239"/>
      <c r="BCJ79" s="236"/>
      <c r="BCK79" s="236"/>
      <c r="BCL79" s="236"/>
      <c r="BCM79" s="236"/>
      <c r="BCN79" s="236"/>
      <c r="BCO79" s="240"/>
      <c r="BCP79" s="235"/>
      <c r="BCQ79" s="236"/>
      <c r="BCR79" s="236"/>
      <c r="BCS79" s="236"/>
      <c r="BCT79" s="236"/>
      <c r="BCU79" s="237"/>
      <c r="BCV79" s="236"/>
      <c r="BCW79" s="236"/>
      <c r="BCX79" s="236"/>
      <c r="BCY79" s="236"/>
      <c r="BCZ79" s="236"/>
      <c r="BDA79" s="238"/>
      <c r="BDB79" s="236"/>
      <c r="BDC79" s="236"/>
      <c r="BDD79" s="236"/>
      <c r="BDE79" s="236"/>
      <c r="BDF79" s="236"/>
      <c r="BDG79" s="239"/>
      <c r="BDH79" s="236"/>
      <c r="BDI79" s="236"/>
      <c r="BDJ79" s="236"/>
      <c r="BDK79" s="236"/>
      <c r="BDL79" s="236"/>
      <c r="BDM79" s="238"/>
      <c r="BDN79" s="236"/>
      <c r="BDO79" s="236"/>
      <c r="BDP79" s="236"/>
      <c r="BDQ79" s="236"/>
      <c r="BDR79" s="236"/>
      <c r="BDS79" s="239"/>
      <c r="BDT79" s="236"/>
      <c r="BDU79" s="236"/>
      <c r="BDV79" s="236"/>
      <c r="BDW79" s="236"/>
      <c r="BDX79" s="236"/>
      <c r="BDY79" s="238"/>
      <c r="BDZ79" s="236"/>
      <c r="BEA79" s="236"/>
      <c r="BEB79" s="236"/>
      <c r="BEC79" s="236"/>
      <c r="BED79" s="236"/>
      <c r="BEE79" s="239"/>
      <c r="BEF79" s="236"/>
      <c r="BEG79" s="236"/>
      <c r="BEH79" s="236"/>
      <c r="BEI79" s="236"/>
      <c r="BEJ79" s="236"/>
      <c r="BEK79" s="238"/>
      <c r="BEL79" s="236"/>
      <c r="BEM79" s="236"/>
      <c r="BEN79" s="236"/>
      <c r="BEO79" s="236"/>
      <c r="BEP79" s="236"/>
      <c r="BEQ79" s="239"/>
      <c r="BER79" s="236"/>
      <c r="BES79" s="236"/>
      <c r="BET79" s="236"/>
      <c r="BEU79" s="236"/>
      <c r="BEV79" s="236"/>
      <c r="BEW79" s="240"/>
      <c r="BEX79" s="235"/>
      <c r="BEY79" s="236"/>
      <c r="BEZ79" s="236"/>
      <c r="BFA79" s="236"/>
      <c r="BFB79" s="236"/>
      <c r="BFC79" s="237"/>
      <c r="BFD79" s="236"/>
      <c r="BFE79" s="236"/>
      <c r="BFF79" s="236"/>
      <c r="BFG79" s="236"/>
      <c r="BFH79" s="236"/>
      <c r="BFI79" s="238"/>
      <c r="BFJ79" s="236"/>
      <c r="BFK79" s="236"/>
      <c r="BFL79" s="236"/>
      <c r="BFM79" s="236"/>
      <c r="BFN79" s="236"/>
      <c r="BFO79" s="239"/>
      <c r="BFP79" s="236"/>
      <c r="BFQ79" s="236"/>
      <c r="BFR79" s="236"/>
      <c r="BFS79" s="236"/>
      <c r="BFT79" s="236"/>
      <c r="BFU79" s="238"/>
      <c r="BFV79" s="236"/>
      <c r="BFW79" s="236"/>
      <c r="BFX79" s="236"/>
      <c r="BFY79" s="236"/>
      <c r="BFZ79" s="236"/>
      <c r="BGA79" s="239"/>
      <c r="BGB79" s="236"/>
      <c r="BGC79" s="236"/>
      <c r="BGD79" s="236"/>
      <c r="BGE79" s="236"/>
      <c r="BGF79" s="236"/>
      <c r="BGG79" s="238"/>
      <c r="BGH79" s="236"/>
      <c r="BGI79" s="236"/>
      <c r="BGJ79" s="236"/>
      <c r="BGK79" s="236"/>
      <c r="BGL79" s="236"/>
      <c r="BGM79" s="239"/>
      <c r="BGN79" s="236"/>
      <c r="BGO79" s="236"/>
      <c r="BGP79" s="236"/>
      <c r="BGQ79" s="236"/>
      <c r="BGR79" s="236"/>
      <c r="BGS79" s="238"/>
      <c r="BGT79" s="236"/>
      <c r="BGU79" s="236"/>
      <c r="BGV79" s="236"/>
      <c r="BGW79" s="236"/>
      <c r="BGX79" s="236"/>
      <c r="BGY79" s="239"/>
      <c r="BGZ79" s="236"/>
      <c r="BHA79" s="236"/>
      <c r="BHB79" s="236"/>
      <c r="BHC79" s="236"/>
      <c r="BHD79" s="236"/>
      <c r="BHE79" s="240"/>
      <c r="BHF79" s="235"/>
      <c r="BHG79" s="236"/>
      <c r="BHH79" s="236"/>
      <c r="BHI79" s="236"/>
      <c r="BHJ79" s="236"/>
      <c r="BHK79" s="237"/>
      <c r="BHL79" s="236"/>
      <c r="BHM79" s="236"/>
      <c r="BHN79" s="236"/>
      <c r="BHO79" s="236"/>
      <c r="BHP79" s="236"/>
      <c r="BHQ79" s="238"/>
      <c r="BHR79" s="236"/>
      <c r="BHS79" s="236"/>
      <c r="BHT79" s="236"/>
      <c r="BHU79" s="236"/>
      <c r="BHV79" s="236"/>
      <c r="BHW79" s="239"/>
      <c r="BHX79" s="236"/>
      <c r="BHY79" s="236"/>
      <c r="BHZ79" s="236"/>
      <c r="BIA79" s="236"/>
      <c r="BIB79" s="236"/>
      <c r="BIC79" s="238"/>
      <c r="BID79" s="236"/>
      <c r="BIE79" s="236"/>
      <c r="BIF79" s="236"/>
      <c r="BIG79" s="236"/>
      <c r="BIH79" s="236"/>
      <c r="BII79" s="239"/>
      <c r="BIJ79" s="236"/>
      <c r="BIK79" s="236"/>
      <c r="BIL79" s="236"/>
      <c r="BIM79" s="236"/>
      <c r="BIN79" s="236"/>
      <c r="BIO79" s="238"/>
      <c r="BIP79" s="236"/>
      <c r="BIQ79" s="236"/>
      <c r="BIR79" s="236"/>
      <c r="BIS79" s="236"/>
      <c r="BIT79" s="236"/>
      <c r="BIU79" s="239"/>
      <c r="BIV79" s="236"/>
      <c r="BIW79" s="236"/>
      <c r="BIX79" s="236"/>
      <c r="BIY79" s="236"/>
      <c r="BIZ79" s="236"/>
      <c r="BJA79" s="238"/>
      <c r="BJB79" s="236"/>
      <c r="BJC79" s="236"/>
      <c r="BJD79" s="236"/>
      <c r="BJE79" s="236"/>
      <c r="BJF79" s="236"/>
      <c r="BJG79" s="239"/>
      <c r="BJH79" s="236"/>
      <c r="BJI79" s="236"/>
      <c r="BJJ79" s="236"/>
      <c r="BJK79" s="236"/>
      <c r="BJL79" s="236"/>
      <c r="BJM79" s="240"/>
      <c r="BJN79" s="233"/>
      <c r="BJO79" s="234"/>
      <c r="BJP79" s="234"/>
      <c r="BJQ79" s="234"/>
      <c r="BJR79" s="234"/>
      <c r="BJS79" s="234"/>
      <c r="BJT79" s="234"/>
      <c r="BJU79" s="234"/>
      <c r="BJV79" s="234"/>
      <c r="BJW79" s="234"/>
      <c r="BJX79" s="234"/>
      <c r="BJY79" s="234"/>
      <c r="BJZ79" s="234"/>
      <c r="BKA79" s="234"/>
      <c r="BKB79" s="234"/>
      <c r="BKC79" s="234"/>
      <c r="BKD79" s="234"/>
      <c r="BKE79" s="234"/>
      <c r="BKF79" s="234"/>
      <c r="BKG79" s="234"/>
      <c r="BKH79" s="234"/>
      <c r="BKI79" s="234"/>
      <c r="BKJ79" s="234"/>
      <c r="BKK79" s="234"/>
      <c r="BKL79" s="234"/>
      <c r="BKM79" s="234"/>
      <c r="BKN79" s="234"/>
    </row>
    <row r="80" spans="1:1652" ht="20.100000000000001" customHeight="1" x14ac:dyDescent="0.3">
      <c r="A80" s="84" t="s">
        <v>20</v>
      </c>
      <c r="B80" s="53"/>
      <c r="C80" s="189"/>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174"/>
      <c r="BJO80" s="4"/>
      <c r="BJP80" s="4"/>
      <c r="BJQ80" s="4"/>
      <c r="BJR80" s="4"/>
      <c r="BJS80" s="4"/>
      <c r="BJT80" s="4"/>
      <c r="BJU80" s="4"/>
      <c r="BJV80" s="4"/>
      <c r="BJW80" s="4"/>
      <c r="BJX80" s="4"/>
      <c r="BJY80" s="4"/>
      <c r="BJZ80" s="4"/>
      <c r="BKA80" s="4"/>
      <c r="BKB80" s="4"/>
      <c r="BKC80" s="4"/>
      <c r="BKD80" s="4"/>
      <c r="BKE80" s="4"/>
      <c r="BKF80" s="4"/>
      <c r="BKG80" s="4"/>
      <c r="BKH80" s="4"/>
      <c r="BKI80" s="4"/>
      <c r="BKJ80" s="4"/>
      <c r="BKK80" s="4"/>
      <c r="BKL80" s="4"/>
      <c r="BKM80" s="4"/>
      <c r="BKN80" s="4"/>
    </row>
    <row r="81" spans="1:1652" ht="20.100000000000001" customHeight="1" x14ac:dyDescent="0.25">
      <c r="A81" s="84" t="s">
        <v>19</v>
      </c>
      <c r="B81" s="53"/>
      <c r="C81" s="177"/>
      <c r="D81" s="129" t="str">
        <f t="shared" si="1"/>
        <v>0h</v>
      </c>
      <c r="E81" s="26">
        <v>0</v>
      </c>
      <c r="F81" s="241"/>
      <c r="G81" s="242"/>
      <c r="H81" s="242"/>
      <c r="I81" s="242"/>
      <c r="J81" s="242"/>
      <c r="K81" s="243"/>
      <c r="L81" s="242"/>
      <c r="M81" s="242"/>
      <c r="N81" s="242"/>
      <c r="O81" s="242"/>
      <c r="P81" s="242"/>
      <c r="Q81" s="244"/>
      <c r="R81" s="242"/>
      <c r="S81" s="242"/>
      <c r="T81" s="242"/>
      <c r="U81" s="242"/>
      <c r="V81" s="242"/>
      <c r="W81" s="245"/>
      <c r="X81" s="242"/>
      <c r="Y81" s="242"/>
      <c r="Z81" s="242"/>
      <c r="AA81" s="242"/>
      <c r="AB81" s="242"/>
      <c r="AC81" s="244"/>
      <c r="AD81" s="242"/>
      <c r="AE81" s="242"/>
      <c r="AF81" s="242"/>
      <c r="AG81" s="242"/>
      <c r="AH81" s="242"/>
      <c r="AI81" s="245"/>
      <c r="AJ81" s="242"/>
      <c r="AK81" s="242"/>
      <c r="AL81" s="242"/>
      <c r="AM81" s="242"/>
      <c r="AN81" s="242"/>
      <c r="AO81" s="244"/>
      <c r="AP81" s="242"/>
      <c r="AQ81" s="242"/>
      <c r="AR81" s="242"/>
      <c r="AS81" s="242"/>
      <c r="AT81" s="242"/>
      <c r="AU81" s="245"/>
      <c r="AV81" s="242"/>
      <c r="AW81" s="242"/>
      <c r="AX81" s="242"/>
      <c r="AY81" s="242"/>
      <c r="AZ81" s="242"/>
      <c r="BA81" s="244"/>
      <c r="BB81" s="242"/>
      <c r="BC81" s="242"/>
      <c r="BD81" s="242"/>
      <c r="BE81" s="242"/>
      <c r="BF81" s="242"/>
      <c r="BG81" s="245"/>
      <c r="BH81" s="242"/>
      <c r="BI81" s="242"/>
      <c r="BJ81" s="242"/>
      <c r="BK81" s="242"/>
      <c r="BL81" s="242"/>
      <c r="BM81" s="246"/>
      <c r="BN81" s="241"/>
      <c r="BO81" s="242"/>
      <c r="BP81" s="242"/>
      <c r="BQ81" s="242"/>
      <c r="BR81" s="242"/>
      <c r="BS81" s="243"/>
      <c r="BT81" s="242"/>
      <c r="BU81" s="242"/>
      <c r="BV81" s="242"/>
      <c r="BW81" s="242"/>
      <c r="BX81" s="242"/>
      <c r="BY81" s="244"/>
      <c r="BZ81" s="242"/>
      <c r="CA81" s="242"/>
      <c r="CB81" s="242"/>
      <c r="CC81" s="242"/>
      <c r="CD81" s="242"/>
      <c r="CE81" s="245"/>
      <c r="CF81" s="242"/>
      <c r="CG81" s="242"/>
      <c r="CH81" s="242"/>
      <c r="CI81" s="242"/>
      <c r="CJ81" s="242"/>
      <c r="CK81" s="244"/>
      <c r="CL81" s="242"/>
      <c r="CM81" s="242"/>
      <c r="CN81" s="242"/>
      <c r="CO81" s="242"/>
      <c r="CP81" s="242"/>
      <c r="CQ81" s="245"/>
      <c r="CR81" s="242"/>
      <c r="CS81" s="242"/>
      <c r="CT81" s="242"/>
      <c r="CU81" s="242"/>
      <c r="CV81" s="242"/>
      <c r="CW81" s="244"/>
      <c r="CX81" s="242"/>
      <c r="CY81" s="242"/>
      <c r="CZ81" s="242"/>
      <c r="DA81" s="242"/>
      <c r="DB81" s="242"/>
      <c r="DC81" s="245"/>
      <c r="DD81" s="242"/>
      <c r="DE81" s="242"/>
      <c r="DF81" s="242"/>
      <c r="DG81" s="242"/>
      <c r="DH81" s="242"/>
      <c r="DI81" s="244"/>
      <c r="DJ81" s="242"/>
      <c r="DK81" s="242"/>
      <c r="DL81" s="242"/>
      <c r="DM81" s="242"/>
      <c r="DN81" s="242"/>
      <c r="DO81" s="245"/>
      <c r="DP81" s="242"/>
      <c r="DQ81" s="242"/>
      <c r="DR81" s="242"/>
      <c r="DS81" s="242"/>
      <c r="DT81" s="242"/>
      <c r="DU81" s="246"/>
      <c r="DV81" s="241"/>
      <c r="DW81" s="242"/>
      <c r="DX81" s="242"/>
      <c r="DY81" s="242"/>
      <c r="DZ81" s="242"/>
      <c r="EA81" s="243"/>
      <c r="EB81" s="242"/>
      <c r="EC81" s="242"/>
      <c r="ED81" s="242"/>
      <c r="EE81" s="242"/>
      <c r="EF81" s="242"/>
      <c r="EG81" s="244"/>
      <c r="EH81" s="242"/>
      <c r="EI81" s="242"/>
      <c r="EJ81" s="242"/>
      <c r="EK81" s="242"/>
      <c r="EL81" s="242"/>
      <c r="EM81" s="245"/>
      <c r="EN81" s="242"/>
      <c r="EO81" s="242"/>
      <c r="EP81" s="242"/>
      <c r="EQ81" s="242"/>
      <c r="ER81" s="242"/>
      <c r="ES81" s="244"/>
      <c r="ET81" s="242"/>
      <c r="EU81" s="242"/>
      <c r="EV81" s="242"/>
      <c r="EW81" s="242"/>
      <c r="EX81" s="242"/>
      <c r="EY81" s="245"/>
      <c r="EZ81" s="242"/>
      <c r="FA81" s="242"/>
      <c r="FB81" s="242"/>
      <c r="FC81" s="242"/>
      <c r="FD81" s="242"/>
      <c r="FE81" s="244"/>
      <c r="FF81" s="242"/>
      <c r="FG81" s="242"/>
      <c r="FH81" s="242"/>
      <c r="FI81" s="242"/>
      <c r="FJ81" s="242"/>
      <c r="FK81" s="245"/>
      <c r="FL81" s="242"/>
      <c r="FM81" s="242"/>
      <c r="FN81" s="242"/>
      <c r="FO81" s="242"/>
      <c r="FP81" s="242"/>
      <c r="FQ81" s="244"/>
      <c r="FR81" s="242"/>
      <c r="FS81" s="242"/>
      <c r="FT81" s="242"/>
      <c r="FU81" s="242"/>
      <c r="FV81" s="242"/>
      <c r="FW81" s="245"/>
      <c r="FX81" s="242"/>
      <c r="FY81" s="242"/>
      <c r="FZ81" s="242"/>
      <c r="GA81" s="242"/>
      <c r="GB81" s="242"/>
      <c r="GC81" s="246"/>
      <c r="GD81" s="241"/>
      <c r="GE81" s="242"/>
      <c r="GF81" s="242"/>
      <c r="GG81" s="242"/>
      <c r="GH81" s="242"/>
      <c r="GI81" s="243"/>
      <c r="GJ81" s="242"/>
      <c r="GK81" s="242"/>
      <c r="GL81" s="242"/>
      <c r="GM81" s="242"/>
      <c r="GN81" s="242"/>
      <c r="GO81" s="244"/>
      <c r="GP81" s="242"/>
      <c r="GQ81" s="242"/>
      <c r="GR81" s="242"/>
      <c r="GS81" s="242"/>
      <c r="GT81" s="242"/>
      <c r="GU81" s="245"/>
      <c r="GV81" s="242"/>
      <c r="GW81" s="242"/>
      <c r="GX81" s="242"/>
      <c r="GY81" s="242"/>
      <c r="GZ81" s="242"/>
      <c r="HA81" s="244"/>
      <c r="HB81" s="242"/>
      <c r="HC81" s="242"/>
      <c r="HD81" s="242"/>
      <c r="HE81" s="242"/>
      <c r="HF81" s="242"/>
      <c r="HG81" s="245"/>
      <c r="HH81" s="242"/>
      <c r="HI81" s="242"/>
      <c r="HJ81" s="242"/>
      <c r="HK81" s="242"/>
      <c r="HL81" s="242"/>
      <c r="HM81" s="244"/>
      <c r="HN81" s="242"/>
      <c r="HO81" s="242"/>
      <c r="HP81" s="242"/>
      <c r="HQ81" s="242"/>
      <c r="HR81" s="242"/>
      <c r="HS81" s="245"/>
      <c r="HT81" s="242"/>
      <c r="HU81" s="242"/>
      <c r="HV81" s="242"/>
      <c r="HW81" s="242"/>
      <c r="HX81" s="242"/>
      <c r="HY81" s="244"/>
      <c r="HZ81" s="242"/>
      <c r="IA81" s="242"/>
      <c r="IB81" s="242"/>
      <c r="IC81" s="242"/>
      <c r="ID81" s="242"/>
      <c r="IE81" s="245"/>
      <c r="IF81" s="242"/>
      <c r="IG81" s="242"/>
      <c r="IH81" s="242"/>
      <c r="II81" s="242"/>
      <c r="IJ81" s="242"/>
      <c r="IK81" s="246"/>
      <c r="IL81" s="241"/>
      <c r="IM81" s="242"/>
      <c r="IN81" s="242"/>
      <c r="IO81" s="242"/>
      <c r="IP81" s="242"/>
      <c r="IQ81" s="243"/>
      <c r="IR81" s="242"/>
      <c r="IS81" s="242"/>
      <c r="IT81" s="242"/>
      <c r="IU81" s="242"/>
      <c r="IV81" s="242"/>
      <c r="IW81" s="244"/>
      <c r="IX81" s="242"/>
      <c r="IY81" s="242"/>
      <c r="IZ81" s="242"/>
      <c r="JA81" s="242"/>
      <c r="JB81" s="242"/>
      <c r="JC81" s="245"/>
      <c r="JD81" s="242"/>
      <c r="JE81" s="242"/>
      <c r="JF81" s="242"/>
      <c r="JG81" s="242"/>
      <c r="JH81" s="242"/>
      <c r="JI81" s="244"/>
      <c r="JJ81" s="242"/>
      <c r="JK81" s="242"/>
      <c r="JL81" s="242"/>
      <c r="JM81" s="242"/>
      <c r="JN81" s="242"/>
      <c r="JO81" s="245"/>
      <c r="JP81" s="242"/>
      <c r="JQ81" s="242"/>
      <c r="JR81" s="242"/>
      <c r="JS81" s="242"/>
      <c r="JT81" s="242"/>
      <c r="JU81" s="244"/>
      <c r="JV81" s="242"/>
      <c r="JW81" s="242"/>
      <c r="JX81" s="242"/>
      <c r="JY81" s="242"/>
      <c r="JZ81" s="242"/>
      <c r="KA81" s="245"/>
      <c r="KB81" s="242"/>
      <c r="KC81" s="242"/>
      <c r="KD81" s="242"/>
      <c r="KE81" s="242"/>
      <c r="KF81" s="242"/>
      <c r="KG81" s="244"/>
      <c r="KH81" s="242"/>
      <c r="KI81" s="242"/>
      <c r="KJ81" s="242"/>
      <c r="KK81" s="242"/>
      <c r="KL81" s="242"/>
      <c r="KM81" s="245"/>
      <c r="KN81" s="242"/>
      <c r="KO81" s="242"/>
      <c r="KP81" s="242"/>
      <c r="KQ81" s="242"/>
      <c r="KR81" s="242"/>
      <c r="KS81" s="246"/>
      <c r="KT81" s="241"/>
      <c r="KU81" s="242"/>
      <c r="KV81" s="242"/>
      <c r="KW81" s="242"/>
      <c r="KX81" s="242"/>
      <c r="KY81" s="243"/>
      <c r="KZ81" s="242"/>
      <c r="LA81" s="242"/>
      <c r="LB81" s="242"/>
      <c r="LC81" s="242"/>
      <c r="LD81" s="242"/>
      <c r="LE81" s="244"/>
      <c r="LF81" s="242"/>
      <c r="LG81" s="242"/>
      <c r="LH81" s="242"/>
      <c r="LI81" s="242"/>
      <c r="LJ81" s="242"/>
      <c r="LK81" s="245"/>
      <c r="LL81" s="242"/>
      <c r="LM81" s="242"/>
      <c r="LN81" s="242"/>
      <c r="LO81" s="242"/>
      <c r="LP81" s="242"/>
      <c r="LQ81" s="244"/>
      <c r="LR81" s="242"/>
      <c r="LS81" s="242"/>
      <c r="LT81" s="242"/>
      <c r="LU81" s="242"/>
      <c r="LV81" s="242"/>
      <c r="LW81" s="245"/>
      <c r="LX81" s="242"/>
      <c r="LY81" s="242"/>
      <c r="LZ81" s="242"/>
      <c r="MA81" s="242"/>
      <c r="MB81" s="242"/>
      <c r="MC81" s="244"/>
      <c r="MD81" s="242"/>
      <c r="ME81" s="242"/>
      <c r="MF81" s="242"/>
      <c r="MG81" s="242"/>
      <c r="MH81" s="242"/>
      <c r="MI81" s="245"/>
      <c r="MJ81" s="242"/>
      <c r="MK81" s="242"/>
      <c r="ML81" s="242"/>
      <c r="MM81" s="242"/>
      <c r="MN81" s="242"/>
      <c r="MO81" s="244"/>
      <c r="MP81" s="242"/>
      <c r="MQ81" s="242"/>
      <c r="MR81" s="242"/>
      <c r="MS81" s="242"/>
      <c r="MT81" s="242"/>
      <c r="MU81" s="245"/>
      <c r="MV81" s="242"/>
      <c r="MW81" s="242"/>
      <c r="MX81" s="242"/>
      <c r="MY81" s="242"/>
      <c r="MZ81" s="242"/>
      <c r="NA81" s="246"/>
      <c r="NB81" s="241"/>
      <c r="NC81" s="242"/>
      <c r="ND81" s="242"/>
      <c r="NE81" s="242"/>
      <c r="NF81" s="242"/>
      <c r="NG81" s="243"/>
      <c r="NH81" s="242"/>
      <c r="NI81" s="242"/>
      <c r="NJ81" s="242"/>
      <c r="NK81" s="242"/>
      <c r="NL81" s="242"/>
      <c r="NM81" s="244"/>
      <c r="NN81" s="242"/>
      <c r="NO81" s="242"/>
      <c r="NP81" s="242"/>
      <c r="NQ81" s="242"/>
      <c r="NR81" s="242"/>
      <c r="NS81" s="245"/>
      <c r="NT81" s="242"/>
      <c r="NU81" s="242"/>
      <c r="NV81" s="242"/>
      <c r="NW81" s="242"/>
      <c r="NX81" s="242"/>
      <c r="NY81" s="244"/>
      <c r="NZ81" s="242"/>
      <c r="OA81" s="242"/>
      <c r="OB81" s="242"/>
      <c r="OC81" s="242"/>
      <c r="OD81" s="242"/>
      <c r="OE81" s="245"/>
      <c r="OF81" s="242"/>
      <c r="OG81" s="242"/>
      <c r="OH81" s="242"/>
      <c r="OI81" s="242"/>
      <c r="OJ81" s="242"/>
      <c r="OK81" s="244"/>
      <c r="OL81" s="242"/>
      <c r="OM81" s="242"/>
      <c r="ON81" s="242"/>
      <c r="OO81" s="242"/>
      <c r="OP81" s="242"/>
      <c r="OQ81" s="245"/>
      <c r="OR81" s="242"/>
      <c r="OS81" s="242"/>
      <c r="OT81" s="242"/>
      <c r="OU81" s="242"/>
      <c r="OV81" s="242"/>
      <c r="OW81" s="244"/>
      <c r="OX81" s="242"/>
      <c r="OY81" s="242"/>
      <c r="OZ81" s="242"/>
      <c r="PA81" s="242"/>
      <c r="PB81" s="242"/>
      <c r="PC81" s="245"/>
      <c r="PD81" s="242"/>
      <c r="PE81" s="242"/>
      <c r="PF81" s="242"/>
      <c r="PG81" s="242"/>
      <c r="PH81" s="242"/>
      <c r="PI81" s="246"/>
      <c r="PJ81" s="241"/>
      <c r="PK81" s="242"/>
      <c r="PL81" s="242"/>
      <c r="PM81" s="242"/>
      <c r="PN81" s="242"/>
      <c r="PO81" s="243"/>
      <c r="PP81" s="242"/>
      <c r="PQ81" s="242"/>
      <c r="PR81" s="242"/>
      <c r="PS81" s="242"/>
      <c r="PT81" s="242"/>
      <c r="PU81" s="244"/>
      <c r="PV81" s="242"/>
      <c r="PW81" s="242"/>
      <c r="PX81" s="242"/>
      <c r="PY81" s="242"/>
      <c r="PZ81" s="242"/>
      <c r="QA81" s="245"/>
      <c r="QB81" s="242"/>
      <c r="QC81" s="242"/>
      <c r="QD81" s="242"/>
      <c r="QE81" s="242"/>
      <c r="QF81" s="242"/>
      <c r="QG81" s="244"/>
      <c r="QH81" s="242"/>
      <c r="QI81" s="242"/>
      <c r="QJ81" s="242"/>
      <c r="QK81" s="242"/>
      <c r="QL81" s="242"/>
      <c r="QM81" s="245"/>
      <c r="QN81" s="242"/>
      <c r="QO81" s="242"/>
      <c r="QP81" s="242"/>
      <c r="QQ81" s="242"/>
      <c r="QR81" s="242"/>
      <c r="QS81" s="244"/>
      <c r="QT81" s="242"/>
      <c r="QU81" s="242"/>
      <c r="QV81" s="242"/>
      <c r="QW81" s="242"/>
      <c r="QX81" s="242"/>
      <c r="QY81" s="245"/>
      <c r="QZ81" s="242"/>
      <c r="RA81" s="242"/>
      <c r="RB81" s="242"/>
      <c r="RC81" s="242"/>
      <c r="RD81" s="242"/>
      <c r="RE81" s="244"/>
      <c r="RF81" s="242"/>
      <c r="RG81" s="242"/>
      <c r="RH81" s="242"/>
      <c r="RI81" s="242"/>
      <c r="RJ81" s="242"/>
      <c r="RK81" s="245"/>
      <c r="RL81" s="242"/>
      <c r="RM81" s="242"/>
      <c r="RN81" s="242"/>
      <c r="RO81" s="242"/>
      <c r="RP81" s="242"/>
      <c r="RQ81" s="246"/>
      <c r="RR81" s="241"/>
      <c r="RS81" s="242"/>
      <c r="RT81" s="242"/>
      <c r="RU81" s="242"/>
      <c r="RV81" s="242"/>
      <c r="RW81" s="243"/>
      <c r="RX81" s="242"/>
      <c r="RY81" s="242"/>
      <c r="RZ81" s="242"/>
      <c r="SA81" s="242"/>
      <c r="SB81" s="242"/>
      <c r="SC81" s="244"/>
      <c r="SD81" s="242"/>
      <c r="SE81" s="242"/>
      <c r="SF81" s="242"/>
      <c r="SG81" s="242"/>
      <c r="SH81" s="242"/>
      <c r="SI81" s="245"/>
      <c r="SJ81" s="242"/>
      <c r="SK81" s="242"/>
      <c r="SL81" s="242"/>
      <c r="SM81" s="242"/>
      <c r="SN81" s="242"/>
      <c r="SO81" s="244"/>
      <c r="SP81" s="242"/>
      <c r="SQ81" s="242"/>
      <c r="SR81" s="242"/>
      <c r="SS81" s="242"/>
      <c r="ST81" s="242"/>
      <c r="SU81" s="245"/>
      <c r="SV81" s="242"/>
      <c r="SW81" s="242"/>
      <c r="SX81" s="242"/>
      <c r="SY81" s="242"/>
      <c r="SZ81" s="242"/>
      <c r="TA81" s="244"/>
      <c r="TB81" s="242"/>
      <c r="TC81" s="242"/>
      <c r="TD81" s="242"/>
      <c r="TE81" s="242"/>
      <c r="TF81" s="242"/>
      <c r="TG81" s="245"/>
      <c r="TH81" s="242"/>
      <c r="TI81" s="242"/>
      <c r="TJ81" s="242"/>
      <c r="TK81" s="242"/>
      <c r="TL81" s="242"/>
      <c r="TM81" s="244"/>
      <c r="TN81" s="242"/>
      <c r="TO81" s="242"/>
      <c r="TP81" s="242"/>
      <c r="TQ81" s="242"/>
      <c r="TR81" s="242"/>
      <c r="TS81" s="245"/>
      <c r="TT81" s="242"/>
      <c r="TU81" s="242"/>
      <c r="TV81" s="242"/>
      <c r="TW81" s="242"/>
      <c r="TX81" s="242"/>
      <c r="TY81" s="246"/>
      <c r="TZ81" s="241"/>
      <c r="UA81" s="242"/>
      <c r="UB81" s="242"/>
      <c r="UC81" s="242"/>
      <c r="UD81" s="242"/>
      <c r="UE81" s="243"/>
      <c r="UF81" s="242"/>
      <c r="UG81" s="242"/>
      <c r="UH81" s="242"/>
      <c r="UI81" s="242"/>
      <c r="UJ81" s="242"/>
      <c r="UK81" s="244"/>
      <c r="UL81" s="242"/>
      <c r="UM81" s="242"/>
      <c r="UN81" s="242"/>
      <c r="UO81" s="242"/>
      <c r="UP81" s="242"/>
      <c r="UQ81" s="245"/>
      <c r="UR81" s="242"/>
      <c r="US81" s="242"/>
      <c r="UT81" s="242"/>
      <c r="UU81" s="242"/>
      <c r="UV81" s="242"/>
      <c r="UW81" s="244"/>
      <c r="UX81" s="242"/>
      <c r="UY81" s="242"/>
      <c r="UZ81" s="242"/>
      <c r="VA81" s="242"/>
      <c r="VB81" s="242"/>
      <c r="VC81" s="245"/>
      <c r="VD81" s="242"/>
      <c r="VE81" s="242"/>
      <c r="VF81" s="242"/>
      <c r="VG81" s="242"/>
      <c r="VH81" s="242"/>
      <c r="VI81" s="244"/>
      <c r="VJ81" s="242"/>
      <c r="VK81" s="242"/>
      <c r="VL81" s="242"/>
      <c r="VM81" s="242"/>
      <c r="VN81" s="242"/>
      <c r="VO81" s="245"/>
      <c r="VP81" s="242"/>
      <c r="VQ81" s="242"/>
      <c r="VR81" s="242"/>
      <c r="VS81" s="242"/>
      <c r="VT81" s="242"/>
      <c r="VU81" s="244"/>
      <c r="VV81" s="242"/>
      <c r="VW81" s="242"/>
      <c r="VX81" s="242"/>
      <c r="VY81" s="242"/>
      <c r="VZ81" s="242"/>
      <c r="WA81" s="245"/>
      <c r="WB81" s="242"/>
      <c r="WC81" s="242"/>
      <c r="WD81" s="242"/>
      <c r="WE81" s="242"/>
      <c r="WF81" s="242"/>
      <c r="WG81" s="246"/>
      <c r="WH81" s="241"/>
      <c r="WI81" s="242"/>
      <c r="WJ81" s="242"/>
      <c r="WK81" s="242"/>
      <c r="WL81" s="242"/>
      <c r="WM81" s="243"/>
      <c r="WN81" s="242"/>
      <c r="WO81" s="242"/>
      <c r="WP81" s="242"/>
      <c r="WQ81" s="242"/>
      <c r="WR81" s="242"/>
      <c r="WS81" s="244"/>
      <c r="WT81" s="242"/>
      <c r="WU81" s="242"/>
      <c r="WV81" s="242"/>
      <c r="WW81" s="242"/>
      <c r="WX81" s="242"/>
      <c r="WY81" s="245"/>
      <c r="WZ81" s="242"/>
      <c r="XA81" s="242"/>
      <c r="XB81" s="242"/>
      <c r="XC81" s="242"/>
      <c r="XD81" s="242"/>
      <c r="XE81" s="244"/>
      <c r="XF81" s="242"/>
      <c r="XG81" s="242"/>
      <c r="XH81" s="242"/>
      <c r="XI81" s="242"/>
      <c r="XJ81" s="242"/>
      <c r="XK81" s="245"/>
      <c r="XL81" s="242"/>
      <c r="XM81" s="242"/>
      <c r="XN81" s="242"/>
      <c r="XO81" s="242"/>
      <c r="XP81" s="242"/>
      <c r="XQ81" s="244"/>
      <c r="XR81" s="242"/>
      <c r="XS81" s="242"/>
      <c r="XT81" s="242"/>
      <c r="XU81" s="242"/>
      <c r="XV81" s="242"/>
      <c r="XW81" s="245"/>
      <c r="XX81" s="242"/>
      <c r="XY81" s="242"/>
      <c r="XZ81" s="242"/>
      <c r="YA81" s="242"/>
      <c r="YB81" s="242"/>
      <c r="YC81" s="244"/>
      <c r="YD81" s="242"/>
      <c r="YE81" s="242"/>
      <c r="YF81" s="242"/>
      <c r="YG81" s="242"/>
      <c r="YH81" s="242"/>
      <c r="YI81" s="245"/>
      <c r="YJ81" s="242"/>
      <c r="YK81" s="242"/>
      <c r="YL81" s="242"/>
      <c r="YM81" s="242"/>
      <c r="YN81" s="242"/>
      <c r="YO81" s="246"/>
      <c r="YP81" s="241"/>
      <c r="YQ81" s="242"/>
      <c r="YR81" s="242"/>
      <c r="YS81" s="242"/>
      <c r="YT81" s="242"/>
      <c r="YU81" s="243"/>
      <c r="YV81" s="242"/>
      <c r="YW81" s="242"/>
      <c r="YX81" s="242"/>
      <c r="YY81" s="242"/>
      <c r="YZ81" s="242"/>
      <c r="ZA81" s="244"/>
      <c r="ZB81" s="242"/>
      <c r="ZC81" s="242"/>
      <c r="ZD81" s="242"/>
      <c r="ZE81" s="242"/>
      <c r="ZF81" s="242"/>
      <c r="ZG81" s="245"/>
      <c r="ZH81" s="242"/>
      <c r="ZI81" s="242"/>
      <c r="ZJ81" s="242"/>
      <c r="ZK81" s="242"/>
      <c r="ZL81" s="242"/>
      <c r="ZM81" s="244"/>
      <c r="ZN81" s="242"/>
      <c r="ZO81" s="242"/>
      <c r="ZP81" s="242"/>
      <c r="ZQ81" s="242"/>
      <c r="ZR81" s="242"/>
      <c r="ZS81" s="245"/>
      <c r="ZT81" s="242"/>
      <c r="ZU81" s="242"/>
      <c r="ZV81" s="242"/>
      <c r="ZW81" s="242"/>
      <c r="ZX81" s="242"/>
      <c r="ZY81" s="244"/>
      <c r="ZZ81" s="242"/>
      <c r="AAA81" s="242"/>
      <c r="AAB81" s="242"/>
      <c r="AAC81" s="242"/>
      <c r="AAD81" s="242"/>
      <c r="AAE81" s="245"/>
      <c r="AAF81" s="242"/>
      <c r="AAG81" s="242"/>
      <c r="AAH81" s="242"/>
      <c r="AAI81" s="242"/>
      <c r="AAJ81" s="242"/>
      <c r="AAK81" s="244"/>
      <c r="AAL81" s="242"/>
      <c r="AAM81" s="242"/>
      <c r="AAN81" s="242"/>
      <c r="AAO81" s="242"/>
      <c r="AAP81" s="242"/>
      <c r="AAQ81" s="245"/>
      <c r="AAR81" s="242"/>
      <c r="AAS81" s="242"/>
      <c r="AAT81" s="242"/>
      <c r="AAU81" s="242"/>
      <c r="AAV81" s="242"/>
      <c r="AAW81" s="246"/>
      <c r="AAX81" s="241"/>
      <c r="AAY81" s="242"/>
      <c r="AAZ81" s="242"/>
      <c r="ABA81" s="242"/>
      <c r="ABB81" s="242"/>
      <c r="ABC81" s="243"/>
      <c r="ABD81" s="242"/>
      <c r="ABE81" s="242"/>
      <c r="ABF81" s="242"/>
      <c r="ABG81" s="242"/>
      <c r="ABH81" s="242"/>
      <c r="ABI81" s="244"/>
      <c r="ABJ81" s="242"/>
      <c r="ABK81" s="242"/>
      <c r="ABL81" s="242"/>
      <c r="ABM81" s="242"/>
      <c r="ABN81" s="242"/>
      <c r="ABO81" s="245"/>
      <c r="ABP81" s="242"/>
      <c r="ABQ81" s="242"/>
      <c r="ABR81" s="242"/>
      <c r="ABS81" s="242"/>
      <c r="ABT81" s="242"/>
      <c r="ABU81" s="244"/>
      <c r="ABV81" s="242"/>
      <c r="ABW81" s="242"/>
      <c r="ABX81" s="242"/>
      <c r="ABY81" s="242"/>
      <c r="ABZ81" s="242"/>
      <c r="ACA81" s="245"/>
      <c r="ACB81" s="242"/>
      <c r="ACC81" s="242"/>
      <c r="ACD81" s="242"/>
      <c r="ACE81" s="242"/>
      <c r="ACF81" s="242"/>
      <c r="ACG81" s="244"/>
      <c r="ACH81" s="242"/>
      <c r="ACI81" s="242"/>
      <c r="ACJ81" s="242"/>
      <c r="ACK81" s="242"/>
      <c r="ACL81" s="242"/>
      <c r="ACM81" s="245"/>
      <c r="ACN81" s="242"/>
      <c r="ACO81" s="242"/>
      <c r="ACP81" s="242"/>
      <c r="ACQ81" s="242"/>
      <c r="ACR81" s="242"/>
      <c r="ACS81" s="244"/>
      <c r="ACT81" s="242"/>
      <c r="ACU81" s="242"/>
      <c r="ACV81" s="242"/>
      <c r="ACW81" s="242"/>
      <c r="ACX81" s="242"/>
      <c r="ACY81" s="245"/>
      <c r="ACZ81" s="242"/>
      <c r="ADA81" s="242"/>
      <c r="ADB81" s="242"/>
      <c r="ADC81" s="242"/>
      <c r="ADD81" s="242"/>
      <c r="ADE81" s="246"/>
      <c r="ADF81" s="241"/>
      <c r="ADG81" s="242"/>
      <c r="ADH81" s="242"/>
      <c r="ADI81" s="242"/>
      <c r="ADJ81" s="242"/>
      <c r="ADK81" s="243"/>
      <c r="ADL81" s="242"/>
      <c r="ADM81" s="242"/>
      <c r="ADN81" s="242"/>
      <c r="ADO81" s="242"/>
      <c r="ADP81" s="242"/>
      <c r="ADQ81" s="244"/>
      <c r="ADR81" s="242"/>
      <c r="ADS81" s="242"/>
      <c r="ADT81" s="242"/>
      <c r="ADU81" s="242"/>
      <c r="ADV81" s="242"/>
      <c r="ADW81" s="245"/>
      <c r="ADX81" s="242"/>
      <c r="ADY81" s="242"/>
      <c r="ADZ81" s="242"/>
      <c r="AEA81" s="242"/>
      <c r="AEB81" s="242"/>
      <c r="AEC81" s="244"/>
      <c r="AED81" s="242"/>
      <c r="AEE81" s="242"/>
      <c r="AEF81" s="242"/>
      <c r="AEG81" s="242"/>
      <c r="AEH81" s="242"/>
      <c r="AEI81" s="245"/>
      <c r="AEJ81" s="242"/>
      <c r="AEK81" s="242"/>
      <c r="AEL81" s="242"/>
      <c r="AEM81" s="242"/>
      <c r="AEN81" s="242"/>
      <c r="AEO81" s="244"/>
      <c r="AEP81" s="242"/>
      <c r="AEQ81" s="242"/>
      <c r="AER81" s="242"/>
      <c r="AES81" s="242"/>
      <c r="AET81" s="242"/>
      <c r="AEU81" s="245"/>
      <c r="AEV81" s="242"/>
      <c r="AEW81" s="242"/>
      <c r="AEX81" s="242"/>
      <c r="AEY81" s="242"/>
      <c r="AEZ81" s="242"/>
      <c r="AFA81" s="244"/>
      <c r="AFB81" s="242"/>
      <c r="AFC81" s="242"/>
      <c r="AFD81" s="242"/>
      <c r="AFE81" s="242"/>
      <c r="AFF81" s="242"/>
      <c r="AFG81" s="245"/>
      <c r="AFH81" s="242"/>
      <c r="AFI81" s="242"/>
      <c r="AFJ81" s="242"/>
      <c r="AFK81" s="242"/>
      <c r="AFL81" s="242"/>
      <c r="AFM81" s="246"/>
      <c r="AFN81" s="241"/>
      <c r="AFO81" s="242"/>
      <c r="AFP81" s="242"/>
      <c r="AFQ81" s="242"/>
      <c r="AFR81" s="242"/>
      <c r="AFS81" s="243"/>
      <c r="AFT81" s="242"/>
      <c r="AFU81" s="242"/>
      <c r="AFV81" s="242"/>
      <c r="AFW81" s="242"/>
      <c r="AFX81" s="242"/>
      <c r="AFY81" s="244"/>
      <c r="AFZ81" s="242"/>
      <c r="AGA81" s="242"/>
      <c r="AGB81" s="242"/>
      <c r="AGC81" s="242"/>
      <c r="AGD81" s="242"/>
      <c r="AGE81" s="245"/>
      <c r="AGF81" s="242"/>
      <c r="AGG81" s="242"/>
      <c r="AGH81" s="242"/>
      <c r="AGI81" s="242"/>
      <c r="AGJ81" s="242"/>
      <c r="AGK81" s="244"/>
      <c r="AGL81" s="242"/>
      <c r="AGM81" s="242"/>
      <c r="AGN81" s="242"/>
      <c r="AGO81" s="242"/>
      <c r="AGP81" s="242"/>
      <c r="AGQ81" s="245"/>
      <c r="AGR81" s="242"/>
      <c r="AGS81" s="242"/>
      <c r="AGT81" s="242"/>
      <c r="AGU81" s="242"/>
      <c r="AGV81" s="242"/>
      <c r="AGW81" s="244"/>
      <c r="AGX81" s="242"/>
      <c r="AGY81" s="242"/>
      <c r="AGZ81" s="242"/>
      <c r="AHA81" s="242"/>
      <c r="AHB81" s="242"/>
      <c r="AHC81" s="245"/>
      <c r="AHD81" s="242"/>
      <c r="AHE81" s="242"/>
      <c r="AHF81" s="242"/>
      <c r="AHG81" s="242"/>
      <c r="AHH81" s="242"/>
      <c r="AHI81" s="244"/>
      <c r="AHJ81" s="242"/>
      <c r="AHK81" s="242"/>
      <c r="AHL81" s="242"/>
      <c r="AHM81" s="242"/>
      <c r="AHN81" s="242"/>
      <c r="AHO81" s="245"/>
      <c r="AHP81" s="242"/>
      <c r="AHQ81" s="242"/>
      <c r="AHR81" s="242"/>
      <c r="AHS81" s="242"/>
      <c r="AHT81" s="242"/>
      <c r="AHU81" s="246"/>
      <c r="AHV81" s="241"/>
      <c r="AHW81" s="242"/>
      <c r="AHX81" s="242"/>
      <c r="AHY81" s="242"/>
      <c r="AHZ81" s="242"/>
      <c r="AIA81" s="243"/>
      <c r="AIB81" s="242"/>
      <c r="AIC81" s="242"/>
      <c r="AID81" s="242"/>
      <c r="AIE81" s="242"/>
      <c r="AIF81" s="242"/>
      <c r="AIG81" s="244"/>
      <c r="AIH81" s="242"/>
      <c r="AII81" s="242"/>
      <c r="AIJ81" s="242"/>
      <c r="AIK81" s="242"/>
      <c r="AIL81" s="242"/>
      <c r="AIM81" s="245"/>
      <c r="AIN81" s="242"/>
      <c r="AIO81" s="242"/>
      <c r="AIP81" s="242"/>
      <c r="AIQ81" s="242"/>
      <c r="AIR81" s="242"/>
      <c r="AIS81" s="244"/>
      <c r="AIT81" s="242"/>
      <c r="AIU81" s="242"/>
      <c r="AIV81" s="242"/>
      <c r="AIW81" s="242"/>
      <c r="AIX81" s="242"/>
      <c r="AIY81" s="245"/>
      <c r="AIZ81" s="242"/>
      <c r="AJA81" s="242"/>
      <c r="AJB81" s="242"/>
      <c r="AJC81" s="242"/>
      <c r="AJD81" s="242"/>
      <c r="AJE81" s="244"/>
      <c r="AJF81" s="242"/>
      <c r="AJG81" s="242"/>
      <c r="AJH81" s="242"/>
      <c r="AJI81" s="242"/>
      <c r="AJJ81" s="242"/>
      <c r="AJK81" s="245"/>
      <c r="AJL81" s="242"/>
      <c r="AJM81" s="242"/>
      <c r="AJN81" s="242"/>
      <c r="AJO81" s="242"/>
      <c r="AJP81" s="242"/>
      <c r="AJQ81" s="244"/>
      <c r="AJR81" s="242"/>
      <c r="AJS81" s="242"/>
      <c r="AJT81" s="242"/>
      <c r="AJU81" s="242"/>
      <c r="AJV81" s="242"/>
      <c r="AJW81" s="245"/>
      <c r="AJX81" s="242"/>
      <c r="AJY81" s="242"/>
      <c r="AJZ81" s="242"/>
      <c r="AKA81" s="242"/>
      <c r="AKB81" s="242"/>
      <c r="AKC81" s="246"/>
      <c r="AKD81" s="241"/>
      <c r="AKE81" s="242"/>
      <c r="AKF81" s="242"/>
      <c r="AKG81" s="242"/>
      <c r="AKH81" s="242"/>
      <c r="AKI81" s="243"/>
      <c r="AKJ81" s="242"/>
      <c r="AKK81" s="242"/>
      <c r="AKL81" s="242"/>
      <c r="AKM81" s="242"/>
      <c r="AKN81" s="242"/>
      <c r="AKO81" s="244"/>
      <c r="AKP81" s="242"/>
      <c r="AKQ81" s="242"/>
      <c r="AKR81" s="242"/>
      <c r="AKS81" s="242"/>
      <c r="AKT81" s="242"/>
      <c r="AKU81" s="245"/>
      <c r="AKV81" s="242"/>
      <c r="AKW81" s="242"/>
      <c r="AKX81" s="242"/>
      <c r="AKY81" s="242"/>
      <c r="AKZ81" s="242"/>
      <c r="ALA81" s="244"/>
      <c r="ALB81" s="242"/>
      <c r="ALC81" s="242"/>
      <c r="ALD81" s="242"/>
      <c r="ALE81" s="242"/>
      <c r="ALF81" s="242"/>
      <c r="ALG81" s="245"/>
      <c r="ALH81" s="242"/>
      <c r="ALI81" s="242"/>
      <c r="ALJ81" s="242"/>
      <c r="ALK81" s="242"/>
      <c r="ALL81" s="242"/>
      <c r="ALM81" s="244"/>
      <c r="ALN81" s="242"/>
      <c r="ALO81" s="242"/>
      <c r="ALP81" s="242"/>
      <c r="ALQ81" s="242"/>
      <c r="ALR81" s="242"/>
      <c r="ALS81" s="245"/>
      <c r="ALT81" s="242"/>
      <c r="ALU81" s="242"/>
      <c r="ALV81" s="242"/>
      <c r="ALW81" s="242"/>
      <c r="ALX81" s="242"/>
      <c r="ALY81" s="244"/>
      <c r="ALZ81" s="242"/>
      <c r="AMA81" s="242"/>
      <c r="AMB81" s="242"/>
      <c r="AMC81" s="242"/>
      <c r="AMD81" s="242"/>
      <c r="AME81" s="245"/>
      <c r="AMF81" s="242"/>
      <c r="AMG81" s="242"/>
      <c r="AMH81" s="242"/>
      <c r="AMI81" s="242"/>
      <c r="AMJ81" s="242"/>
      <c r="AMK81" s="246"/>
      <c r="AML81" s="241"/>
      <c r="AMM81" s="242"/>
      <c r="AMN81" s="242"/>
      <c r="AMO81" s="242"/>
      <c r="AMP81" s="242"/>
      <c r="AMQ81" s="243"/>
      <c r="AMR81" s="242"/>
      <c r="AMS81" s="242"/>
      <c r="AMT81" s="242"/>
      <c r="AMU81" s="242"/>
      <c r="AMV81" s="242"/>
      <c r="AMW81" s="244"/>
      <c r="AMX81" s="242"/>
      <c r="AMY81" s="242"/>
      <c r="AMZ81" s="242"/>
      <c r="ANA81" s="242"/>
      <c r="ANB81" s="242"/>
      <c r="ANC81" s="245"/>
      <c r="AND81" s="242"/>
      <c r="ANE81" s="242"/>
      <c r="ANF81" s="242"/>
      <c r="ANG81" s="242"/>
      <c r="ANH81" s="242"/>
      <c r="ANI81" s="244"/>
      <c r="ANJ81" s="242"/>
      <c r="ANK81" s="242"/>
      <c r="ANL81" s="242"/>
      <c r="ANM81" s="242"/>
      <c r="ANN81" s="242"/>
      <c r="ANO81" s="245"/>
      <c r="ANP81" s="242"/>
      <c r="ANQ81" s="242"/>
      <c r="ANR81" s="242"/>
      <c r="ANS81" s="242"/>
      <c r="ANT81" s="242"/>
      <c r="ANU81" s="244"/>
      <c r="ANV81" s="242"/>
      <c r="ANW81" s="242"/>
      <c r="ANX81" s="242"/>
      <c r="ANY81" s="242"/>
      <c r="ANZ81" s="242"/>
      <c r="AOA81" s="245"/>
      <c r="AOB81" s="242"/>
      <c r="AOC81" s="242"/>
      <c r="AOD81" s="242"/>
      <c r="AOE81" s="242"/>
      <c r="AOF81" s="242"/>
      <c r="AOG81" s="244"/>
      <c r="AOH81" s="242"/>
      <c r="AOI81" s="242"/>
      <c r="AOJ81" s="242"/>
      <c r="AOK81" s="242"/>
      <c r="AOL81" s="242"/>
      <c r="AOM81" s="245"/>
      <c r="AON81" s="242"/>
      <c r="AOO81" s="242"/>
      <c r="AOP81" s="242"/>
      <c r="AOQ81" s="242"/>
      <c r="AOR81" s="242"/>
      <c r="AOS81" s="246"/>
      <c r="AOT81" s="241"/>
      <c r="AOU81" s="242"/>
      <c r="AOV81" s="242"/>
      <c r="AOW81" s="242"/>
      <c r="AOX81" s="242"/>
      <c r="AOY81" s="243"/>
      <c r="AOZ81" s="242"/>
      <c r="APA81" s="242"/>
      <c r="APB81" s="242"/>
      <c r="APC81" s="242"/>
      <c r="APD81" s="242"/>
      <c r="APE81" s="244"/>
      <c r="APF81" s="242"/>
      <c r="APG81" s="242"/>
      <c r="APH81" s="242"/>
      <c r="API81" s="242"/>
      <c r="APJ81" s="242"/>
      <c r="APK81" s="245"/>
      <c r="APL81" s="242"/>
      <c r="APM81" s="242"/>
      <c r="APN81" s="242"/>
      <c r="APO81" s="242"/>
      <c r="APP81" s="242"/>
      <c r="APQ81" s="244"/>
      <c r="APR81" s="242"/>
      <c r="APS81" s="242"/>
      <c r="APT81" s="242"/>
      <c r="APU81" s="242"/>
      <c r="APV81" s="242"/>
      <c r="APW81" s="245"/>
      <c r="APX81" s="242"/>
      <c r="APY81" s="242"/>
      <c r="APZ81" s="242"/>
      <c r="AQA81" s="242"/>
      <c r="AQB81" s="242"/>
      <c r="AQC81" s="244"/>
      <c r="AQD81" s="242"/>
      <c r="AQE81" s="242"/>
      <c r="AQF81" s="242"/>
      <c r="AQG81" s="242"/>
      <c r="AQH81" s="242"/>
      <c r="AQI81" s="245"/>
      <c r="AQJ81" s="242"/>
      <c r="AQK81" s="242"/>
      <c r="AQL81" s="242"/>
      <c r="AQM81" s="242"/>
      <c r="AQN81" s="242"/>
      <c r="AQO81" s="244"/>
      <c r="AQP81" s="242"/>
      <c r="AQQ81" s="242"/>
      <c r="AQR81" s="242"/>
      <c r="AQS81" s="242"/>
      <c r="AQT81" s="242"/>
      <c r="AQU81" s="245"/>
      <c r="AQV81" s="242"/>
      <c r="AQW81" s="242"/>
      <c r="AQX81" s="242"/>
      <c r="AQY81" s="242"/>
      <c r="AQZ81" s="242"/>
      <c r="ARA81" s="246"/>
      <c r="ARB81" s="241"/>
      <c r="ARC81" s="242"/>
      <c r="ARD81" s="242"/>
      <c r="ARE81" s="242"/>
      <c r="ARF81" s="242"/>
      <c r="ARG81" s="243"/>
      <c r="ARH81" s="242"/>
      <c r="ARI81" s="242"/>
      <c r="ARJ81" s="242"/>
      <c r="ARK81" s="242"/>
      <c r="ARL81" s="242"/>
      <c r="ARM81" s="244"/>
      <c r="ARN81" s="242"/>
      <c r="ARO81" s="242"/>
      <c r="ARP81" s="242"/>
      <c r="ARQ81" s="242"/>
      <c r="ARR81" s="242"/>
      <c r="ARS81" s="245"/>
      <c r="ART81" s="242"/>
      <c r="ARU81" s="242"/>
      <c r="ARV81" s="242"/>
      <c r="ARW81" s="242"/>
      <c r="ARX81" s="242"/>
      <c r="ARY81" s="244"/>
      <c r="ARZ81" s="242"/>
      <c r="ASA81" s="242"/>
      <c r="ASB81" s="242"/>
      <c r="ASC81" s="242"/>
      <c r="ASD81" s="242"/>
      <c r="ASE81" s="245"/>
      <c r="ASF81" s="242"/>
      <c r="ASG81" s="242"/>
      <c r="ASH81" s="242"/>
      <c r="ASI81" s="242"/>
      <c r="ASJ81" s="242"/>
      <c r="ASK81" s="244"/>
      <c r="ASL81" s="242"/>
      <c r="ASM81" s="242"/>
      <c r="ASN81" s="242"/>
      <c r="ASO81" s="242"/>
      <c r="ASP81" s="242"/>
      <c r="ASQ81" s="245"/>
      <c r="ASR81" s="242"/>
      <c r="ASS81" s="242"/>
      <c r="AST81" s="242"/>
      <c r="ASU81" s="242"/>
      <c r="ASV81" s="242"/>
      <c r="ASW81" s="244"/>
      <c r="ASX81" s="242"/>
      <c r="ASY81" s="242"/>
      <c r="ASZ81" s="242"/>
      <c r="ATA81" s="242"/>
      <c r="ATB81" s="242"/>
      <c r="ATC81" s="245"/>
      <c r="ATD81" s="242"/>
      <c r="ATE81" s="242"/>
      <c r="ATF81" s="242"/>
      <c r="ATG81" s="242"/>
      <c r="ATH81" s="242"/>
      <c r="ATI81" s="246"/>
      <c r="ATJ81" s="241"/>
      <c r="ATK81" s="242"/>
      <c r="ATL81" s="242"/>
      <c r="ATM81" s="242"/>
      <c r="ATN81" s="242"/>
      <c r="ATO81" s="243"/>
      <c r="ATP81" s="242"/>
      <c r="ATQ81" s="242"/>
      <c r="ATR81" s="242"/>
      <c r="ATS81" s="242"/>
      <c r="ATT81" s="242"/>
      <c r="ATU81" s="244"/>
      <c r="ATV81" s="242"/>
      <c r="ATW81" s="242"/>
      <c r="ATX81" s="242"/>
      <c r="ATY81" s="242"/>
      <c r="ATZ81" s="242"/>
      <c r="AUA81" s="245"/>
      <c r="AUB81" s="242"/>
      <c r="AUC81" s="242"/>
      <c r="AUD81" s="242"/>
      <c r="AUE81" s="242"/>
      <c r="AUF81" s="242"/>
      <c r="AUG81" s="244"/>
      <c r="AUH81" s="242"/>
      <c r="AUI81" s="242"/>
      <c r="AUJ81" s="242"/>
      <c r="AUK81" s="242"/>
      <c r="AUL81" s="242"/>
      <c r="AUM81" s="245"/>
      <c r="AUN81" s="242"/>
      <c r="AUO81" s="242"/>
      <c r="AUP81" s="242"/>
      <c r="AUQ81" s="242"/>
      <c r="AUR81" s="242"/>
      <c r="AUS81" s="244"/>
      <c r="AUT81" s="242"/>
      <c r="AUU81" s="242"/>
      <c r="AUV81" s="242"/>
      <c r="AUW81" s="242"/>
      <c r="AUX81" s="242"/>
      <c r="AUY81" s="245"/>
      <c r="AUZ81" s="242"/>
      <c r="AVA81" s="242"/>
      <c r="AVB81" s="242"/>
      <c r="AVC81" s="242"/>
      <c r="AVD81" s="242"/>
      <c r="AVE81" s="244"/>
      <c r="AVF81" s="242"/>
      <c r="AVG81" s="242"/>
      <c r="AVH81" s="242"/>
      <c r="AVI81" s="242"/>
      <c r="AVJ81" s="242"/>
      <c r="AVK81" s="245"/>
      <c r="AVL81" s="242"/>
      <c r="AVM81" s="242"/>
      <c r="AVN81" s="242"/>
      <c r="AVO81" s="242"/>
      <c r="AVP81" s="242"/>
      <c r="AVQ81" s="246"/>
      <c r="AVR81" s="241"/>
      <c r="AVS81" s="242"/>
      <c r="AVT81" s="242"/>
      <c r="AVU81" s="242"/>
      <c r="AVV81" s="242"/>
      <c r="AVW81" s="243"/>
      <c r="AVX81" s="242"/>
      <c r="AVY81" s="242"/>
      <c r="AVZ81" s="242"/>
      <c r="AWA81" s="242"/>
      <c r="AWB81" s="242"/>
      <c r="AWC81" s="244"/>
      <c r="AWD81" s="242"/>
      <c r="AWE81" s="242"/>
      <c r="AWF81" s="242"/>
      <c r="AWG81" s="242"/>
      <c r="AWH81" s="242"/>
      <c r="AWI81" s="245"/>
      <c r="AWJ81" s="242"/>
      <c r="AWK81" s="242"/>
      <c r="AWL81" s="242"/>
      <c r="AWM81" s="242"/>
      <c r="AWN81" s="242"/>
      <c r="AWO81" s="244"/>
      <c r="AWP81" s="242"/>
      <c r="AWQ81" s="242"/>
      <c r="AWR81" s="242"/>
      <c r="AWS81" s="242"/>
      <c r="AWT81" s="242"/>
      <c r="AWU81" s="245"/>
      <c r="AWV81" s="242"/>
      <c r="AWW81" s="242"/>
      <c r="AWX81" s="242"/>
      <c r="AWY81" s="242"/>
      <c r="AWZ81" s="242"/>
      <c r="AXA81" s="244"/>
      <c r="AXB81" s="242"/>
      <c r="AXC81" s="242"/>
      <c r="AXD81" s="242"/>
      <c r="AXE81" s="242"/>
      <c r="AXF81" s="242"/>
      <c r="AXG81" s="245"/>
      <c r="AXH81" s="242"/>
      <c r="AXI81" s="242"/>
      <c r="AXJ81" s="242"/>
      <c r="AXK81" s="242"/>
      <c r="AXL81" s="242"/>
      <c r="AXM81" s="244"/>
      <c r="AXN81" s="242"/>
      <c r="AXO81" s="242"/>
      <c r="AXP81" s="242"/>
      <c r="AXQ81" s="242"/>
      <c r="AXR81" s="242"/>
      <c r="AXS81" s="245"/>
      <c r="AXT81" s="242"/>
      <c r="AXU81" s="242"/>
      <c r="AXV81" s="242"/>
      <c r="AXW81" s="242"/>
      <c r="AXX81" s="242"/>
      <c r="AXY81" s="246"/>
      <c r="AXZ81" s="241"/>
      <c r="AYA81" s="242"/>
      <c r="AYB81" s="242"/>
      <c r="AYC81" s="242"/>
      <c r="AYD81" s="242"/>
      <c r="AYE81" s="243"/>
      <c r="AYF81" s="242"/>
      <c r="AYG81" s="242"/>
      <c r="AYH81" s="242"/>
      <c r="AYI81" s="242"/>
      <c r="AYJ81" s="242"/>
      <c r="AYK81" s="244"/>
      <c r="AYL81" s="242"/>
      <c r="AYM81" s="242"/>
      <c r="AYN81" s="242"/>
      <c r="AYO81" s="242"/>
      <c r="AYP81" s="242"/>
      <c r="AYQ81" s="245"/>
      <c r="AYR81" s="242"/>
      <c r="AYS81" s="242"/>
      <c r="AYT81" s="242"/>
      <c r="AYU81" s="242"/>
      <c r="AYV81" s="242"/>
      <c r="AYW81" s="244"/>
      <c r="AYX81" s="242"/>
      <c r="AYY81" s="242"/>
      <c r="AYZ81" s="242"/>
      <c r="AZA81" s="242"/>
      <c r="AZB81" s="242"/>
      <c r="AZC81" s="245"/>
      <c r="AZD81" s="242"/>
      <c r="AZE81" s="242"/>
      <c r="AZF81" s="242"/>
      <c r="AZG81" s="242"/>
      <c r="AZH81" s="242"/>
      <c r="AZI81" s="244"/>
      <c r="AZJ81" s="242"/>
      <c r="AZK81" s="242"/>
      <c r="AZL81" s="242"/>
      <c r="AZM81" s="242"/>
      <c r="AZN81" s="242"/>
      <c r="AZO81" s="245"/>
      <c r="AZP81" s="242"/>
      <c r="AZQ81" s="242"/>
      <c r="AZR81" s="242"/>
      <c r="AZS81" s="242"/>
      <c r="AZT81" s="242"/>
      <c r="AZU81" s="244"/>
      <c r="AZV81" s="242"/>
      <c r="AZW81" s="242"/>
      <c r="AZX81" s="242"/>
      <c r="AZY81" s="242"/>
      <c r="AZZ81" s="242"/>
      <c r="BAA81" s="245"/>
      <c r="BAB81" s="242"/>
      <c r="BAC81" s="242"/>
      <c r="BAD81" s="242"/>
      <c r="BAE81" s="242"/>
      <c r="BAF81" s="242"/>
      <c r="BAG81" s="246"/>
      <c r="BAH81" s="241"/>
      <c r="BAI81" s="242"/>
      <c r="BAJ81" s="242"/>
      <c r="BAK81" s="242"/>
      <c r="BAL81" s="242"/>
      <c r="BAM81" s="243"/>
      <c r="BAN81" s="242"/>
      <c r="BAO81" s="242"/>
      <c r="BAP81" s="242"/>
      <c r="BAQ81" s="242"/>
      <c r="BAR81" s="242"/>
      <c r="BAS81" s="244"/>
      <c r="BAT81" s="242"/>
      <c r="BAU81" s="242"/>
      <c r="BAV81" s="242"/>
      <c r="BAW81" s="242"/>
      <c r="BAX81" s="242"/>
      <c r="BAY81" s="245"/>
      <c r="BAZ81" s="242"/>
      <c r="BBA81" s="242"/>
      <c r="BBB81" s="242"/>
      <c r="BBC81" s="242"/>
      <c r="BBD81" s="242"/>
      <c r="BBE81" s="244"/>
      <c r="BBF81" s="242"/>
      <c r="BBG81" s="242"/>
      <c r="BBH81" s="242"/>
      <c r="BBI81" s="242"/>
      <c r="BBJ81" s="242"/>
      <c r="BBK81" s="245"/>
      <c r="BBL81" s="242"/>
      <c r="BBM81" s="242"/>
      <c r="BBN81" s="242"/>
      <c r="BBO81" s="242"/>
      <c r="BBP81" s="242"/>
      <c r="BBQ81" s="244"/>
      <c r="BBR81" s="242"/>
      <c r="BBS81" s="242"/>
      <c r="BBT81" s="242"/>
      <c r="BBU81" s="242"/>
      <c r="BBV81" s="242"/>
      <c r="BBW81" s="245"/>
      <c r="BBX81" s="242"/>
      <c r="BBY81" s="242"/>
      <c r="BBZ81" s="242"/>
      <c r="BCA81" s="242"/>
      <c r="BCB81" s="242"/>
      <c r="BCC81" s="244"/>
      <c r="BCD81" s="242"/>
      <c r="BCE81" s="242"/>
      <c r="BCF81" s="242"/>
      <c r="BCG81" s="242"/>
      <c r="BCH81" s="242"/>
      <c r="BCI81" s="245"/>
      <c r="BCJ81" s="242"/>
      <c r="BCK81" s="242"/>
      <c r="BCL81" s="242"/>
      <c r="BCM81" s="242"/>
      <c r="BCN81" s="242"/>
      <c r="BCO81" s="246"/>
      <c r="BCP81" s="241"/>
      <c r="BCQ81" s="242"/>
      <c r="BCR81" s="242"/>
      <c r="BCS81" s="242"/>
      <c r="BCT81" s="242"/>
      <c r="BCU81" s="243"/>
      <c r="BCV81" s="242"/>
      <c r="BCW81" s="242"/>
      <c r="BCX81" s="242"/>
      <c r="BCY81" s="242"/>
      <c r="BCZ81" s="242"/>
      <c r="BDA81" s="244"/>
      <c r="BDB81" s="242"/>
      <c r="BDC81" s="242"/>
      <c r="BDD81" s="242"/>
      <c r="BDE81" s="242"/>
      <c r="BDF81" s="242"/>
      <c r="BDG81" s="245"/>
      <c r="BDH81" s="242"/>
      <c r="BDI81" s="242"/>
      <c r="BDJ81" s="242"/>
      <c r="BDK81" s="242"/>
      <c r="BDL81" s="242"/>
      <c r="BDM81" s="244"/>
      <c r="BDN81" s="242"/>
      <c r="BDO81" s="242"/>
      <c r="BDP81" s="242"/>
      <c r="BDQ81" s="242"/>
      <c r="BDR81" s="242"/>
      <c r="BDS81" s="245"/>
      <c r="BDT81" s="242"/>
      <c r="BDU81" s="242"/>
      <c r="BDV81" s="242"/>
      <c r="BDW81" s="242"/>
      <c r="BDX81" s="242"/>
      <c r="BDY81" s="244"/>
      <c r="BDZ81" s="242"/>
      <c r="BEA81" s="242"/>
      <c r="BEB81" s="242"/>
      <c r="BEC81" s="242"/>
      <c r="BED81" s="242"/>
      <c r="BEE81" s="245"/>
      <c r="BEF81" s="242"/>
      <c r="BEG81" s="242"/>
      <c r="BEH81" s="242"/>
      <c r="BEI81" s="242"/>
      <c r="BEJ81" s="242"/>
      <c r="BEK81" s="244"/>
      <c r="BEL81" s="242"/>
      <c r="BEM81" s="242"/>
      <c r="BEN81" s="242"/>
      <c r="BEO81" s="242"/>
      <c r="BEP81" s="242"/>
      <c r="BEQ81" s="245"/>
      <c r="BER81" s="242"/>
      <c r="BES81" s="242"/>
      <c r="BET81" s="242"/>
      <c r="BEU81" s="242"/>
      <c r="BEV81" s="242"/>
      <c r="BEW81" s="246"/>
      <c r="BEX81" s="241"/>
      <c r="BEY81" s="242"/>
      <c r="BEZ81" s="242"/>
      <c r="BFA81" s="242"/>
      <c r="BFB81" s="242"/>
      <c r="BFC81" s="243"/>
      <c r="BFD81" s="242"/>
      <c r="BFE81" s="242"/>
      <c r="BFF81" s="242"/>
      <c r="BFG81" s="242"/>
      <c r="BFH81" s="242"/>
      <c r="BFI81" s="244"/>
      <c r="BFJ81" s="242"/>
      <c r="BFK81" s="242"/>
      <c r="BFL81" s="242"/>
      <c r="BFM81" s="242"/>
      <c r="BFN81" s="242"/>
      <c r="BFO81" s="245"/>
      <c r="BFP81" s="242"/>
      <c r="BFQ81" s="242"/>
      <c r="BFR81" s="242"/>
      <c r="BFS81" s="242"/>
      <c r="BFT81" s="242"/>
      <c r="BFU81" s="244"/>
      <c r="BFV81" s="242"/>
      <c r="BFW81" s="242"/>
      <c r="BFX81" s="242"/>
      <c r="BFY81" s="242"/>
      <c r="BFZ81" s="242"/>
      <c r="BGA81" s="245"/>
      <c r="BGB81" s="242"/>
      <c r="BGC81" s="242"/>
      <c r="BGD81" s="242"/>
      <c r="BGE81" s="242"/>
      <c r="BGF81" s="242"/>
      <c r="BGG81" s="244"/>
      <c r="BGH81" s="242"/>
      <c r="BGI81" s="242"/>
      <c r="BGJ81" s="242"/>
      <c r="BGK81" s="242"/>
      <c r="BGL81" s="242"/>
      <c r="BGM81" s="245"/>
      <c r="BGN81" s="242"/>
      <c r="BGO81" s="242"/>
      <c r="BGP81" s="242"/>
      <c r="BGQ81" s="242"/>
      <c r="BGR81" s="242"/>
      <c r="BGS81" s="244"/>
      <c r="BGT81" s="242"/>
      <c r="BGU81" s="242"/>
      <c r="BGV81" s="242"/>
      <c r="BGW81" s="242"/>
      <c r="BGX81" s="242"/>
      <c r="BGY81" s="245"/>
      <c r="BGZ81" s="242"/>
      <c r="BHA81" s="242"/>
      <c r="BHB81" s="242"/>
      <c r="BHC81" s="242"/>
      <c r="BHD81" s="242"/>
      <c r="BHE81" s="246"/>
      <c r="BHF81" s="241"/>
      <c r="BHG81" s="242"/>
      <c r="BHH81" s="242"/>
      <c r="BHI81" s="242"/>
      <c r="BHJ81" s="242"/>
      <c r="BHK81" s="243"/>
      <c r="BHL81" s="242"/>
      <c r="BHM81" s="242"/>
      <c r="BHN81" s="242"/>
      <c r="BHO81" s="242"/>
      <c r="BHP81" s="242"/>
      <c r="BHQ81" s="244"/>
      <c r="BHR81" s="242"/>
      <c r="BHS81" s="242"/>
      <c r="BHT81" s="242"/>
      <c r="BHU81" s="242"/>
      <c r="BHV81" s="242"/>
      <c r="BHW81" s="245"/>
      <c r="BHX81" s="242"/>
      <c r="BHY81" s="242"/>
      <c r="BHZ81" s="242"/>
      <c r="BIA81" s="242"/>
      <c r="BIB81" s="242"/>
      <c r="BIC81" s="244"/>
      <c r="BID81" s="242"/>
      <c r="BIE81" s="242"/>
      <c r="BIF81" s="242"/>
      <c r="BIG81" s="242"/>
      <c r="BIH81" s="242"/>
      <c r="BII81" s="245"/>
      <c r="BIJ81" s="242"/>
      <c r="BIK81" s="242"/>
      <c r="BIL81" s="242"/>
      <c r="BIM81" s="242"/>
      <c r="BIN81" s="242"/>
      <c r="BIO81" s="244"/>
      <c r="BIP81" s="242"/>
      <c r="BIQ81" s="242"/>
      <c r="BIR81" s="242"/>
      <c r="BIS81" s="242"/>
      <c r="BIT81" s="242"/>
      <c r="BIU81" s="245"/>
      <c r="BIV81" s="242"/>
      <c r="BIW81" s="242"/>
      <c r="BIX81" s="242"/>
      <c r="BIY81" s="242"/>
      <c r="BIZ81" s="242"/>
      <c r="BJA81" s="244"/>
      <c r="BJB81" s="242"/>
      <c r="BJC81" s="242"/>
      <c r="BJD81" s="242"/>
      <c r="BJE81" s="242"/>
      <c r="BJF81" s="242"/>
      <c r="BJG81" s="245"/>
      <c r="BJH81" s="242"/>
      <c r="BJI81" s="242"/>
      <c r="BJJ81" s="242"/>
      <c r="BJK81" s="242"/>
      <c r="BJL81" s="242"/>
      <c r="BJM81" s="246"/>
      <c r="BJN81" s="233"/>
      <c r="BJO81" s="234"/>
      <c r="BJP81" s="234"/>
      <c r="BJQ81" s="234"/>
      <c r="BJR81" s="234"/>
      <c r="BJS81" s="234"/>
      <c r="BJT81" s="234"/>
      <c r="BJU81" s="234"/>
      <c r="BJV81" s="234"/>
      <c r="BJW81" s="234"/>
      <c r="BJX81" s="234"/>
      <c r="BJY81" s="234"/>
      <c r="BJZ81" s="234"/>
      <c r="BKA81" s="234"/>
      <c r="BKB81" s="234"/>
      <c r="BKC81" s="234"/>
      <c r="BKD81" s="234"/>
      <c r="BKE81" s="234"/>
      <c r="BKF81" s="234"/>
      <c r="BKG81" s="234"/>
      <c r="BKH81" s="234"/>
      <c r="BKI81" s="234"/>
      <c r="BKJ81" s="234"/>
      <c r="BKK81" s="234"/>
      <c r="BKL81" s="234"/>
      <c r="BKM81" s="234"/>
      <c r="BKN81" s="234"/>
    </row>
    <row r="82" spans="1:1652" ht="20.100000000000001" customHeight="1" x14ac:dyDescent="0.3">
      <c r="A82" s="84" t="s">
        <v>20</v>
      </c>
      <c r="B82" s="53"/>
      <c r="C82" s="189"/>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174"/>
      <c r="BJO82" s="4"/>
      <c r="BJP82" s="4"/>
      <c r="BJQ82" s="4"/>
      <c r="BJR82" s="4"/>
      <c r="BJS82" s="4"/>
      <c r="BJT82" s="4"/>
      <c r="BJU82" s="4"/>
      <c r="BJV82" s="4"/>
      <c r="BJW82" s="4"/>
      <c r="BJX82" s="4"/>
      <c r="BJY82" s="4"/>
      <c r="BJZ82" s="4"/>
      <c r="BKA82" s="4"/>
      <c r="BKB82" s="4"/>
      <c r="BKC82" s="4"/>
      <c r="BKD82" s="4"/>
      <c r="BKE82" s="4"/>
      <c r="BKF82" s="4"/>
      <c r="BKG82" s="4"/>
      <c r="BKH82" s="4"/>
      <c r="BKI82" s="4"/>
      <c r="BKJ82" s="4"/>
      <c r="BKK82" s="4"/>
      <c r="BKL82" s="4"/>
      <c r="BKM82" s="4"/>
      <c r="BKN82" s="4"/>
    </row>
    <row r="83" spans="1:1652" ht="20.100000000000001" customHeight="1" x14ac:dyDescent="0.25">
      <c r="A83" s="84" t="s">
        <v>19</v>
      </c>
      <c r="B83" s="53"/>
      <c r="C83" s="177"/>
      <c r="D83" s="129" t="str">
        <f t="shared" si="1"/>
        <v>0h</v>
      </c>
      <c r="E83" s="34">
        <v>0</v>
      </c>
      <c r="F83" s="235"/>
      <c r="G83" s="236"/>
      <c r="H83" s="236"/>
      <c r="I83" s="236"/>
      <c r="J83" s="236"/>
      <c r="K83" s="237"/>
      <c r="L83" s="236"/>
      <c r="M83" s="236"/>
      <c r="N83" s="236"/>
      <c r="O83" s="236"/>
      <c r="P83" s="236"/>
      <c r="Q83" s="238"/>
      <c r="R83" s="236"/>
      <c r="S83" s="236"/>
      <c r="T83" s="236"/>
      <c r="U83" s="236"/>
      <c r="V83" s="236"/>
      <c r="W83" s="239"/>
      <c r="X83" s="236"/>
      <c r="Y83" s="236"/>
      <c r="Z83" s="236"/>
      <c r="AA83" s="236"/>
      <c r="AB83" s="236"/>
      <c r="AC83" s="238"/>
      <c r="AD83" s="236"/>
      <c r="AE83" s="236"/>
      <c r="AF83" s="236"/>
      <c r="AG83" s="236"/>
      <c r="AH83" s="236"/>
      <c r="AI83" s="239"/>
      <c r="AJ83" s="236"/>
      <c r="AK83" s="236"/>
      <c r="AL83" s="236"/>
      <c r="AM83" s="236"/>
      <c r="AN83" s="236"/>
      <c r="AO83" s="238"/>
      <c r="AP83" s="236"/>
      <c r="AQ83" s="236"/>
      <c r="AR83" s="236"/>
      <c r="AS83" s="236"/>
      <c r="AT83" s="236"/>
      <c r="AU83" s="239"/>
      <c r="AV83" s="236"/>
      <c r="AW83" s="236"/>
      <c r="AX83" s="236"/>
      <c r="AY83" s="236"/>
      <c r="AZ83" s="236"/>
      <c r="BA83" s="238"/>
      <c r="BB83" s="236"/>
      <c r="BC83" s="236"/>
      <c r="BD83" s="236"/>
      <c r="BE83" s="236"/>
      <c r="BF83" s="236"/>
      <c r="BG83" s="239"/>
      <c r="BH83" s="236"/>
      <c r="BI83" s="236"/>
      <c r="BJ83" s="236"/>
      <c r="BK83" s="236"/>
      <c r="BL83" s="236"/>
      <c r="BM83" s="240"/>
      <c r="BN83" s="235"/>
      <c r="BO83" s="236"/>
      <c r="BP83" s="236"/>
      <c r="BQ83" s="236"/>
      <c r="BR83" s="236"/>
      <c r="BS83" s="237"/>
      <c r="BT83" s="236"/>
      <c r="BU83" s="236"/>
      <c r="BV83" s="236"/>
      <c r="BW83" s="236"/>
      <c r="BX83" s="236"/>
      <c r="BY83" s="238"/>
      <c r="BZ83" s="236"/>
      <c r="CA83" s="236"/>
      <c r="CB83" s="236"/>
      <c r="CC83" s="236"/>
      <c r="CD83" s="236"/>
      <c r="CE83" s="239"/>
      <c r="CF83" s="236"/>
      <c r="CG83" s="236"/>
      <c r="CH83" s="236"/>
      <c r="CI83" s="236"/>
      <c r="CJ83" s="236"/>
      <c r="CK83" s="238"/>
      <c r="CL83" s="236"/>
      <c r="CM83" s="236"/>
      <c r="CN83" s="236"/>
      <c r="CO83" s="236"/>
      <c r="CP83" s="236"/>
      <c r="CQ83" s="239"/>
      <c r="CR83" s="236"/>
      <c r="CS83" s="236"/>
      <c r="CT83" s="236"/>
      <c r="CU83" s="236"/>
      <c r="CV83" s="236"/>
      <c r="CW83" s="238"/>
      <c r="CX83" s="236"/>
      <c r="CY83" s="236"/>
      <c r="CZ83" s="236"/>
      <c r="DA83" s="236"/>
      <c r="DB83" s="236"/>
      <c r="DC83" s="239"/>
      <c r="DD83" s="236"/>
      <c r="DE83" s="236"/>
      <c r="DF83" s="236"/>
      <c r="DG83" s="236"/>
      <c r="DH83" s="236"/>
      <c r="DI83" s="238"/>
      <c r="DJ83" s="236"/>
      <c r="DK83" s="236"/>
      <c r="DL83" s="236"/>
      <c r="DM83" s="236"/>
      <c r="DN83" s="236"/>
      <c r="DO83" s="239"/>
      <c r="DP83" s="236"/>
      <c r="DQ83" s="236"/>
      <c r="DR83" s="236"/>
      <c r="DS83" s="236"/>
      <c r="DT83" s="236"/>
      <c r="DU83" s="240"/>
      <c r="DV83" s="235"/>
      <c r="DW83" s="236"/>
      <c r="DX83" s="236"/>
      <c r="DY83" s="236"/>
      <c r="DZ83" s="236"/>
      <c r="EA83" s="237"/>
      <c r="EB83" s="236"/>
      <c r="EC83" s="236"/>
      <c r="ED83" s="236"/>
      <c r="EE83" s="236"/>
      <c r="EF83" s="236"/>
      <c r="EG83" s="238"/>
      <c r="EH83" s="236"/>
      <c r="EI83" s="236"/>
      <c r="EJ83" s="236"/>
      <c r="EK83" s="236"/>
      <c r="EL83" s="236"/>
      <c r="EM83" s="239"/>
      <c r="EN83" s="236"/>
      <c r="EO83" s="236"/>
      <c r="EP83" s="236"/>
      <c r="EQ83" s="236"/>
      <c r="ER83" s="236"/>
      <c r="ES83" s="238"/>
      <c r="ET83" s="236"/>
      <c r="EU83" s="236"/>
      <c r="EV83" s="236"/>
      <c r="EW83" s="236"/>
      <c r="EX83" s="236"/>
      <c r="EY83" s="239"/>
      <c r="EZ83" s="236"/>
      <c r="FA83" s="236"/>
      <c r="FB83" s="236"/>
      <c r="FC83" s="236"/>
      <c r="FD83" s="236"/>
      <c r="FE83" s="238"/>
      <c r="FF83" s="236"/>
      <c r="FG83" s="236"/>
      <c r="FH83" s="236"/>
      <c r="FI83" s="236"/>
      <c r="FJ83" s="236"/>
      <c r="FK83" s="239"/>
      <c r="FL83" s="236"/>
      <c r="FM83" s="236"/>
      <c r="FN83" s="236"/>
      <c r="FO83" s="236"/>
      <c r="FP83" s="236"/>
      <c r="FQ83" s="238"/>
      <c r="FR83" s="236"/>
      <c r="FS83" s="236"/>
      <c r="FT83" s="236"/>
      <c r="FU83" s="236"/>
      <c r="FV83" s="236"/>
      <c r="FW83" s="239"/>
      <c r="FX83" s="236"/>
      <c r="FY83" s="236"/>
      <c r="FZ83" s="236"/>
      <c r="GA83" s="236"/>
      <c r="GB83" s="236"/>
      <c r="GC83" s="240"/>
      <c r="GD83" s="235"/>
      <c r="GE83" s="236"/>
      <c r="GF83" s="236"/>
      <c r="GG83" s="236"/>
      <c r="GH83" s="236"/>
      <c r="GI83" s="237"/>
      <c r="GJ83" s="236"/>
      <c r="GK83" s="236"/>
      <c r="GL83" s="236"/>
      <c r="GM83" s="236"/>
      <c r="GN83" s="236"/>
      <c r="GO83" s="238"/>
      <c r="GP83" s="236"/>
      <c r="GQ83" s="236"/>
      <c r="GR83" s="236"/>
      <c r="GS83" s="236"/>
      <c r="GT83" s="236"/>
      <c r="GU83" s="239"/>
      <c r="GV83" s="236"/>
      <c r="GW83" s="236"/>
      <c r="GX83" s="236"/>
      <c r="GY83" s="236"/>
      <c r="GZ83" s="236"/>
      <c r="HA83" s="238"/>
      <c r="HB83" s="236"/>
      <c r="HC83" s="236"/>
      <c r="HD83" s="236"/>
      <c r="HE83" s="236"/>
      <c r="HF83" s="236"/>
      <c r="HG83" s="239"/>
      <c r="HH83" s="236"/>
      <c r="HI83" s="236"/>
      <c r="HJ83" s="236"/>
      <c r="HK83" s="236"/>
      <c r="HL83" s="236"/>
      <c r="HM83" s="238"/>
      <c r="HN83" s="236"/>
      <c r="HO83" s="236"/>
      <c r="HP83" s="236"/>
      <c r="HQ83" s="236"/>
      <c r="HR83" s="236"/>
      <c r="HS83" s="239"/>
      <c r="HT83" s="236"/>
      <c r="HU83" s="236"/>
      <c r="HV83" s="236"/>
      <c r="HW83" s="236"/>
      <c r="HX83" s="236"/>
      <c r="HY83" s="238"/>
      <c r="HZ83" s="236"/>
      <c r="IA83" s="236"/>
      <c r="IB83" s="236"/>
      <c r="IC83" s="236"/>
      <c r="ID83" s="236"/>
      <c r="IE83" s="239"/>
      <c r="IF83" s="236"/>
      <c r="IG83" s="236"/>
      <c r="IH83" s="236"/>
      <c r="II83" s="236"/>
      <c r="IJ83" s="236"/>
      <c r="IK83" s="240"/>
      <c r="IL83" s="235"/>
      <c r="IM83" s="236"/>
      <c r="IN83" s="236"/>
      <c r="IO83" s="236"/>
      <c r="IP83" s="236"/>
      <c r="IQ83" s="237"/>
      <c r="IR83" s="236"/>
      <c r="IS83" s="236"/>
      <c r="IT83" s="236"/>
      <c r="IU83" s="236"/>
      <c r="IV83" s="236"/>
      <c r="IW83" s="238"/>
      <c r="IX83" s="236"/>
      <c r="IY83" s="236"/>
      <c r="IZ83" s="236"/>
      <c r="JA83" s="236"/>
      <c r="JB83" s="236"/>
      <c r="JC83" s="239"/>
      <c r="JD83" s="236"/>
      <c r="JE83" s="236"/>
      <c r="JF83" s="236"/>
      <c r="JG83" s="236"/>
      <c r="JH83" s="236"/>
      <c r="JI83" s="238"/>
      <c r="JJ83" s="236"/>
      <c r="JK83" s="236"/>
      <c r="JL83" s="236"/>
      <c r="JM83" s="236"/>
      <c r="JN83" s="236"/>
      <c r="JO83" s="239"/>
      <c r="JP83" s="236"/>
      <c r="JQ83" s="236"/>
      <c r="JR83" s="236"/>
      <c r="JS83" s="236"/>
      <c r="JT83" s="236"/>
      <c r="JU83" s="238"/>
      <c r="JV83" s="236"/>
      <c r="JW83" s="236"/>
      <c r="JX83" s="236"/>
      <c r="JY83" s="236"/>
      <c r="JZ83" s="236"/>
      <c r="KA83" s="239"/>
      <c r="KB83" s="236"/>
      <c r="KC83" s="236"/>
      <c r="KD83" s="236"/>
      <c r="KE83" s="236"/>
      <c r="KF83" s="236"/>
      <c r="KG83" s="238"/>
      <c r="KH83" s="236"/>
      <c r="KI83" s="236"/>
      <c r="KJ83" s="236"/>
      <c r="KK83" s="236"/>
      <c r="KL83" s="236"/>
      <c r="KM83" s="239"/>
      <c r="KN83" s="236"/>
      <c r="KO83" s="236"/>
      <c r="KP83" s="236"/>
      <c r="KQ83" s="236"/>
      <c r="KR83" s="236"/>
      <c r="KS83" s="240"/>
      <c r="KT83" s="235"/>
      <c r="KU83" s="236"/>
      <c r="KV83" s="236"/>
      <c r="KW83" s="236"/>
      <c r="KX83" s="236"/>
      <c r="KY83" s="237"/>
      <c r="KZ83" s="236"/>
      <c r="LA83" s="236"/>
      <c r="LB83" s="236"/>
      <c r="LC83" s="236"/>
      <c r="LD83" s="236"/>
      <c r="LE83" s="238"/>
      <c r="LF83" s="236"/>
      <c r="LG83" s="236"/>
      <c r="LH83" s="236"/>
      <c r="LI83" s="236"/>
      <c r="LJ83" s="236"/>
      <c r="LK83" s="239"/>
      <c r="LL83" s="236"/>
      <c r="LM83" s="236"/>
      <c r="LN83" s="236"/>
      <c r="LO83" s="236"/>
      <c r="LP83" s="236"/>
      <c r="LQ83" s="238"/>
      <c r="LR83" s="236"/>
      <c r="LS83" s="236"/>
      <c r="LT83" s="236"/>
      <c r="LU83" s="236"/>
      <c r="LV83" s="236"/>
      <c r="LW83" s="239"/>
      <c r="LX83" s="236"/>
      <c r="LY83" s="236"/>
      <c r="LZ83" s="236"/>
      <c r="MA83" s="236"/>
      <c r="MB83" s="236"/>
      <c r="MC83" s="238"/>
      <c r="MD83" s="236"/>
      <c r="ME83" s="236"/>
      <c r="MF83" s="236"/>
      <c r="MG83" s="236"/>
      <c r="MH83" s="236"/>
      <c r="MI83" s="239"/>
      <c r="MJ83" s="236"/>
      <c r="MK83" s="236"/>
      <c r="ML83" s="236"/>
      <c r="MM83" s="236"/>
      <c r="MN83" s="236"/>
      <c r="MO83" s="238"/>
      <c r="MP83" s="236"/>
      <c r="MQ83" s="236"/>
      <c r="MR83" s="236"/>
      <c r="MS83" s="236"/>
      <c r="MT83" s="236"/>
      <c r="MU83" s="239"/>
      <c r="MV83" s="236"/>
      <c r="MW83" s="236"/>
      <c r="MX83" s="236"/>
      <c r="MY83" s="236"/>
      <c r="MZ83" s="236"/>
      <c r="NA83" s="240"/>
      <c r="NB83" s="235"/>
      <c r="NC83" s="236"/>
      <c r="ND83" s="236"/>
      <c r="NE83" s="236"/>
      <c r="NF83" s="236"/>
      <c r="NG83" s="237"/>
      <c r="NH83" s="236"/>
      <c r="NI83" s="236"/>
      <c r="NJ83" s="236"/>
      <c r="NK83" s="236"/>
      <c r="NL83" s="236"/>
      <c r="NM83" s="238"/>
      <c r="NN83" s="236"/>
      <c r="NO83" s="236"/>
      <c r="NP83" s="236"/>
      <c r="NQ83" s="236"/>
      <c r="NR83" s="236"/>
      <c r="NS83" s="239"/>
      <c r="NT83" s="236"/>
      <c r="NU83" s="236"/>
      <c r="NV83" s="236"/>
      <c r="NW83" s="236"/>
      <c r="NX83" s="236"/>
      <c r="NY83" s="238"/>
      <c r="NZ83" s="236"/>
      <c r="OA83" s="236"/>
      <c r="OB83" s="236"/>
      <c r="OC83" s="236"/>
      <c r="OD83" s="236"/>
      <c r="OE83" s="239"/>
      <c r="OF83" s="236"/>
      <c r="OG83" s="236"/>
      <c r="OH83" s="236"/>
      <c r="OI83" s="236"/>
      <c r="OJ83" s="236"/>
      <c r="OK83" s="238"/>
      <c r="OL83" s="236"/>
      <c r="OM83" s="236"/>
      <c r="ON83" s="236"/>
      <c r="OO83" s="236"/>
      <c r="OP83" s="236"/>
      <c r="OQ83" s="239"/>
      <c r="OR83" s="236"/>
      <c r="OS83" s="236"/>
      <c r="OT83" s="236"/>
      <c r="OU83" s="236"/>
      <c r="OV83" s="236"/>
      <c r="OW83" s="238"/>
      <c r="OX83" s="236"/>
      <c r="OY83" s="236"/>
      <c r="OZ83" s="236"/>
      <c r="PA83" s="236"/>
      <c r="PB83" s="236"/>
      <c r="PC83" s="239"/>
      <c r="PD83" s="236"/>
      <c r="PE83" s="236"/>
      <c r="PF83" s="236"/>
      <c r="PG83" s="236"/>
      <c r="PH83" s="236"/>
      <c r="PI83" s="240"/>
      <c r="PJ83" s="235"/>
      <c r="PK83" s="236"/>
      <c r="PL83" s="236"/>
      <c r="PM83" s="236"/>
      <c r="PN83" s="236"/>
      <c r="PO83" s="237"/>
      <c r="PP83" s="236"/>
      <c r="PQ83" s="236"/>
      <c r="PR83" s="236"/>
      <c r="PS83" s="236"/>
      <c r="PT83" s="236"/>
      <c r="PU83" s="238"/>
      <c r="PV83" s="236"/>
      <c r="PW83" s="236"/>
      <c r="PX83" s="236"/>
      <c r="PY83" s="236"/>
      <c r="PZ83" s="236"/>
      <c r="QA83" s="239"/>
      <c r="QB83" s="236"/>
      <c r="QC83" s="236"/>
      <c r="QD83" s="236"/>
      <c r="QE83" s="236"/>
      <c r="QF83" s="236"/>
      <c r="QG83" s="238"/>
      <c r="QH83" s="236"/>
      <c r="QI83" s="236"/>
      <c r="QJ83" s="236"/>
      <c r="QK83" s="236"/>
      <c r="QL83" s="236"/>
      <c r="QM83" s="239"/>
      <c r="QN83" s="236"/>
      <c r="QO83" s="236"/>
      <c r="QP83" s="236"/>
      <c r="QQ83" s="236"/>
      <c r="QR83" s="236"/>
      <c r="QS83" s="238"/>
      <c r="QT83" s="236"/>
      <c r="QU83" s="236"/>
      <c r="QV83" s="236"/>
      <c r="QW83" s="236"/>
      <c r="QX83" s="236"/>
      <c r="QY83" s="239"/>
      <c r="QZ83" s="236"/>
      <c r="RA83" s="236"/>
      <c r="RB83" s="236"/>
      <c r="RC83" s="236"/>
      <c r="RD83" s="236"/>
      <c r="RE83" s="238"/>
      <c r="RF83" s="236"/>
      <c r="RG83" s="236"/>
      <c r="RH83" s="236"/>
      <c r="RI83" s="236"/>
      <c r="RJ83" s="236"/>
      <c r="RK83" s="239"/>
      <c r="RL83" s="236"/>
      <c r="RM83" s="236"/>
      <c r="RN83" s="236"/>
      <c r="RO83" s="236"/>
      <c r="RP83" s="236"/>
      <c r="RQ83" s="240"/>
      <c r="RR83" s="235"/>
      <c r="RS83" s="236"/>
      <c r="RT83" s="236"/>
      <c r="RU83" s="236"/>
      <c r="RV83" s="236"/>
      <c r="RW83" s="237"/>
      <c r="RX83" s="236"/>
      <c r="RY83" s="236"/>
      <c r="RZ83" s="236"/>
      <c r="SA83" s="236"/>
      <c r="SB83" s="236"/>
      <c r="SC83" s="238"/>
      <c r="SD83" s="236"/>
      <c r="SE83" s="236"/>
      <c r="SF83" s="236"/>
      <c r="SG83" s="236"/>
      <c r="SH83" s="236"/>
      <c r="SI83" s="239"/>
      <c r="SJ83" s="236"/>
      <c r="SK83" s="236"/>
      <c r="SL83" s="236"/>
      <c r="SM83" s="236"/>
      <c r="SN83" s="236"/>
      <c r="SO83" s="238"/>
      <c r="SP83" s="236"/>
      <c r="SQ83" s="236"/>
      <c r="SR83" s="236"/>
      <c r="SS83" s="236"/>
      <c r="ST83" s="236"/>
      <c r="SU83" s="239"/>
      <c r="SV83" s="236"/>
      <c r="SW83" s="236"/>
      <c r="SX83" s="236"/>
      <c r="SY83" s="236"/>
      <c r="SZ83" s="236"/>
      <c r="TA83" s="238"/>
      <c r="TB83" s="236"/>
      <c r="TC83" s="236"/>
      <c r="TD83" s="236"/>
      <c r="TE83" s="236"/>
      <c r="TF83" s="236"/>
      <c r="TG83" s="239"/>
      <c r="TH83" s="236"/>
      <c r="TI83" s="236"/>
      <c r="TJ83" s="236"/>
      <c r="TK83" s="236"/>
      <c r="TL83" s="236"/>
      <c r="TM83" s="238"/>
      <c r="TN83" s="236"/>
      <c r="TO83" s="236"/>
      <c r="TP83" s="236"/>
      <c r="TQ83" s="236"/>
      <c r="TR83" s="236"/>
      <c r="TS83" s="239"/>
      <c r="TT83" s="236"/>
      <c r="TU83" s="236"/>
      <c r="TV83" s="236"/>
      <c r="TW83" s="236"/>
      <c r="TX83" s="236"/>
      <c r="TY83" s="240"/>
      <c r="TZ83" s="235"/>
      <c r="UA83" s="236"/>
      <c r="UB83" s="236"/>
      <c r="UC83" s="236"/>
      <c r="UD83" s="236"/>
      <c r="UE83" s="237"/>
      <c r="UF83" s="236"/>
      <c r="UG83" s="236"/>
      <c r="UH83" s="236"/>
      <c r="UI83" s="236"/>
      <c r="UJ83" s="236"/>
      <c r="UK83" s="238"/>
      <c r="UL83" s="236"/>
      <c r="UM83" s="236"/>
      <c r="UN83" s="236"/>
      <c r="UO83" s="236"/>
      <c r="UP83" s="236"/>
      <c r="UQ83" s="239"/>
      <c r="UR83" s="236"/>
      <c r="US83" s="236"/>
      <c r="UT83" s="236"/>
      <c r="UU83" s="236"/>
      <c r="UV83" s="236"/>
      <c r="UW83" s="238"/>
      <c r="UX83" s="236"/>
      <c r="UY83" s="236"/>
      <c r="UZ83" s="236"/>
      <c r="VA83" s="236"/>
      <c r="VB83" s="236"/>
      <c r="VC83" s="239"/>
      <c r="VD83" s="236"/>
      <c r="VE83" s="236"/>
      <c r="VF83" s="236"/>
      <c r="VG83" s="236"/>
      <c r="VH83" s="236"/>
      <c r="VI83" s="238"/>
      <c r="VJ83" s="236"/>
      <c r="VK83" s="236"/>
      <c r="VL83" s="236"/>
      <c r="VM83" s="236"/>
      <c r="VN83" s="236"/>
      <c r="VO83" s="239"/>
      <c r="VP83" s="236"/>
      <c r="VQ83" s="236"/>
      <c r="VR83" s="236"/>
      <c r="VS83" s="236"/>
      <c r="VT83" s="236"/>
      <c r="VU83" s="238"/>
      <c r="VV83" s="236"/>
      <c r="VW83" s="236"/>
      <c r="VX83" s="236"/>
      <c r="VY83" s="236"/>
      <c r="VZ83" s="236"/>
      <c r="WA83" s="239"/>
      <c r="WB83" s="236"/>
      <c r="WC83" s="236"/>
      <c r="WD83" s="236"/>
      <c r="WE83" s="236"/>
      <c r="WF83" s="236"/>
      <c r="WG83" s="240"/>
      <c r="WH83" s="235"/>
      <c r="WI83" s="236"/>
      <c r="WJ83" s="236"/>
      <c r="WK83" s="236"/>
      <c r="WL83" s="236"/>
      <c r="WM83" s="237"/>
      <c r="WN83" s="236"/>
      <c r="WO83" s="236"/>
      <c r="WP83" s="236"/>
      <c r="WQ83" s="236"/>
      <c r="WR83" s="236"/>
      <c r="WS83" s="238"/>
      <c r="WT83" s="236"/>
      <c r="WU83" s="236"/>
      <c r="WV83" s="236"/>
      <c r="WW83" s="236"/>
      <c r="WX83" s="236"/>
      <c r="WY83" s="239"/>
      <c r="WZ83" s="236"/>
      <c r="XA83" s="236"/>
      <c r="XB83" s="236"/>
      <c r="XC83" s="236"/>
      <c r="XD83" s="236"/>
      <c r="XE83" s="238"/>
      <c r="XF83" s="236"/>
      <c r="XG83" s="236"/>
      <c r="XH83" s="236"/>
      <c r="XI83" s="236"/>
      <c r="XJ83" s="236"/>
      <c r="XK83" s="239"/>
      <c r="XL83" s="236"/>
      <c r="XM83" s="236"/>
      <c r="XN83" s="236"/>
      <c r="XO83" s="236"/>
      <c r="XP83" s="236"/>
      <c r="XQ83" s="238"/>
      <c r="XR83" s="236"/>
      <c r="XS83" s="236"/>
      <c r="XT83" s="236"/>
      <c r="XU83" s="236"/>
      <c r="XV83" s="236"/>
      <c r="XW83" s="239"/>
      <c r="XX83" s="236"/>
      <c r="XY83" s="236"/>
      <c r="XZ83" s="236"/>
      <c r="YA83" s="236"/>
      <c r="YB83" s="236"/>
      <c r="YC83" s="238"/>
      <c r="YD83" s="236"/>
      <c r="YE83" s="236"/>
      <c r="YF83" s="236"/>
      <c r="YG83" s="236"/>
      <c r="YH83" s="236"/>
      <c r="YI83" s="239"/>
      <c r="YJ83" s="236"/>
      <c r="YK83" s="236"/>
      <c r="YL83" s="236"/>
      <c r="YM83" s="236"/>
      <c r="YN83" s="236"/>
      <c r="YO83" s="240"/>
      <c r="YP83" s="235"/>
      <c r="YQ83" s="236"/>
      <c r="YR83" s="236"/>
      <c r="YS83" s="236"/>
      <c r="YT83" s="236"/>
      <c r="YU83" s="237"/>
      <c r="YV83" s="236"/>
      <c r="YW83" s="236"/>
      <c r="YX83" s="236"/>
      <c r="YY83" s="236"/>
      <c r="YZ83" s="236"/>
      <c r="ZA83" s="238"/>
      <c r="ZB83" s="236"/>
      <c r="ZC83" s="236"/>
      <c r="ZD83" s="236"/>
      <c r="ZE83" s="236"/>
      <c r="ZF83" s="236"/>
      <c r="ZG83" s="239"/>
      <c r="ZH83" s="236"/>
      <c r="ZI83" s="236"/>
      <c r="ZJ83" s="236"/>
      <c r="ZK83" s="236"/>
      <c r="ZL83" s="236"/>
      <c r="ZM83" s="238"/>
      <c r="ZN83" s="236"/>
      <c r="ZO83" s="236"/>
      <c r="ZP83" s="236"/>
      <c r="ZQ83" s="236"/>
      <c r="ZR83" s="236"/>
      <c r="ZS83" s="239"/>
      <c r="ZT83" s="236"/>
      <c r="ZU83" s="236"/>
      <c r="ZV83" s="236"/>
      <c r="ZW83" s="236"/>
      <c r="ZX83" s="236"/>
      <c r="ZY83" s="238"/>
      <c r="ZZ83" s="236"/>
      <c r="AAA83" s="236"/>
      <c r="AAB83" s="236"/>
      <c r="AAC83" s="236"/>
      <c r="AAD83" s="236"/>
      <c r="AAE83" s="239"/>
      <c r="AAF83" s="236"/>
      <c r="AAG83" s="236"/>
      <c r="AAH83" s="236"/>
      <c r="AAI83" s="236"/>
      <c r="AAJ83" s="236"/>
      <c r="AAK83" s="238"/>
      <c r="AAL83" s="236"/>
      <c r="AAM83" s="236"/>
      <c r="AAN83" s="236"/>
      <c r="AAO83" s="236"/>
      <c r="AAP83" s="236"/>
      <c r="AAQ83" s="239"/>
      <c r="AAR83" s="236"/>
      <c r="AAS83" s="236"/>
      <c r="AAT83" s="236"/>
      <c r="AAU83" s="236"/>
      <c r="AAV83" s="236"/>
      <c r="AAW83" s="240"/>
      <c r="AAX83" s="235"/>
      <c r="AAY83" s="236"/>
      <c r="AAZ83" s="236"/>
      <c r="ABA83" s="236"/>
      <c r="ABB83" s="236"/>
      <c r="ABC83" s="237"/>
      <c r="ABD83" s="236"/>
      <c r="ABE83" s="236"/>
      <c r="ABF83" s="236"/>
      <c r="ABG83" s="236"/>
      <c r="ABH83" s="236"/>
      <c r="ABI83" s="238"/>
      <c r="ABJ83" s="236"/>
      <c r="ABK83" s="236"/>
      <c r="ABL83" s="236"/>
      <c r="ABM83" s="236"/>
      <c r="ABN83" s="236"/>
      <c r="ABO83" s="239"/>
      <c r="ABP83" s="236"/>
      <c r="ABQ83" s="236"/>
      <c r="ABR83" s="236"/>
      <c r="ABS83" s="236"/>
      <c r="ABT83" s="236"/>
      <c r="ABU83" s="238"/>
      <c r="ABV83" s="236"/>
      <c r="ABW83" s="236"/>
      <c r="ABX83" s="236"/>
      <c r="ABY83" s="236"/>
      <c r="ABZ83" s="236"/>
      <c r="ACA83" s="239"/>
      <c r="ACB83" s="236"/>
      <c r="ACC83" s="236"/>
      <c r="ACD83" s="236"/>
      <c r="ACE83" s="236"/>
      <c r="ACF83" s="236"/>
      <c r="ACG83" s="238"/>
      <c r="ACH83" s="236"/>
      <c r="ACI83" s="236"/>
      <c r="ACJ83" s="236"/>
      <c r="ACK83" s="236"/>
      <c r="ACL83" s="236"/>
      <c r="ACM83" s="239"/>
      <c r="ACN83" s="236"/>
      <c r="ACO83" s="236"/>
      <c r="ACP83" s="236"/>
      <c r="ACQ83" s="236"/>
      <c r="ACR83" s="236"/>
      <c r="ACS83" s="238"/>
      <c r="ACT83" s="236"/>
      <c r="ACU83" s="236"/>
      <c r="ACV83" s="236"/>
      <c r="ACW83" s="236"/>
      <c r="ACX83" s="236"/>
      <c r="ACY83" s="239"/>
      <c r="ACZ83" s="236"/>
      <c r="ADA83" s="236"/>
      <c r="ADB83" s="236"/>
      <c r="ADC83" s="236"/>
      <c r="ADD83" s="236"/>
      <c r="ADE83" s="240"/>
      <c r="ADF83" s="235"/>
      <c r="ADG83" s="236"/>
      <c r="ADH83" s="236"/>
      <c r="ADI83" s="236"/>
      <c r="ADJ83" s="236"/>
      <c r="ADK83" s="237"/>
      <c r="ADL83" s="236"/>
      <c r="ADM83" s="236"/>
      <c r="ADN83" s="236"/>
      <c r="ADO83" s="236"/>
      <c r="ADP83" s="236"/>
      <c r="ADQ83" s="238"/>
      <c r="ADR83" s="236"/>
      <c r="ADS83" s="236"/>
      <c r="ADT83" s="236"/>
      <c r="ADU83" s="236"/>
      <c r="ADV83" s="236"/>
      <c r="ADW83" s="239"/>
      <c r="ADX83" s="236"/>
      <c r="ADY83" s="236"/>
      <c r="ADZ83" s="236"/>
      <c r="AEA83" s="236"/>
      <c r="AEB83" s="236"/>
      <c r="AEC83" s="238"/>
      <c r="AED83" s="236"/>
      <c r="AEE83" s="236"/>
      <c r="AEF83" s="236"/>
      <c r="AEG83" s="236"/>
      <c r="AEH83" s="236"/>
      <c r="AEI83" s="239"/>
      <c r="AEJ83" s="236"/>
      <c r="AEK83" s="236"/>
      <c r="AEL83" s="236"/>
      <c r="AEM83" s="236"/>
      <c r="AEN83" s="236"/>
      <c r="AEO83" s="238"/>
      <c r="AEP83" s="236"/>
      <c r="AEQ83" s="236"/>
      <c r="AER83" s="236"/>
      <c r="AES83" s="236"/>
      <c r="AET83" s="236"/>
      <c r="AEU83" s="239"/>
      <c r="AEV83" s="236"/>
      <c r="AEW83" s="236"/>
      <c r="AEX83" s="236"/>
      <c r="AEY83" s="236"/>
      <c r="AEZ83" s="236"/>
      <c r="AFA83" s="238"/>
      <c r="AFB83" s="236"/>
      <c r="AFC83" s="236"/>
      <c r="AFD83" s="236"/>
      <c r="AFE83" s="236"/>
      <c r="AFF83" s="236"/>
      <c r="AFG83" s="239"/>
      <c r="AFH83" s="236"/>
      <c r="AFI83" s="236"/>
      <c r="AFJ83" s="236"/>
      <c r="AFK83" s="236"/>
      <c r="AFL83" s="236"/>
      <c r="AFM83" s="240"/>
      <c r="AFN83" s="235"/>
      <c r="AFO83" s="236"/>
      <c r="AFP83" s="236"/>
      <c r="AFQ83" s="236"/>
      <c r="AFR83" s="236"/>
      <c r="AFS83" s="237"/>
      <c r="AFT83" s="236"/>
      <c r="AFU83" s="236"/>
      <c r="AFV83" s="236"/>
      <c r="AFW83" s="236"/>
      <c r="AFX83" s="236"/>
      <c r="AFY83" s="238"/>
      <c r="AFZ83" s="236"/>
      <c r="AGA83" s="236"/>
      <c r="AGB83" s="236"/>
      <c r="AGC83" s="236"/>
      <c r="AGD83" s="236"/>
      <c r="AGE83" s="239"/>
      <c r="AGF83" s="236"/>
      <c r="AGG83" s="236"/>
      <c r="AGH83" s="236"/>
      <c r="AGI83" s="236"/>
      <c r="AGJ83" s="236"/>
      <c r="AGK83" s="238"/>
      <c r="AGL83" s="236"/>
      <c r="AGM83" s="236"/>
      <c r="AGN83" s="236"/>
      <c r="AGO83" s="236"/>
      <c r="AGP83" s="236"/>
      <c r="AGQ83" s="239"/>
      <c r="AGR83" s="236"/>
      <c r="AGS83" s="236"/>
      <c r="AGT83" s="236"/>
      <c r="AGU83" s="236"/>
      <c r="AGV83" s="236"/>
      <c r="AGW83" s="238"/>
      <c r="AGX83" s="236"/>
      <c r="AGY83" s="236"/>
      <c r="AGZ83" s="236"/>
      <c r="AHA83" s="236"/>
      <c r="AHB83" s="236"/>
      <c r="AHC83" s="239"/>
      <c r="AHD83" s="236"/>
      <c r="AHE83" s="236"/>
      <c r="AHF83" s="236"/>
      <c r="AHG83" s="236"/>
      <c r="AHH83" s="236"/>
      <c r="AHI83" s="238"/>
      <c r="AHJ83" s="236"/>
      <c r="AHK83" s="236"/>
      <c r="AHL83" s="236"/>
      <c r="AHM83" s="236"/>
      <c r="AHN83" s="236"/>
      <c r="AHO83" s="239"/>
      <c r="AHP83" s="236"/>
      <c r="AHQ83" s="236"/>
      <c r="AHR83" s="236"/>
      <c r="AHS83" s="236"/>
      <c r="AHT83" s="236"/>
      <c r="AHU83" s="240"/>
      <c r="AHV83" s="235"/>
      <c r="AHW83" s="236"/>
      <c r="AHX83" s="236"/>
      <c r="AHY83" s="236"/>
      <c r="AHZ83" s="236"/>
      <c r="AIA83" s="237"/>
      <c r="AIB83" s="236"/>
      <c r="AIC83" s="236"/>
      <c r="AID83" s="236"/>
      <c r="AIE83" s="236"/>
      <c r="AIF83" s="236"/>
      <c r="AIG83" s="238"/>
      <c r="AIH83" s="236"/>
      <c r="AII83" s="236"/>
      <c r="AIJ83" s="236"/>
      <c r="AIK83" s="236"/>
      <c r="AIL83" s="236"/>
      <c r="AIM83" s="239"/>
      <c r="AIN83" s="236"/>
      <c r="AIO83" s="236"/>
      <c r="AIP83" s="236"/>
      <c r="AIQ83" s="236"/>
      <c r="AIR83" s="236"/>
      <c r="AIS83" s="238"/>
      <c r="AIT83" s="236"/>
      <c r="AIU83" s="236"/>
      <c r="AIV83" s="236"/>
      <c r="AIW83" s="236"/>
      <c r="AIX83" s="236"/>
      <c r="AIY83" s="239"/>
      <c r="AIZ83" s="236"/>
      <c r="AJA83" s="236"/>
      <c r="AJB83" s="236"/>
      <c r="AJC83" s="236"/>
      <c r="AJD83" s="236"/>
      <c r="AJE83" s="238"/>
      <c r="AJF83" s="236"/>
      <c r="AJG83" s="236"/>
      <c r="AJH83" s="236"/>
      <c r="AJI83" s="236"/>
      <c r="AJJ83" s="236"/>
      <c r="AJK83" s="239"/>
      <c r="AJL83" s="236"/>
      <c r="AJM83" s="236"/>
      <c r="AJN83" s="236"/>
      <c r="AJO83" s="236"/>
      <c r="AJP83" s="236"/>
      <c r="AJQ83" s="238"/>
      <c r="AJR83" s="236"/>
      <c r="AJS83" s="236"/>
      <c r="AJT83" s="236"/>
      <c r="AJU83" s="236"/>
      <c r="AJV83" s="236"/>
      <c r="AJW83" s="239"/>
      <c r="AJX83" s="236"/>
      <c r="AJY83" s="236"/>
      <c r="AJZ83" s="236"/>
      <c r="AKA83" s="236"/>
      <c r="AKB83" s="236"/>
      <c r="AKC83" s="240"/>
      <c r="AKD83" s="235"/>
      <c r="AKE83" s="236"/>
      <c r="AKF83" s="236"/>
      <c r="AKG83" s="236"/>
      <c r="AKH83" s="236"/>
      <c r="AKI83" s="237"/>
      <c r="AKJ83" s="236"/>
      <c r="AKK83" s="236"/>
      <c r="AKL83" s="236"/>
      <c r="AKM83" s="236"/>
      <c r="AKN83" s="236"/>
      <c r="AKO83" s="238"/>
      <c r="AKP83" s="236"/>
      <c r="AKQ83" s="236"/>
      <c r="AKR83" s="236"/>
      <c r="AKS83" s="236"/>
      <c r="AKT83" s="236"/>
      <c r="AKU83" s="239"/>
      <c r="AKV83" s="236"/>
      <c r="AKW83" s="236"/>
      <c r="AKX83" s="236"/>
      <c r="AKY83" s="236"/>
      <c r="AKZ83" s="236"/>
      <c r="ALA83" s="238"/>
      <c r="ALB83" s="236"/>
      <c r="ALC83" s="236"/>
      <c r="ALD83" s="236"/>
      <c r="ALE83" s="236"/>
      <c r="ALF83" s="236"/>
      <c r="ALG83" s="239"/>
      <c r="ALH83" s="236"/>
      <c r="ALI83" s="236"/>
      <c r="ALJ83" s="236"/>
      <c r="ALK83" s="236"/>
      <c r="ALL83" s="236"/>
      <c r="ALM83" s="238"/>
      <c r="ALN83" s="236"/>
      <c r="ALO83" s="236"/>
      <c r="ALP83" s="236"/>
      <c r="ALQ83" s="236"/>
      <c r="ALR83" s="236"/>
      <c r="ALS83" s="239"/>
      <c r="ALT83" s="236"/>
      <c r="ALU83" s="236"/>
      <c r="ALV83" s="236"/>
      <c r="ALW83" s="236"/>
      <c r="ALX83" s="236"/>
      <c r="ALY83" s="238"/>
      <c r="ALZ83" s="236"/>
      <c r="AMA83" s="236"/>
      <c r="AMB83" s="236"/>
      <c r="AMC83" s="236"/>
      <c r="AMD83" s="236"/>
      <c r="AME83" s="239"/>
      <c r="AMF83" s="236"/>
      <c r="AMG83" s="236"/>
      <c r="AMH83" s="236"/>
      <c r="AMI83" s="236"/>
      <c r="AMJ83" s="236"/>
      <c r="AMK83" s="240"/>
      <c r="AML83" s="235"/>
      <c r="AMM83" s="236"/>
      <c r="AMN83" s="236"/>
      <c r="AMO83" s="236"/>
      <c r="AMP83" s="236"/>
      <c r="AMQ83" s="237"/>
      <c r="AMR83" s="236"/>
      <c r="AMS83" s="236"/>
      <c r="AMT83" s="236"/>
      <c r="AMU83" s="236"/>
      <c r="AMV83" s="236"/>
      <c r="AMW83" s="238"/>
      <c r="AMX83" s="236"/>
      <c r="AMY83" s="236"/>
      <c r="AMZ83" s="236"/>
      <c r="ANA83" s="236"/>
      <c r="ANB83" s="236"/>
      <c r="ANC83" s="239"/>
      <c r="AND83" s="236"/>
      <c r="ANE83" s="236"/>
      <c r="ANF83" s="236"/>
      <c r="ANG83" s="236"/>
      <c r="ANH83" s="236"/>
      <c r="ANI83" s="238"/>
      <c r="ANJ83" s="236"/>
      <c r="ANK83" s="236"/>
      <c r="ANL83" s="236"/>
      <c r="ANM83" s="236"/>
      <c r="ANN83" s="236"/>
      <c r="ANO83" s="239"/>
      <c r="ANP83" s="236"/>
      <c r="ANQ83" s="236"/>
      <c r="ANR83" s="236"/>
      <c r="ANS83" s="236"/>
      <c r="ANT83" s="236"/>
      <c r="ANU83" s="238"/>
      <c r="ANV83" s="236"/>
      <c r="ANW83" s="236"/>
      <c r="ANX83" s="236"/>
      <c r="ANY83" s="236"/>
      <c r="ANZ83" s="236"/>
      <c r="AOA83" s="239"/>
      <c r="AOB83" s="236"/>
      <c r="AOC83" s="236"/>
      <c r="AOD83" s="236"/>
      <c r="AOE83" s="236"/>
      <c r="AOF83" s="236"/>
      <c r="AOG83" s="238"/>
      <c r="AOH83" s="236"/>
      <c r="AOI83" s="236"/>
      <c r="AOJ83" s="236"/>
      <c r="AOK83" s="236"/>
      <c r="AOL83" s="236"/>
      <c r="AOM83" s="239"/>
      <c r="AON83" s="236"/>
      <c r="AOO83" s="236"/>
      <c r="AOP83" s="236"/>
      <c r="AOQ83" s="236"/>
      <c r="AOR83" s="236"/>
      <c r="AOS83" s="240"/>
      <c r="AOT83" s="235"/>
      <c r="AOU83" s="236"/>
      <c r="AOV83" s="236"/>
      <c r="AOW83" s="236"/>
      <c r="AOX83" s="236"/>
      <c r="AOY83" s="237"/>
      <c r="AOZ83" s="236"/>
      <c r="APA83" s="236"/>
      <c r="APB83" s="236"/>
      <c r="APC83" s="236"/>
      <c r="APD83" s="236"/>
      <c r="APE83" s="238"/>
      <c r="APF83" s="236"/>
      <c r="APG83" s="236"/>
      <c r="APH83" s="236"/>
      <c r="API83" s="236"/>
      <c r="APJ83" s="236"/>
      <c r="APK83" s="239"/>
      <c r="APL83" s="236"/>
      <c r="APM83" s="236"/>
      <c r="APN83" s="236"/>
      <c r="APO83" s="236"/>
      <c r="APP83" s="236"/>
      <c r="APQ83" s="238"/>
      <c r="APR83" s="236"/>
      <c r="APS83" s="236"/>
      <c r="APT83" s="236"/>
      <c r="APU83" s="236"/>
      <c r="APV83" s="236"/>
      <c r="APW83" s="239"/>
      <c r="APX83" s="236"/>
      <c r="APY83" s="236"/>
      <c r="APZ83" s="236"/>
      <c r="AQA83" s="236"/>
      <c r="AQB83" s="236"/>
      <c r="AQC83" s="238"/>
      <c r="AQD83" s="236"/>
      <c r="AQE83" s="236"/>
      <c r="AQF83" s="236"/>
      <c r="AQG83" s="236"/>
      <c r="AQH83" s="236"/>
      <c r="AQI83" s="239"/>
      <c r="AQJ83" s="236"/>
      <c r="AQK83" s="236"/>
      <c r="AQL83" s="236"/>
      <c r="AQM83" s="236"/>
      <c r="AQN83" s="236"/>
      <c r="AQO83" s="238"/>
      <c r="AQP83" s="236"/>
      <c r="AQQ83" s="236"/>
      <c r="AQR83" s="236"/>
      <c r="AQS83" s="236"/>
      <c r="AQT83" s="236"/>
      <c r="AQU83" s="239"/>
      <c r="AQV83" s="236"/>
      <c r="AQW83" s="236"/>
      <c r="AQX83" s="236"/>
      <c r="AQY83" s="236"/>
      <c r="AQZ83" s="236"/>
      <c r="ARA83" s="240"/>
      <c r="ARB83" s="235"/>
      <c r="ARC83" s="236"/>
      <c r="ARD83" s="236"/>
      <c r="ARE83" s="236"/>
      <c r="ARF83" s="236"/>
      <c r="ARG83" s="237"/>
      <c r="ARH83" s="236"/>
      <c r="ARI83" s="236"/>
      <c r="ARJ83" s="236"/>
      <c r="ARK83" s="236"/>
      <c r="ARL83" s="236"/>
      <c r="ARM83" s="238"/>
      <c r="ARN83" s="236"/>
      <c r="ARO83" s="236"/>
      <c r="ARP83" s="236"/>
      <c r="ARQ83" s="236"/>
      <c r="ARR83" s="236"/>
      <c r="ARS83" s="239"/>
      <c r="ART83" s="236"/>
      <c r="ARU83" s="236"/>
      <c r="ARV83" s="236"/>
      <c r="ARW83" s="236"/>
      <c r="ARX83" s="236"/>
      <c r="ARY83" s="238"/>
      <c r="ARZ83" s="236"/>
      <c r="ASA83" s="236"/>
      <c r="ASB83" s="236"/>
      <c r="ASC83" s="236"/>
      <c r="ASD83" s="236"/>
      <c r="ASE83" s="239"/>
      <c r="ASF83" s="236"/>
      <c r="ASG83" s="236"/>
      <c r="ASH83" s="236"/>
      <c r="ASI83" s="236"/>
      <c r="ASJ83" s="236"/>
      <c r="ASK83" s="238"/>
      <c r="ASL83" s="236"/>
      <c r="ASM83" s="236"/>
      <c r="ASN83" s="236"/>
      <c r="ASO83" s="236"/>
      <c r="ASP83" s="236"/>
      <c r="ASQ83" s="239"/>
      <c r="ASR83" s="236"/>
      <c r="ASS83" s="236"/>
      <c r="AST83" s="236"/>
      <c r="ASU83" s="236"/>
      <c r="ASV83" s="236"/>
      <c r="ASW83" s="238"/>
      <c r="ASX83" s="236"/>
      <c r="ASY83" s="236"/>
      <c r="ASZ83" s="236"/>
      <c r="ATA83" s="236"/>
      <c r="ATB83" s="236"/>
      <c r="ATC83" s="239"/>
      <c r="ATD83" s="236"/>
      <c r="ATE83" s="236"/>
      <c r="ATF83" s="236"/>
      <c r="ATG83" s="236"/>
      <c r="ATH83" s="236"/>
      <c r="ATI83" s="240"/>
      <c r="ATJ83" s="235"/>
      <c r="ATK83" s="236"/>
      <c r="ATL83" s="236"/>
      <c r="ATM83" s="236"/>
      <c r="ATN83" s="236"/>
      <c r="ATO83" s="237"/>
      <c r="ATP83" s="236"/>
      <c r="ATQ83" s="236"/>
      <c r="ATR83" s="236"/>
      <c r="ATS83" s="236"/>
      <c r="ATT83" s="236"/>
      <c r="ATU83" s="238"/>
      <c r="ATV83" s="236"/>
      <c r="ATW83" s="236"/>
      <c r="ATX83" s="236"/>
      <c r="ATY83" s="236"/>
      <c r="ATZ83" s="236"/>
      <c r="AUA83" s="239"/>
      <c r="AUB83" s="236"/>
      <c r="AUC83" s="236"/>
      <c r="AUD83" s="236"/>
      <c r="AUE83" s="236"/>
      <c r="AUF83" s="236"/>
      <c r="AUG83" s="238"/>
      <c r="AUH83" s="236"/>
      <c r="AUI83" s="236"/>
      <c r="AUJ83" s="236"/>
      <c r="AUK83" s="236"/>
      <c r="AUL83" s="236"/>
      <c r="AUM83" s="239"/>
      <c r="AUN83" s="236"/>
      <c r="AUO83" s="236"/>
      <c r="AUP83" s="236"/>
      <c r="AUQ83" s="236"/>
      <c r="AUR83" s="236"/>
      <c r="AUS83" s="238"/>
      <c r="AUT83" s="236"/>
      <c r="AUU83" s="236"/>
      <c r="AUV83" s="236"/>
      <c r="AUW83" s="236"/>
      <c r="AUX83" s="236"/>
      <c r="AUY83" s="239"/>
      <c r="AUZ83" s="236"/>
      <c r="AVA83" s="236"/>
      <c r="AVB83" s="236"/>
      <c r="AVC83" s="236"/>
      <c r="AVD83" s="236"/>
      <c r="AVE83" s="238"/>
      <c r="AVF83" s="236"/>
      <c r="AVG83" s="236"/>
      <c r="AVH83" s="236"/>
      <c r="AVI83" s="236"/>
      <c r="AVJ83" s="236"/>
      <c r="AVK83" s="239"/>
      <c r="AVL83" s="236"/>
      <c r="AVM83" s="236"/>
      <c r="AVN83" s="236"/>
      <c r="AVO83" s="236"/>
      <c r="AVP83" s="236"/>
      <c r="AVQ83" s="240"/>
      <c r="AVR83" s="235"/>
      <c r="AVS83" s="236"/>
      <c r="AVT83" s="236"/>
      <c r="AVU83" s="236"/>
      <c r="AVV83" s="236"/>
      <c r="AVW83" s="237"/>
      <c r="AVX83" s="236"/>
      <c r="AVY83" s="236"/>
      <c r="AVZ83" s="236"/>
      <c r="AWA83" s="236"/>
      <c r="AWB83" s="236"/>
      <c r="AWC83" s="238"/>
      <c r="AWD83" s="236"/>
      <c r="AWE83" s="236"/>
      <c r="AWF83" s="236"/>
      <c r="AWG83" s="236"/>
      <c r="AWH83" s="236"/>
      <c r="AWI83" s="239"/>
      <c r="AWJ83" s="236"/>
      <c r="AWK83" s="236"/>
      <c r="AWL83" s="236"/>
      <c r="AWM83" s="236"/>
      <c r="AWN83" s="236"/>
      <c r="AWO83" s="238"/>
      <c r="AWP83" s="236"/>
      <c r="AWQ83" s="236"/>
      <c r="AWR83" s="236"/>
      <c r="AWS83" s="236"/>
      <c r="AWT83" s="236"/>
      <c r="AWU83" s="239"/>
      <c r="AWV83" s="236"/>
      <c r="AWW83" s="236"/>
      <c r="AWX83" s="236"/>
      <c r="AWY83" s="236"/>
      <c r="AWZ83" s="236"/>
      <c r="AXA83" s="238"/>
      <c r="AXB83" s="236"/>
      <c r="AXC83" s="236"/>
      <c r="AXD83" s="236"/>
      <c r="AXE83" s="236"/>
      <c r="AXF83" s="236"/>
      <c r="AXG83" s="239"/>
      <c r="AXH83" s="236"/>
      <c r="AXI83" s="236"/>
      <c r="AXJ83" s="236"/>
      <c r="AXK83" s="236"/>
      <c r="AXL83" s="236"/>
      <c r="AXM83" s="238"/>
      <c r="AXN83" s="236"/>
      <c r="AXO83" s="236"/>
      <c r="AXP83" s="236"/>
      <c r="AXQ83" s="236"/>
      <c r="AXR83" s="236"/>
      <c r="AXS83" s="239"/>
      <c r="AXT83" s="236"/>
      <c r="AXU83" s="236"/>
      <c r="AXV83" s="236"/>
      <c r="AXW83" s="236"/>
      <c r="AXX83" s="236"/>
      <c r="AXY83" s="240"/>
      <c r="AXZ83" s="235"/>
      <c r="AYA83" s="236"/>
      <c r="AYB83" s="236"/>
      <c r="AYC83" s="236"/>
      <c r="AYD83" s="236"/>
      <c r="AYE83" s="237"/>
      <c r="AYF83" s="236"/>
      <c r="AYG83" s="236"/>
      <c r="AYH83" s="236"/>
      <c r="AYI83" s="236"/>
      <c r="AYJ83" s="236"/>
      <c r="AYK83" s="238"/>
      <c r="AYL83" s="236"/>
      <c r="AYM83" s="236"/>
      <c r="AYN83" s="236"/>
      <c r="AYO83" s="236"/>
      <c r="AYP83" s="236"/>
      <c r="AYQ83" s="239"/>
      <c r="AYR83" s="236"/>
      <c r="AYS83" s="236"/>
      <c r="AYT83" s="236"/>
      <c r="AYU83" s="236"/>
      <c r="AYV83" s="236"/>
      <c r="AYW83" s="238"/>
      <c r="AYX83" s="236"/>
      <c r="AYY83" s="236"/>
      <c r="AYZ83" s="236"/>
      <c r="AZA83" s="236"/>
      <c r="AZB83" s="236"/>
      <c r="AZC83" s="239"/>
      <c r="AZD83" s="236"/>
      <c r="AZE83" s="236"/>
      <c r="AZF83" s="236"/>
      <c r="AZG83" s="236"/>
      <c r="AZH83" s="236"/>
      <c r="AZI83" s="238"/>
      <c r="AZJ83" s="236"/>
      <c r="AZK83" s="236"/>
      <c r="AZL83" s="236"/>
      <c r="AZM83" s="236"/>
      <c r="AZN83" s="236"/>
      <c r="AZO83" s="239"/>
      <c r="AZP83" s="236"/>
      <c r="AZQ83" s="236"/>
      <c r="AZR83" s="236"/>
      <c r="AZS83" s="236"/>
      <c r="AZT83" s="236"/>
      <c r="AZU83" s="238"/>
      <c r="AZV83" s="236"/>
      <c r="AZW83" s="236"/>
      <c r="AZX83" s="236"/>
      <c r="AZY83" s="236"/>
      <c r="AZZ83" s="236"/>
      <c r="BAA83" s="239"/>
      <c r="BAB83" s="236"/>
      <c r="BAC83" s="236"/>
      <c r="BAD83" s="236"/>
      <c r="BAE83" s="236"/>
      <c r="BAF83" s="236"/>
      <c r="BAG83" s="240"/>
      <c r="BAH83" s="235"/>
      <c r="BAI83" s="236"/>
      <c r="BAJ83" s="236"/>
      <c r="BAK83" s="236"/>
      <c r="BAL83" s="236"/>
      <c r="BAM83" s="237"/>
      <c r="BAN83" s="236"/>
      <c r="BAO83" s="236"/>
      <c r="BAP83" s="236"/>
      <c r="BAQ83" s="236"/>
      <c r="BAR83" s="236"/>
      <c r="BAS83" s="238"/>
      <c r="BAT83" s="236"/>
      <c r="BAU83" s="236"/>
      <c r="BAV83" s="236"/>
      <c r="BAW83" s="236"/>
      <c r="BAX83" s="236"/>
      <c r="BAY83" s="239"/>
      <c r="BAZ83" s="236"/>
      <c r="BBA83" s="236"/>
      <c r="BBB83" s="236"/>
      <c r="BBC83" s="236"/>
      <c r="BBD83" s="236"/>
      <c r="BBE83" s="238"/>
      <c r="BBF83" s="236"/>
      <c r="BBG83" s="236"/>
      <c r="BBH83" s="236"/>
      <c r="BBI83" s="236"/>
      <c r="BBJ83" s="236"/>
      <c r="BBK83" s="239"/>
      <c r="BBL83" s="236"/>
      <c r="BBM83" s="236"/>
      <c r="BBN83" s="236"/>
      <c r="BBO83" s="236"/>
      <c r="BBP83" s="236"/>
      <c r="BBQ83" s="238"/>
      <c r="BBR83" s="236"/>
      <c r="BBS83" s="236"/>
      <c r="BBT83" s="236"/>
      <c r="BBU83" s="236"/>
      <c r="BBV83" s="236"/>
      <c r="BBW83" s="239"/>
      <c r="BBX83" s="236"/>
      <c r="BBY83" s="236"/>
      <c r="BBZ83" s="236"/>
      <c r="BCA83" s="236"/>
      <c r="BCB83" s="236"/>
      <c r="BCC83" s="238"/>
      <c r="BCD83" s="236"/>
      <c r="BCE83" s="236"/>
      <c r="BCF83" s="236"/>
      <c r="BCG83" s="236"/>
      <c r="BCH83" s="236"/>
      <c r="BCI83" s="239"/>
      <c r="BCJ83" s="236"/>
      <c r="BCK83" s="236"/>
      <c r="BCL83" s="236"/>
      <c r="BCM83" s="236"/>
      <c r="BCN83" s="236"/>
      <c r="BCO83" s="240"/>
      <c r="BCP83" s="235"/>
      <c r="BCQ83" s="236"/>
      <c r="BCR83" s="236"/>
      <c r="BCS83" s="236"/>
      <c r="BCT83" s="236"/>
      <c r="BCU83" s="237"/>
      <c r="BCV83" s="236"/>
      <c r="BCW83" s="236"/>
      <c r="BCX83" s="236"/>
      <c r="BCY83" s="236"/>
      <c r="BCZ83" s="236"/>
      <c r="BDA83" s="238"/>
      <c r="BDB83" s="236"/>
      <c r="BDC83" s="236"/>
      <c r="BDD83" s="236"/>
      <c r="BDE83" s="236"/>
      <c r="BDF83" s="236"/>
      <c r="BDG83" s="239"/>
      <c r="BDH83" s="236"/>
      <c r="BDI83" s="236"/>
      <c r="BDJ83" s="236"/>
      <c r="BDK83" s="236"/>
      <c r="BDL83" s="236"/>
      <c r="BDM83" s="238"/>
      <c r="BDN83" s="236"/>
      <c r="BDO83" s="236"/>
      <c r="BDP83" s="236"/>
      <c r="BDQ83" s="236"/>
      <c r="BDR83" s="236"/>
      <c r="BDS83" s="239"/>
      <c r="BDT83" s="236"/>
      <c r="BDU83" s="236"/>
      <c r="BDV83" s="236"/>
      <c r="BDW83" s="236"/>
      <c r="BDX83" s="236"/>
      <c r="BDY83" s="238"/>
      <c r="BDZ83" s="236"/>
      <c r="BEA83" s="236"/>
      <c r="BEB83" s="236"/>
      <c r="BEC83" s="236"/>
      <c r="BED83" s="236"/>
      <c r="BEE83" s="239"/>
      <c r="BEF83" s="236"/>
      <c r="BEG83" s="236"/>
      <c r="BEH83" s="236"/>
      <c r="BEI83" s="236"/>
      <c r="BEJ83" s="236"/>
      <c r="BEK83" s="238"/>
      <c r="BEL83" s="236"/>
      <c r="BEM83" s="236"/>
      <c r="BEN83" s="236"/>
      <c r="BEO83" s="236"/>
      <c r="BEP83" s="236"/>
      <c r="BEQ83" s="239"/>
      <c r="BER83" s="236"/>
      <c r="BES83" s="236"/>
      <c r="BET83" s="236"/>
      <c r="BEU83" s="236"/>
      <c r="BEV83" s="236"/>
      <c r="BEW83" s="240"/>
      <c r="BEX83" s="235"/>
      <c r="BEY83" s="236"/>
      <c r="BEZ83" s="236"/>
      <c r="BFA83" s="236"/>
      <c r="BFB83" s="236"/>
      <c r="BFC83" s="237"/>
      <c r="BFD83" s="236"/>
      <c r="BFE83" s="236"/>
      <c r="BFF83" s="236"/>
      <c r="BFG83" s="236"/>
      <c r="BFH83" s="236"/>
      <c r="BFI83" s="238"/>
      <c r="BFJ83" s="236"/>
      <c r="BFK83" s="236"/>
      <c r="BFL83" s="236"/>
      <c r="BFM83" s="236"/>
      <c r="BFN83" s="236"/>
      <c r="BFO83" s="239"/>
      <c r="BFP83" s="236"/>
      <c r="BFQ83" s="236"/>
      <c r="BFR83" s="236"/>
      <c r="BFS83" s="236"/>
      <c r="BFT83" s="236"/>
      <c r="BFU83" s="238"/>
      <c r="BFV83" s="236"/>
      <c r="BFW83" s="236"/>
      <c r="BFX83" s="236"/>
      <c r="BFY83" s="236"/>
      <c r="BFZ83" s="236"/>
      <c r="BGA83" s="239"/>
      <c r="BGB83" s="236"/>
      <c r="BGC83" s="236"/>
      <c r="BGD83" s="236"/>
      <c r="BGE83" s="236"/>
      <c r="BGF83" s="236"/>
      <c r="BGG83" s="238"/>
      <c r="BGH83" s="236"/>
      <c r="BGI83" s="236"/>
      <c r="BGJ83" s="236"/>
      <c r="BGK83" s="236"/>
      <c r="BGL83" s="236"/>
      <c r="BGM83" s="239"/>
      <c r="BGN83" s="236"/>
      <c r="BGO83" s="236"/>
      <c r="BGP83" s="236"/>
      <c r="BGQ83" s="236"/>
      <c r="BGR83" s="236"/>
      <c r="BGS83" s="238"/>
      <c r="BGT83" s="236"/>
      <c r="BGU83" s="236"/>
      <c r="BGV83" s="236"/>
      <c r="BGW83" s="236"/>
      <c r="BGX83" s="236"/>
      <c r="BGY83" s="239"/>
      <c r="BGZ83" s="236"/>
      <c r="BHA83" s="236"/>
      <c r="BHB83" s="236"/>
      <c r="BHC83" s="236"/>
      <c r="BHD83" s="236"/>
      <c r="BHE83" s="240"/>
      <c r="BHF83" s="235"/>
      <c r="BHG83" s="236"/>
      <c r="BHH83" s="236"/>
      <c r="BHI83" s="236"/>
      <c r="BHJ83" s="236"/>
      <c r="BHK83" s="237"/>
      <c r="BHL83" s="236"/>
      <c r="BHM83" s="236"/>
      <c r="BHN83" s="236"/>
      <c r="BHO83" s="236"/>
      <c r="BHP83" s="236"/>
      <c r="BHQ83" s="238"/>
      <c r="BHR83" s="236"/>
      <c r="BHS83" s="236"/>
      <c r="BHT83" s="236"/>
      <c r="BHU83" s="236"/>
      <c r="BHV83" s="236"/>
      <c r="BHW83" s="239"/>
      <c r="BHX83" s="236"/>
      <c r="BHY83" s="236"/>
      <c r="BHZ83" s="236"/>
      <c r="BIA83" s="236"/>
      <c r="BIB83" s="236"/>
      <c r="BIC83" s="238"/>
      <c r="BID83" s="236"/>
      <c r="BIE83" s="236"/>
      <c r="BIF83" s="236"/>
      <c r="BIG83" s="236"/>
      <c r="BIH83" s="236"/>
      <c r="BII83" s="239"/>
      <c r="BIJ83" s="236"/>
      <c r="BIK83" s="236"/>
      <c r="BIL83" s="236"/>
      <c r="BIM83" s="236"/>
      <c r="BIN83" s="236"/>
      <c r="BIO83" s="238"/>
      <c r="BIP83" s="236"/>
      <c r="BIQ83" s="236"/>
      <c r="BIR83" s="236"/>
      <c r="BIS83" s="236"/>
      <c r="BIT83" s="236"/>
      <c r="BIU83" s="239"/>
      <c r="BIV83" s="236"/>
      <c r="BIW83" s="236"/>
      <c r="BIX83" s="236"/>
      <c r="BIY83" s="236"/>
      <c r="BIZ83" s="236"/>
      <c r="BJA83" s="238"/>
      <c r="BJB83" s="236"/>
      <c r="BJC83" s="236"/>
      <c r="BJD83" s="236"/>
      <c r="BJE83" s="236"/>
      <c r="BJF83" s="236"/>
      <c r="BJG83" s="239"/>
      <c r="BJH83" s="236"/>
      <c r="BJI83" s="236"/>
      <c r="BJJ83" s="236"/>
      <c r="BJK83" s="236"/>
      <c r="BJL83" s="236"/>
      <c r="BJM83" s="240"/>
      <c r="BJN83" s="233"/>
      <c r="BJO83" s="234"/>
      <c r="BJP83" s="234"/>
      <c r="BJQ83" s="234"/>
      <c r="BJR83" s="234"/>
      <c r="BJS83" s="234"/>
      <c r="BJT83" s="234"/>
      <c r="BJU83" s="234"/>
      <c r="BJV83" s="234"/>
      <c r="BJW83" s="234"/>
      <c r="BJX83" s="234"/>
      <c r="BJY83" s="234"/>
      <c r="BJZ83" s="234"/>
      <c r="BKA83" s="234"/>
      <c r="BKB83" s="234"/>
      <c r="BKC83" s="234"/>
      <c r="BKD83" s="234"/>
      <c r="BKE83" s="234"/>
      <c r="BKF83" s="234"/>
      <c r="BKG83" s="234"/>
      <c r="BKH83" s="234"/>
      <c r="BKI83" s="234"/>
      <c r="BKJ83" s="234"/>
      <c r="BKK83" s="234"/>
      <c r="BKL83" s="234"/>
      <c r="BKM83" s="234"/>
      <c r="BKN83" s="234"/>
    </row>
    <row r="84" spans="1:1652" ht="20.100000000000001" customHeight="1" x14ac:dyDescent="0.25">
      <c r="A84" s="84" t="s">
        <v>20</v>
      </c>
      <c r="B84" s="53"/>
      <c r="C84" s="178"/>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174"/>
      <c r="BJO84" s="4"/>
      <c r="BJP84" s="4"/>
      <c r="BJQ84" s="4"/>
      <c r="BJR84" s="4"/>
      <c r="BJS84" s="4"/>
      <c r="BJT84" s="4"/>
      <c r="BJU84" s="4"/>
      <c r="BJV84" s="4"/>
      <c r="BJW84" s="4"/>
      <c r="BJX84" s="4"/>
      <c r="BJY84" s="4"/>
      <c r="BJZ84" s="4"/>
      <c r="BKA84" s="4"/>
      <c r="BKB84" s="4"/>
      <c r="BKC84" s="4"/>
      <c r="BKD84" s="4"/>
      <c r="BKE84" s="4"/>
      <c r="BKF84" s="4"/>
      <c r="BKG84" s="4"/>
      <c r="BKH84" s="4"/>
      <c r="BKI84" s="4"/>
      <c r="BKJ84" s="4"/>
      <c r="BKK84" s="4"/>
      <c r="BKL84" s="4"/>
      <c r="BKM84" s="4"/>
      <c r="BKN84" s="4"/>
    </row>
    <row r="85" spans="1:1652" ht="20.100000000000001" customHeight="1" x14ac:dyDescent="0.25">
      <c r="A85" s="84" t="s">
        <v>19</v>
      </c>
      <c r="B85" s="53"/>
      <c r="C85" s="177"/>
      <c r="D85" s="129" t="str">
        <f t="shared" si="1"/>
        <v>0h</v>
      </c>
      <c r="E85" s="26">
        <v>0</v>
      </c>
      <c r="F85" s="241"/>
      <c r="G85" s="242"/>
      <c r="H85" s="242"/>
      <c r="I85" s="242"/>
      <c r="J85" s="242"/>
      <c r="K85" s="243"/>
      <c r="L85" s="242"/>
      <c r="M85" s="242"/>
      <c r="N85" s="242"/>
      <c r="O85" s="242"/>
      <c r="P85" s="242"/>
      <c r="Q85" s="244"/>
      <c r="R85" s="242"/>
      <c r="S85" s="242"/>
      <c r="T85" s="242"/>
      <c r="U85" s="242"/>
      <c r="V85" s="242"/>
      <c r="W85" s="245"/>
      <c r="X85" s="242"/>
      <c r="Y85" s="242"/>
      <c r="Z85" s="242"/>
      <c r="AA85" s="242"/>
      <c r="AB85" s="242"/>
      <c r="AC85" s="244"/>
      <c r="AD85" s="242"/>
      <c r="AE85" s="242"/>
      <c r="AF85" s="242"/>
      <c r="AG85" s="242"/>
      <c r="AH85" s="242"/>
      <c r="AI85" s="245"/>
      <c r="AJ85" s="242"/>
      <c r="AK85" s="242"/>
      <c r="AL85" s="242"/>
      <c r="AM85" s="242"/>
      <c r="AN85" s="242"/>
      <c r="AO85" s="244"/>
      <c r="AP85" s="242"/>
      <c r="AQ85" s="242"/>
      <c r="AR85" s="242"/>
      <c r="AS85" s="242"/>
      <c r="AT85" s="242"/>
      <c r="AU85" s="245"/>
      <c r="AV85" s="242"/>
      <c r="AW85" s="242"/>
      <c r="AX85" s="242"/>
      <c r="AY85" s="242"/>
      <c r="AZ85" s="242"/>
      <c r="BA85" s="244"/>
      <c r="BB85" s="242"/>
      <c r="BC85" s="242"/>
      <c r="BD85" s="242"/>
      <c r="BE85" s="242"/>
      <c r="BF85" s="242"/>
      <c r="BG85" s="245"/>
      <c r="BH85" s="242"/>
      <c r="BI85" s="242"/>
      <c r="BJ85" s="242"/>
      <c r="BK85" s="242"/>
      <c r="BL85" s="242"/>
      <c r="BM85" s="246"/>
      <c r="BN85" s="241"/>
      <c r="BO85" s="242"/>
      <c r="BP85" s="242"/>
      <c r="BQ85" s="242"/>
      <c r="BR85" s="242"/>
      <c r="BS85" s="243"/>
      <c r="BT85" s="242"/>
      <c r="BU85" s="242"/>
      <c r="BV85" s="242"/>
      <c r="BW85" s="242"/>
      <c r="BX85" s="242"/>
      <c r="BY85" s="244"/>
      <c r="BZ85" s="242"/>
      <c r="CA85" s="242"/>
      <c r="CB85" s="242"/>
      <c r="CC85" s="242"/>
      <c r="CD85" s="242"/>
      <c r="CE85" s="245"/>
      <c r="CF85" s="242"/>
      <c r="CG85" s="242"/>
      <c r="CH85" s="242"/>
      <c r="CI85" s="242"/>
      <c r="CJ85" s="242"/>
      <c r="CK85" s="244"/>
      <c r="CL85" s="242"/>
      <c r="CM85" s="242"/>
      <c r="CN85" s="242"/>
      <c r="CO85" s="242"/>
      <c r="CP85" s="242"/>
      <c r="CQ85" s="245"/>
      <c r="CR85" s="242"/>
      <c r="CS85" s="242"/>
      <c r="CT85" s="242"/>
      <c r="CU85" s="242"/>
      <c r="CV85" s="242"/>
      <c r="CW85" s="244"/>
      <c r="CX85" s="242"/>
      <c r="CY85" s="242"/>
      <c r="CZ85" s="242"/>
      <c r="DA85" s="242"/>
      <c r="DB85" s="242"/>
      <c r="DC85" s="245"/>
      <c r="DD85" s="242"/>
      <c r="DE85" s="242"/>
      <c r="DF85" s="242"/>
      <c r="DG85" s="242"/>
      <c r="DH85" s="242"/>
      <c r="DI85" s="244"/>
      <c r="DJ85" s="242"/>
      <c r="DK85" s="242"/>
      <c r="DL85" s="242"/>
      <c r="DM85" s="242"/>
      <c r="DN85" s="242"/>
      <c r="DO85" s="245"/>
      <c r="DP85" s="242"/>
      <c r="DQ85" s="242"/>
      <c r="DR85" s="242"/>
      <c r="DS85" s="242"/>
      <c r="DT85" s="242"/>
      <c r="DU85" s="246"/>
      <c r="DV85" s="241"/>
      <c r="DW85" s="242"/>
      <c r="DX85" s="242"/>
      <c r="DY85" s="242"/>
      <c r="DZ85" s="242"/>
      <c r="EA85" s="243"/>
      <c r="EB85" s="242"/>
      <c r="EC85" s="242"/>
      <c r="ED85" s="242"/>
      <c r="EE85" s="242"/>
      <c r="EF85" s="242"/>
      <c r="EG85" s="244"/>
      <c r="EH85" s="242"/>
      <c r="EI85" s="242"/>
      <c r="EJ85" s="242"/>
      <c r="EK85" s="242"/>
      <c r="EL85" s="242"/>
      <c r="EM85" s="245"/>
      <c r="EN85" s="242"/>
      <c r="EO85" s="242"/>
      <c r="EP85" s="242"/>
      <c r="EQ85" s="242"/>
      <c r="ER85" s="242"/>
      <c r="ES85" s="244"/>
      <c r="ET85" s="242"/>
      <c r="EU85" s="242"/>
      <c r="EV85" s="242"/>
      <c r="EW85" s="242"/>
      <c r="EX85" s="242"/>
      <c r="EY85" s="245"/>
      <c r="EZ85" s="242"/>
      <c r="FA85" s="242"/>
      <c r="FB85" s="242"/>
      <c r="FC85" s="242"/>
      <c r="FD85" s="242"/>
      <c r="FE85" s="244"/>
      <c r="FF85" s="242"/>
      <c r="FG85" s="242"/>
      <c r="FH85" s="242"/>
      <c r="FI85" s="242"/>
      <c r="FJ85" s="242"/>
      <c r="FK85" s="245"/>
      <c r="FL85" s="242"/>
      <c r="FM85" s="242"/>
      <c r="FN85" s="242"/>
      <c r="FO85" s="242"/>
      <c r="FP85" s="242"/>
      <c r="FQ85" s="244"/>
      <c r="FR85" s="242"/>
      <c r="FS85" s="242"/>
      <c r="FT85" s="242"/>
      <c r="FU85" s="242"/>
      <c r="FV85" s="242"/>
      <c r="FW85" s="245"/>
      <c r="FX85" s="242"/>
      <c r="FY85" s="242"/>
      <c r="FZ85" s="242"/>
      <c r="GA85" s="242"/>
      <c r="GB85" s="242"/>
      <c r="GC85" s="246"/>
      <c r="GD85" s="241"/>
      <c r="GE85" s="242"/>
      <c r="GF85" s="242"/>
      <c r="GG85" s="242"/>
      <c r="GH85" s="242"/>
      <c r="GI85" s="243"/>
      <c r="GJ85" s="242"/>
      <c r="GK85" s="242"/>
      <c r="GL85" s="242"/>
      <c r="GM85" s="242"/>
      <c r="GN85" s="242"/>
      <c r="GO85" s="244"/>
      <c r="GP85" s="242"/>
      <c r="GQ85" s="242"/>
      <c r="GR85" s="242"/>
      <c r="GS85" s="242"/>
      <c r="GT85" s="242"/>
      <c r="GU85" s="245"/>
      <c r="GV85" s="242"/>
      <c r="GW85" s="242"/>
      <c r="GX85" s="242"/>
      <c r="GY85" s="242"/>
      <c r="GZ85" s="242"/>
      <c r="HA85" s="244"/>
      <c r="HB85" s="242"/>
      <c r="HC85" s="242"/>
      <c r="HD85" s="242"/>
      <c r="HE85" s="242"/>
      <c r="HF85" s="242"/>
      <c r="HG85" s="245"/>
      <c r="HH85" s="242"/>
      <c r="HI85" s="242"/>
      <c r="HJ85" s="242"/>
      <c r="HK85" s="242"/>
      <c r="HL85" s="242"/>
      <c r="HM85" s="244"/>
      <c r="HN85" s="242"/>
      <c r="HO85" s="242"/>
      <c r="HP85" s="242"/>
      <c r="HQ85" s="242"/>
      <c r="HR85" s="242"/>
      <c r="HS85" s="245"/>
      <c r="HT85" s="242"/>
      <c r="HU85" s="242"/>
      <c r="HV85" s="242"/>
      <c r="HW85" s="242"/>
      <c r="HX85" s="242"/>
      <c r="HY85" s="244"/>
      <c r="HZ85" s="242"/>
      <c r="IA85" s="242"/>
      <c r="IB85" s="242"/>
      <c r="IC85" s="242"/>
      <c r="ID85" s="242"/>
      <c r="IE85" s="245"/>
      <c r="IF85" s="242"/>
      <c r="IG85" s="242"/>
      <c r="IH85" s="242"/>
      <c r="II85" s="242"/>
      <c r="IJ85" s="242"/>
      <c r="IK85" s="246"/>
      <c r="IL85" s="241"/>
      <c r="IM85" s="242"/>
      <c r="IN85" s="242"/>
      <c r="IO85" s="242"/>
      <c r="IP85" s="242"/>
      <c r="IQ85" s="243"/>
      <c r="IR85" s="242"/>
      <c r="IS85" s="242"/>
      <c r="IT85" s="242"/>
      <c r="IU85" s="242"/>
      <c r="IV85" s="242"/>
      <c r="IW85" s="244"/>
      <c r="IX85" s="242"/>
      <c r="IY85" s="242"/>
      <c r="IZ85" s="242"/>
      <c r="JA85" s="242"/>
      <c r="JB85" s="242"/>
      <c r="JC85" s="245"/>
      <c r="JD85" s="242"/>
      <c r="JE85" s="242"/>
      <c r="JF85" s="242"/>
      <c r="JG85" s="242"/>
      <c r="JH85" s="242"/>
      <c r="JI85" s="244"/>
      <c r="JJ85" s="242"/>
      <c r="JK85" s="242"/>
      <c r="JL85" s="242"/>
      <c r="JM85" s="242"/>
      <c r="JN85" s="242"/>
      <c r="JO85" s="245"/>
      <c r="JP85" s="242"/>
      <c r="JQ85" s="242"/>
      <c r="JR85" s="242"/>
      <c r="JS85" s="242"/>
      <c r="JT85" s="242"/>
      <c r="JU85" s="244"/>
      <c r="JV85" s="242"/>
      <c r="JW85" s="242"/>
      <c r="JX85" s="242"/>
      <c r="JY85" s="242"/>
      <c r="JZ85" s="242"/>
      <c r="KA85" s="245"/>
      <c r="KB85" s="242"/>
      <c r="KC85" s="242"/>
      <c r="KD85" s="242"/>
      <c r="KE85" s="242"/>
      <c r="KF85" s="242"/>
      <c r="KG85" s="244"/>
      <c r="KH85" s="242"/>
      <c r="KI85" s="242"/>
      <c r="KJ85" s="242"/>
      <c r="KK85" s="242"/>
      <c r="KL85" s="242"/>
      <c r="KM85" s="245"/>
      <c r="KN85" s="242"/>
      <c r="KO85" s="242"/>
      <c r="KP85" s="242"/>
      <c r="KQ85" s="242"/>
      <c r="KR85" s="242"/>
      <c r="KS85" s="246"/>
      <c r="KT85" s="241"/>
      <c r="KU85" s="242"/>
      <c r="KV85" s="242"/>
      <c r="KW85" s="242"/>
      <c r="KX85" s="242"/>
      <c r="KY85" s="243"/>
      <c r="KZ85" s="242"/>
      <c r="LA85" s="242"/>
      <c r="LB85" s="242"/>
      <c r="LC85" s="242"/>
      <c r="LD85" s="242"/>
      <c r="LE85" s="244"/>
      <c r="LF85" s="242"/>
      <c r="LG85" s="242"/>
      <c r="LH85" s="242"/>
      <c r="LI85" s="242"/>
      <c r="LJ85" s="242"/>
      <c r="LK85" s="245"/>
      <c r="LL85" s="242"/>
      <c r="LM85" s="242"/>
      <c r="LN85" s="242"/>
      <c r="LO85" s="242"/>
      <c r="LP85" s="242"/>
      <c r="LQ85" s="244"/>
      <c r="LR85" s="242"/>
      <c r="LS85" s="242"/>
      <c r="LT85" s="242"/>
      <c r="LU85" s="242"/>
      <c r="LV85" s="242"/>
      <c r="LW85" s="245"/>
      <c r="LX85" s="242"/>
      <c r="LY85" s="242"/>
      <c r="LZ85" s="242"/>
      <c r="MA85" s="242"/>
      <c r="MB85" s="242"/>
      <c r="MC85" s="244"/>
      <c r="MD85" s="242"/>
      <c r="ME85" s="242"/>
      <c r="MF85" s="242"/>
      <c r="MG85" s="242"/>
      <c r="MH85" s="242"/>
      <c r="MI85" s="245"/>
      <c r="MJ85" s="242"/>
      <c r="MK85" s="242"/>
      <c r="ML85" s="242"/>
      <c r="MM85" s="242"/>
      <c r="MN85" s="242"/>
      <c r="MO85" s="244"/>
      <c r="MP85" s="242"/>
      <c r="MQ85" s="242"/>
      <c r="MR85" s="242"/>
      <c r="MS85" s="242"/>
      <c r="MT85" s="242"/>
      <c r="MU85" s="245"/>
      <c r="MV85" s="242"/>
      <c r="MW85" s="242"/>
      <c r="MX85" s="242"/>
      <c r="MY85" s="242"/>
      <c r="MZ85" s="242"/>
      <c r="NA85" s="246"/>
      <c r="NB85" s="241"/>
      <c r="NC85" s="242"/>
      <c r="ND85" s="242"/>
      <c r="NE85" s="242"/>
      <c r="NF85" s="242"/>
      <c r="NG85" s="243"/>
      <c r="NH85" s="242"/>
      <c r="NI85" s="242"/>
      <c r="NJ85" s="242"/>
      <c r="NK85" s="242"/>
      <c r="NL85" s="242"/>
      <c r="NM85" s="244"/>
      <c r="NN85" s="242"/>
      <c r="NO85" s="242"/>
      <c r="NP85" s="242"/>
      <c r="NQ85" s="242"/>
      <c r="NR85" s="242"/>
      <c r="NS85" s="245"/>
      <c r="NT85" s="242"/>
      <c r="NU85" s="242"/>
      <c r="NV85" s="242"/>
      <c r="NW85" s="242"/>
      <c r="NX85" s="242"/>
      <c r="NY85" s="244"/>
      <c r="NZ85" s="242"/>
      <c r="OA85" s="242"/>
      <c r="OB85" s="242"/>
      <c r="OC85" s="242"/>
      <c r="OD85" s="242"/>
      <c r="OE85" s="245"/>
      <c r="OF85" s="242"/>
      <c r="OG85" s="242"/>
      <c r="OH85" s="242"/>
      <c r="OI85" s="242"/>
      <c r="OJ85" s="242"/>
      <c r="OK85" s="244"/>
      <c r="OL85" s="242"/>
      <c r="OM85" s="242"/>
      <c r="ON85" s="242"/>
      <c r="OO85" s="242"/>
      <c r="OP85" s="242"/>
      <c r="OQ85" s="245"/>
      <c r="OR85" s="242"/>
      <c r="OS85" s="242"/>
      <c r="OT85" s="242"/>
      <c r="OU85" s="242"/>
      <c r="OV85" s="242"/>
      <c r="OW85" s="244"/>
      <c r="OX85" s="242"/>
      <c r="OY85" s="242"/>
      <c r="OZ85" s="242"/>
      <c r="PA85" s="242"/>
      <c r="PB85" s="242"/>
      <c r="PC85" s="245"/>
      <c r="PD85" s="242"/>
      <c r="PE85" s="242"/>
      <c r="PF85" s="242"/>
      <c r="PG85" s="242"/>
      <c r="PH85" s="242"/>
      <c r="PI85" s="246"/>
      <c r="PJ85" s="241"/>
      <c r="PK85" s="242"/>
      <c r="PL85" s="242"/>
      <c r="PM85" s="242"/>
      <c r="PN85" s="242"/>
      <c r="PO85" s="243"/>
      <c r="PP85" s="242"/>
      <c r="PQ85" s="242"/>
      <c r="PR85" s="242"/>
      <c r="PS85" s="242"/>
      <c r="PT85" s="242"/>
      <c r="PU85" s="244"/>
      <c r="PV85" s="242"/>
      <c r="PW85" s="242"/>
      <c r="PX85" s="242"/>
      <c r="PY85" s="242"/>
      <c r="PZ85" s="242"/>
      <c r="QA85" s="245"/>
      <c r="QB85" s="242"/>
      <c r="QC85" s="242"/>
      <c r="QD85" s="242"/>
      <c r="QE85" s="242"/>
      <c r="QF85" s="242"/>
      <c r="QG85" s="244"/>
      <c r="QH85" s="242"/>
      <c r="QI85" s="242"/>
      <c r="QJ85" s="242"/>
      <c r="QK85" s="242"/>
      <c r="QL85" s="242"/>
      <c r="QM85" s="245"/>
      <c r="QN85" s="242"/>
      <c r="QO85" s="242"/>
      <c r="QP85" s="242"/>
      <c r="QQ85" s="242"/>
      <c r="QR85" s="242"/>
      <c r="QS85" s="244"/>
      <c r="QT85" s="242"/>
      <c r="QU85" s="242"/>
      <c r="QV85" s="242"/>
      <c r="QW85" s="242"/>
      <c r="QX85" s="242"/>
      <c r="QY85" s="245"/>
      <c r="QZ85" s="242"/>
      <c r="RA85" s="242"/>
      <c r="RB85" s="242"/>
      <c r="RC85" s="242"/>
      <c r="RD85" s="242"/>
      <c r="RE85" s="244"/>
      <c r="RF85" s="242"/>
      <c r="RG85" s="242"/>
      <c r="RH85" s="242"/>
      <c r="RI85" s="242"/>
      <c r="RJ85" s="242"/>
      <c r="RK85" s="245"/>
      <c r="RL85" s="242"/>
      <c r="RM85" s="242"/>
      <c r="RN85" s="242"/>
      <c r="RO85" s="242"/>
      <c r="RP85" s="242"/>
      <c r="RQ85" s="246"/>
      <c r="RR85" s="241"/>
      <c r="RS85" s="242"/>
      <c r="RT85" s="242"/>
      <c r="RU85" s="242"/>
      <c r="RV85" s="242"/>
      <c r="RW85" s="243"/>
      <c r="RX85" s="242"/>
      <c r="RY85" s="242"/>
      <c r="RZ85" s="242"/>
      <c r="SA85" s="242"/>
      <c r="SB85" s="242"/>
      <c r="SC85" s="244"/>
      <c r="SD85" s="242"/>
      <c r="SE85" s="242"/>
      <c r="SF85" s="242"/>
      <c r="SG85" s="242"/>
      <c r="SH85" s="242"/>
      <c r="SI85" s="245"/>
      <c r="SJ85" s="242"/>
      <c r="SK85" s="242"/>
      <c r="SL85" s="242"/>
      <c r="SM85" s="242"/>
      <c r="SN85" s="242"/>
      <c r="SO85" s="244"/>
      <c r="SP85" s="242"/>
      <c r="SQ85" s="242"/>
      <c r="SR85" s="242"/>
      <c r="SS85" s="242"/>
      <c r="ST85" s="242"/>
      <c r="SU85" s="245"/>
      <c r="SV85" s="242"/>
      <c r="SW85" s="242"/>
      <c r="SX85" s="242"/>
      <c r="SY85" s="242"/>
      <c r="SZ85" s="242"/>
      <c r="TA85" s="244"/>
      <c r="TB85" s="242"/>
      <c r="TC85" s="242"/>
      <c r="TD85" s="242"/>
      <c r="TE85" s="242"/>
      <c r="TF85" s="242"/>
      <c r="TG85" s="245"/>
      <c r="TH85" s="242"/>
      <c r="TI85" s="242"/>
      <c r="TJ85" s="242"/>
      <c r="TK85" s="242"/>
      <c r="TL85" s="242"/>
      <c r="TM85" s="244"/>
      <c r="TN85" s="242"/>
      <c r="TO85" s="242"/>
      <c r="TP85" s="242"/>
      <c r="TQ85" s="242"/>
      <c r="TR85" s="242"/>
      <c r="TS85" s="245"/>
      <c r="TT85" s="242"/>
      <c r="TU85" s="242"/>
      <c r="TV85" s="242"/>
      <c r="TW85" s="242"/>
      <c r="TX85" s="242"/>
      <c r="TY85" s="246"/>
      <c r="TZ85" s="241"/>
      <c r="UA85" s="242"/>
      <c r="UB85" s="242"/>
      <c r="UC85" s="242"/>
      <c r="UD85" s="242"/>
      <c r="UE85" s="243"/>
      <c r="UF85" s="242"/>
      <c r="UG85" s="242"/>
      <c r="UH85" s="242"/>
      <c r="UI85" s="242"/>
      <c r="UJ85" s="242"/>
      <c r="UK85" s="244"/>
      <c r="UL85" s="242"/>
      <c r="UM85" s="242"/>
      <c r="UN85" s="242"/>
      <c r="UO85" s="242"/>
      <c r="UP85" s="242"/>
      <c r="UQ85" s="245"/>
      <c r="UR85" s="242"/>
      <c r="US85" s="242"/>
      <c r="UT85" s="242"/>
      <c r="UU85" s="242"/>
      <c r="UV85" s="242"/>
      <c r="UW85" s="244"/>
      <c r="UX85" s="242"/>
      <c r="UY85" s="242"/>
      <c r="UZ85" s="242"/>
      <c r="VA85" s="242"/>
      <c r="VB85" s="242"/>
      <c r="VC85" s="245"/>
      <c r="VD85" s="242"/>
      <c r="VE85" s="242"/>
      <c r="VF85" s="242"/>
      <c r="VG85" s="242"/>
      <c r="VH85" s="242"/>
      <c r="VI85" s="244"/>
      <c r="VJ85" s="242"/>
      <c r="VK85" s="242"/>
      <c r="VL85" s="242"/>
      <c r="VM85" s="242"/>
      <c r="VN85" s="242"/>
      <c r="VO85" s="245"/>
      <c r="VP85" s="242"/>
      <c r="VQ85" s="242"/>
      <c r="VR85" s="242"/>
      <c r="VS85" s="242"/>
      <c r="VT85" s="242"/>
      <c r="VU85" s="244"/>
      <c r="VV85" s="242"/>
      <c r="VW85" s="242"/>
      <c r="VX85" s="242"/>
      <c r="VY85" s="242"/>
      <c r="VZ85" s="242"/>
      <c r="WA85" s="245"/>
      <c r="WB85" s="242"/>
      <c r="WC85" s="242"/>
      <c r="WD85" s="242"/>
      <c r="WE85" s="242"/>
      <c r="WF85" s="242"/>
      <c r="WG85" s="246"/>
      <c r="WH85" s="241"/>
      <c r="WI85" s="242"/>
      <c r="WJ85" s="242"/>
      <c r="WK85" s="242"/>
      <c r="WL85" s="242"/>
      <c r="WM85" s="243"/>
      <c r="WN85" s="242"/>
      <c r="WO85" s="242"/>
      <c r="WP85" s="242"/>
      <c r="WQ85" s="242"/>
      <c r="WR85" s="242"/>
      <c r="WS85" s="244"/>
      <c r="WT85" s="242"/>
      <c r="WU85" s="242"/>
      <c r="WV85" s="242"/>
      <c r="WW85" s="242"/>
      <c r="WX85" s="242"/>
      <c r="WY85" s="245"/>
      <c r="WZ85" s="242"/>
      <c r="XA85" s="242"/>
      <c r="XB85" s="242"/>
      <c r="XC85" s="242"/>
      <c r="XD85" s="242"/>
      <c r="XE85" s="244"/>
      <c r="XF85" s="242"/>
      <c r="XG85" s="242"/>
      <c r="XH85" s="242"/>
      <c r="XI85" s="242"/>
      <c r="XJ85" s="242"/>
      <c r="XK85" s="245"/>
      <c r="XL85" s="242"/>
      <c r="XM85" s="242"/>
      <c r="XN85" s="242"/>
      <c r="XO85" s="242"/>
      <c r="XP85" s="242"/>
      <c r="XQ85" s="244"/>
      <c r="XR85" s="242"/>
      <c r="XS85" s="242"/>
      <c r="XT85" s="242"/>
      <c r="XU85" s="242"/>
      <c r="XV85" s="242"/>
      <c r="XW85" s="245"/>
      <c r="XX85" s="242"/>
      <c r="XY85" s="242"/>
      <c r="XZ85" s="242"/>
      <c r="YA85" s="242"/>
      <c r="YB85" s="242"/>
      <c r="YC85" s="244"/>
      <c r="YD85" s="242"/>
      <c r="YE85" s="242"/>
      <c r="YF85" s="242"/>
      <c r="YG85" s="242"/>
      <c r="YH85" s="242"/>
      <c r="YI85" s="245"/>
      <c r="YJ85" s="242"/>
      <c r="YK85" s="242"/>
      <c r="YL85" s="242"/>
      <c r="YM85" s="242"/>
      <c r="YN85" s="242"/>
      <c r="YO85" s="246"/>
      <c r="YP85" s="241"/>
      <c r="YQ85" s="242"/>
      <c r="YR85" s="242"/>
      <c r="YS85" s="242"/>
      <c r="YT85" s="242"/>
      <c r="YU85" s="243"/>
      <c r="YV85" s="242"/>
      <c r="YW85" s="242"/>
      <c r="YX85" s="242"/>
      <c r="YY85" s="242"/>
      <c r="YZ85" s="242"/>
      <c r="ZA85" s="244"/>
      <c r="ZB85" s="242"/>
      <c r="ZC85" s="242"/>
      <c r="ZD85" s="242"/>
      <c r="ZE85" s="242"/>
      <c r="ZF85" s="242"/>
      <c r="ZG85" s="245"/>
      <c r="ZH85" s="242"/>
      <c r="ZI85" s="242"/>
      <c r="ZJ85" s="242"/>
      <c r="ZK85" s="242"/>
      <c r="ZL85" s="242"/>
      <c r="ZM85" s="244"/>
      <c r="ZN85" s="242"/>
      <c r="ZO85" s="242"/>
      <c r="ZP85" s="242"/>
      <c r="ZQ85" s="242"/>
      <c r="ZR85" s="242"/>
      <c r="ZS85" s="245"/>
      <c r="ZT85" s="242"/>
      <c r="ZU85" s="242"/>
      <c r="ZV85" s="242"/>
      <c r="ZW85" s="242"/>
      <c r="ZX85" s="242"/>
      <c r="ZY85" s="244"/>
      <c r="ZZ85" s="242"/>
      <c r="AAA85" s="242"/>
      <c r="AAB85" s="242"/>
      <c r="AAC85" s="242"/>
      <c r="AAD85" s="242"/>
      <c r="AAE85" s="245"/>
      <c r="AAF85" s="242"/>
      <c r="AAG85" s="242"/>
      <c r="AAH85" s="242"/>
      <c r="AAI85" s="242"/>
      <c r="AAJ85" s="242"/>
      <c r="AAK85" s="244"/>
      <c r="AAL85" s="242"/>
      <c r="AAM85" s="242"/>
      <c r="AAN85" s="242"/>
      <c r="AAO85" s="242"/>
      <c r="AAP85" s="242"/>
      <c r="AAQ85" s="245"/>
      <c r="AAR85" s="242"/>
      <c r="AAS85" s="242"/>
      <c r="AAT85" s="242"/>
      <c r="AAU85" s="242"/>
      <c r="AAV85" s="242"/>
      <c r="AAW85" s="246"/>
      <c r="AAX85" s="241"/>
      <c r="AAY85" s="242"/>
      <c r="AAZ85" s="242"/>
      <c r="ABA85" s="242"/>
      <c r="ABB85" s="242"/>
      <c r="ABC85" s="243"/>
      <c r="ABD85" s="242"/>
      <c r="ABE85" s="242"/>
      <c r="ABF85" s="242"/>
      <c r="ABG85" s="242"/>
      <c r="ABH85" s="242"/>
      <c r="ABI85" s="244"/>
      <c r="ABJ85" s="242"/>
      <c r="ABK85" s="242"/>
      <c r="ABL85" s="242"/>
      <c r="ABM85" s="242"/>
      <c r="ABN85" s="242"/>
      <c r="ABO85" s="245"/>
      <c r="ABP85" s="242"/>
      <c r="ABQ85" s="242"/>
      <c r="ABR85" s="242"/>
      <c r="ABS85" s="242"/>
      <c r="ABT85" s="242"/>
      <c r="ABU85" s="244"/>
      <c r="ABV85" s="242"/>
      <c r="ABW85" s="242"/>
      <c r="ABX85" s="242"/>
      <c r="ABY85" s="242"/>
      <c r="ABZ85" s="242"/>
      <c r="ACA85" s="245"/>
      <c r="ACB85" s="242"/>
      <c r="ACC85" s="242"/>
      <c r="ACD85" s="242"/>
      <c r="ACE85" s="242"/>
      <c r="ACF85" s="242"/>
      <c r="ACG85" s="244"/>
      <c r="ACH85" s="242"/>
      <c r="ACI85" s="242"/>
      <c r="ACJ85" s="242"/>
      <c r="ACK85" s="242"/>
      <c r="ACL85" s="242"/>
      <c r="ACM85" s="245"/>
      <c r="ACN85" s="242"/>
      <c r="ACO85" s="242"/>
      <c r="ACP85" s="242"/>
      <c r="ACQ85" s="242"/>
      <c r="ACR85" s="242"/>
      <c r="ACS85" s="244"/>
      <c r="ACT85" s="242"/>
      <c r="ACU85" s="242"/>
      <c r="ACV85" s="242"/>
      <c r="ACW85" s="242"/>
      <c r="ACX85" s="242"/>
      <c r="ACY85" s="245"/>
      <c r="ACZ85" s="242"/>
      <c r="ADA85" s="242"/>
      <c r="ADB85" s="242"/>
      <c r="ADC85" s="242"/>
      <c r="ADD85" s="242"/>
      <c r="ADE85" s="246"/>
      <c r="ADF85" s="241"/>
      <c r="ADG85" s="242"/>
      <c r="ADH85" s="242"/>
      <c r="ADI85" s="242"/>
      <c r="ADJ85" s="242"/>
      <c r="ADK85" s="243"/>
      <c r="ADL85" s="242"/>
      <c r="ADM85" s="242"/>
      <c r="ADN85" s="242"/>
      <c r="ADO85" s="242"/>
      <c r="ADP85" s="242"/>
      <c r="ADQ85" s="244"/>
      <c r="ADR85" s="242"/>
      <c r="ADS85" s="242"/>
      <c r="ADT85" s="242"/>
      <c r="ADU85" s="242"/>
      <c r="ADV85" s="242"/>
      <c r="ADW85" s="245"/>
      <c r="ADX85" s="242"/>
      <c r="ADY85" s="242"/>
      <c r="ADZ85" s="242"/>
      <c r="AEA85" s="242"/>
      <c r="AEB85" s="242"/>
      <c r="AEC85" s="244"/>
      <c r="AED85" s="242"/>
      <c r="AEE85" s="242"/>
      <c r="AEF85" s="242"/>
      <c r="AEG85" s="242"/>
      <c r="AEH85" s="242"/>
      <c r="AEI85" s="245"/>
      <c r="AEJ85" s="242"/>
      <c r="AEK85" s="242"/>
      <c r="AEL85" s="242"/>
      <c r="AEM85" s="242"/>
      <c r="AEN85" s="242"/>
      <c r="AEO85" s="244"/>
      <c r="AEP85" s="242"/>
      <c r="AEQ85" s="242"/>
      <c r="AER85" s="242"/>
      <c r="AES85" s="242"/>
      <c r="AET85" s="242"/>
      <c r="AEU85" s="245"/>
      <c r="AEV85" s="242"/>
      <c r="AEW85" s="242"/>
      <c r="AEX85" s="242"/>
      <c r="AEY85" s="242"/>
      <c r="AEZ85" s="242"/>
      <c r="AFA85" s="244"/>
      <c r="AFB85" s="242"/>
      <c r="AFC85" s="242"/>
      <c r="AFD85" s="242"/>
      <c r="AFE85" s="242"/>
      <c r="AFF85" s="242"/>
      <c r="AFG85" s="245"/>
      <c r="AFH85" s="242"/>
      <c r="AFI85" s="242"/>
      <c r="AFJ85" s="242"/>
      <c r="AFK85" s="242"/>
      <c r="AFL85" s="242"/>
      <c r="AFM85" s="246"/>
      <c r="AFN85" s="241"/>
      <c r="AFO85" s="242"/>
      <c r="AFP85" s="242"/>
      <c r="AFQ85" s="242"/>
      <c r="AFR85" s="242"/>
      <c r="AFS85" s="243"/>
      <c r="AFT85" s="242"/>
      <c r="AFU85" s="242"/>
      <c r="AFV85" s="242"/>
      <c r="AFW85" s="242"/>
      <c r="AFX85" s="242"/>
      <c r="AFY85" s="244"/>
      <c r="AFZ85" s="242"/>
      <c r="AGA85" s="242"/>
      <c r="AGB85" s="242"/>
      <c r="AGC85" s="242"/>
      <c r="AGD85" s="242"/>
      <c r="AGE85" s="245"/>
      <c r="AGF85" s="242"/>
      <c r="AGG85" s="242"/>
      <c r="AGH85" s="242"/>
      <c r="AGI85" s="242"/>
      <c r="AGJ85" s="242"/>
      <c r="AGK85" s="244"/>
      <c r="AGL85" s="242"/>
      <c r="AGM85" s="242"/>
      <c r="AGN85" s="242"/>
      <c r="AGO85" s="242"/>
      <c r="AGP85" s="242"/>
      <c r="AGQ85" s="245"/>
      <c r="AGR85" s="242"/>
      <c r="AGS85" s="242"/>
      <c r="AGT85" s="242"/>
      <c r="AGU85" s="242"/>
      <c r="AGV85" s="242"/>
      <c r="AGW85" s="244"/>
      <c r="AGX85" s="242"/>
      <c r="AGY85" s="242"/>
      <c r="AGZ85" s="242"/>
      <c r="AHA85" s="242"/>
      <c r="AHB85" s="242"/>
      <c r="AHC85" s="245"/>
      <c r="AHD85" s="242"/>
      <c r="AHE85" s="242"/>
      <c r="AHF85" s="242"/>
      <c r="AHG85" s="242"/>
      <c r="AHH85" s="242"/>
      <c r="AHI85" s="244"/>
      <c r="AHJ85" s="242"/>
      <c r="AHK85" s="242"/>
      <c r="AHL85" s="242"/>
      <c r="AHM85" s="242"/>
      <c r="AHN85" s="242"/>
      <c r="AHO85" s="245"/>
      <c r="AHP85" s="242"/>
      <c r="AHQ85" s="242"/>
      <c r="AHR85" s="242"/>
      <c r="AHS85" s="242"/>
      <c r="AHT85" s="242"/>
      <c r="AHU85" s="246"/>
      <c r="AHV85" s="241"/>
      <c r="AHW85" s="242"/>
      <c r="AHX85" s="242"/>
      <c r="AHY85" s="242"/>
      <c r="AHZ85" s="242"/>
      <c r="AIA85" s="243"/>
      <c r="AIB85" s="242"/>
      <c r="AIC85" s="242"/>
      <c r="AID85" s="242"/>
      <c r="AIE85" s="242"/>
      <c r="AIF85" s="242"/>
      <c r="AIG85" s="244"/>
      <c r="AIH85" s="242"/>
      <c r="AII85" s="242"/>
      <c r="AIJ85" s="242"/>
      <c r="AIK85" s="242"/>
      <c r="AIL85" s="242"/>
      <c r="AIM85" s="245"/>
      <c r="AIN85" s="242"/>
      <c r="AIO85" s="242"/>
      <c r="AIP85" s="242"/>
      <c r="AIQ85" s="242"/>
      <c r="AIR85" s="242"/>
      <c r="AIS85" s="244"/>
      <c r="AIT85" s="242"/>
      <c r="AIU85" s="242"/>
      <c r="AIV85" s="242"/>
      <c r="AIW85" s="242"/>
      <c r="AIX85" s="242"/>
      <c r="AIY85" s="245"/>
      <c r="AIZ85" s="242"/>
      <c r="AJA85" s="242"/>
      <c r="AJB85" s="242"/>
      <c r="AJC85" s="242"/>
      <c r="AJD85" s="242"/>
      <c r="AJE85" s="244"/>
      <c r="AJF85" s="242"/>
      <c r="AJG85" s="242"/>
      <c r="AJH85" s="242"/>
      <c r="AJI85" s="242"/>
      <c r="AJJ85" s="242"/>
      <c r="AJK85" s="245"/>
      <c r="AJL85" s="242"/>
      <c r="AJM85" s="242"/>
      <c r="AJN85" s="242"/>
      <c r="AJO85" s="242"/>
      <c r="AJP85" s="242"/>
      <c r="AJQ85" s="244"/>
      <c r="AJR85" s="242"/>
      <c r="AJS85" s="242"/>
      <c r="AJT85" s="242"/>
      <c r="AJU85" s="242"/>
      <c r="AJV85" s="242"/>
      <c r="AJW85" s="245"/>
      <c r="AJX85" s="242"/>
      <c r="AJY85" s="242"/>
      <c r="AJZ85" s="242"/>
      <c r="AKA85" s="242"/>
      <c r="AKB85" s="242"/>
      <c r="AKC85" s="246"/>
      <c r="AKD85" s="241"/>
      <c r="AKE85" s="242"/>
      <c r="AKF85" s="242"/>
      <c r="AKG85" s="242"/>
      <c r="AKH85" s="242"/>
      <c r="AKI85" s="243"/>
      <c r="AKJ85" s="242"/>
      <c r="AKK85" s="242"/>
      <c r="AKL85" s="242"/>
      <c r="AKM85" s="242"/>
      <c r="AKN85" s="242"/>
      <c r="AKO85" s="244"/>
      <c r="AKP85" s="242"/>
      <c r="AKQ85" s="242"/>
      <c r="AKR85" s="242"/>
      <c r="AKS85" s="242"/>
      <c r="AKT85" s="242"/>
      <c r="AKU85" s="245"/>
      <c r="AKV85" s="242"/>
      <c r="AKW85" s="242"/>
      <c r="AKX85" s="242"/>
      <c r="AKY85" s="242"/>
      <c r="AKZ85" s="242"/>
      <c r="ALA85" s="244"/>
      <c r="ALB85" s="242"/>
      <c r="ALC85" s="242"/>
      <c r="ALD85" s="242"/>
      <c r="ALE85" s="242"/>
      <c r="ALF85" s="242"/>
      <c r="ALG85" s="245"/>
      <c r="ALH85" s="242"/>
      <c r="ALI85" s="242"/>
      <c r="ALJ85" s="242"/>
      <c r="ALK85" s="242"/>
      <c r="ALL85" s="242"/>
      <c r="ALM85" s="244"/>
      <c r="ALN85" s="242"/>
      <c r="ALO85" s="242"/>
      <c r="ALP85" s="242"/>
      <c r="ALQ85" s="242"/>
      <c r="ALR85" s="242"/>
      <c r="ALS85" s="245"/>
      <c r="ALT85" s="242"/>
      <c r="ALU85" s="242"/>
      <c r="ALV85" s="242"/>
      <c r="ALW85" s="242"/>
      <c r="ALX85" s="242"/>
      <c r="ALY85" s="244"/>
      <c r="ALZ85" s="242"/>
      <c r="AMA85" s="242"/>
      <c r="AMB85" s="242"/>
      <c r="AMC85" s="242"/>
      <c r="AMD85" s="242"/>
      <c r="AME85" s="245"/>
      <c r="AMF85" s="242"/>
      <c r="AMG85" s="242"/>
      <c r="AMH85" s="242"/>
      <c r="AMI85" s="242"/>
      <c r="AMJ85" s="242"/>
      <c r="AMK85" s="246"/>
      <c r="AML85" s="241"/>
      <c r="AMM85" s="242"/>
      <c r="AMN85" s="242"/>
      <c r="AMO85" s="242"/>
      <c r="AMP85" s="242"/>
      <c r="AMQ85" s="243"/>
      <c r="AMR85" s="242"/>
      <c r="AMS85" s="242"/>
      <c r="AMT85" s="242"/>
      <c r="AMU85" s="242"/>
      <c r="AMV85" s="242"/>
      <c r="AMW85" s="244"/>
      <c r="AMX85" s="242"/>
      <c r="AMY85" s="242"/>
      <c r="AMZ85" s="242"/>
      <c r="ANA85" s="242"/>
      <c r="ANB85" s="242"/>
      <c r="ANC85" s="245"/>
      <c r="AND85" s="242"/>
      <c r="ANE85" s="242"/>
      <c r="ANF85" s="242"/>
      <c r="ANG85" s="242"/>
      <c r="ANH85" s="242"/>
      <c r="ANI85" s="244"/>
      <c r="ANJ85" s="242"/>
      <c r="ANK85" s="242"/>
      <c r="ANL85" s="242"/>
      <c r="ANM85" s="242"/>
      <c r="ANN85" s="242"/>
      <c r="ANO85" s="245"/>
      <c r="ANP85" s="242"/>
      <c r="ANQ85" s="242"/>
      <c r="ANR85" s="242"/>
      <c r="ANS85" s="242"/>
      <c r="ANT85" s="242"/>
      <c r="ANU85" s="244"/>
      <c r="ANV85" s="242"/>
      <c r="ANW85" s="242"/>
      <c r="ANX85" s="242"/>
      <c r="ANY85" s="242"/>
      <c r="ANZ85" s="242"/>
      <c r="AOA85" s="245"/>
      <c r="AOB85" s="242"/>
      <c r="AOC85" s="242"/>
      <c r="AOD85" s="242"/>
      <c r="AOE85" s="242"/>
      <c r="AOF85" s="242"/>
      <c r="AOG85" s="244"/>
      <c r="AOH85" s="242"/>
      <c r="AOI85" s="242"/>
      <c r="AOJ85" s="242"/>
      <c r="AOK85" s="242"/>
      <c r="AOL85" s="242"/>
      <c r="AOM85" s="245"/>
      <c r="AON85" s="242"/>
      <c r="AOO85" s="242"/>
      <c r="AOP85" s="242"/>
      <c r="AOQ85" s="242"/>
      <c r="AOR85" s="242"/>
      <c r="AOS85" s="246"/>
      <c r="AOT85" s="241"/>
      <c r="AOU85" s="242"/>
      <c r="AOV85" s="242"/>
      <c r="AOW85" s="242"/>
      <c r="AOX85" s="242"/>
      <c r="AOY85" s="243"/>
      <c r="AOZ85" s="242"/>
      <c r="APA85" s="242"/>
      <c r="APB85" s="242"/>
      <c r="APC85" s="242"/>
      <c r="APD85" s="242"/>
      <c r="APE85" s="244"/>
      <c r="APF85" s="242"/>
      <c r="APG85" s="242"/>
      <c r="APH85" s="242"/>
      <c r="API85" s="242"/>
      <c r="APJ85" s="242"/>
      <c r="APK85" s="245"/>
      <c r="APL85" s="242"/>
      <c r="APM85" s="242"/>
      <c r="APN85" s="242"/>
      <c r="APO85" s="242"/>
      <c r="APP85" s="242"/>
      <c r="APQ85" s="244"/>
      <c r="APR85" s="242"/>
      <c r="APS85" s="242"/>
      <c r="APT85" s="242"/>
      <c r="APU85" s="242"/>
      <c r="APV85" s="242"/>
      <c r="APW85" s="245"/>
      <c r="APX85" s="242"/>
      <c r="APY85" s="242"/>
      <c r="APZ85" s="242"/>
      <c r="AQA85" s="242"/>
      <c r="AQB85" s="242"/>
      <c r="AQC85" s="244"/>
      <c r="AQD85" s="242"/>
      <c r="AQE85" s="242"/>
      <c r="AQF85" s="242"/>
      <c r="AQG85" s="242"/>
      <c r="AQH85" s="242"/>
      <c r="AQI85" s="245"/>
      <c r="AQJ85" s="242"/>
      <c r="AQK85" s="242"/>
      <c r="AQL85" s="242"/>
      <c r="AQM85" s="242"/>
      <c r="AQN85" s="242"/>
      <c r="AQO85" s="244"/>
      <c r="AQP85" s="242"/>
      <c r="AQQ85" s="242"/>
      <c r="AQR85" s="242"/>
      <c r="AQS85" s="242"/>
      <c r="AQT85" s="242"/>
      <c r="AQU85" s="245"/>
      <c r="AQV85" s="242"/>
      <c r="AQW85" s="242"/>
      <c r="AQX85" s="242"/>
      <c r="AQY85" s="242"/>
      <c r="AQZ85" s="242"/>
      <c r="ARA85" s="246"/>
      <c r="ARB85" s="241"/>
      <c r="ARC85" s="242"/>
      <c r="ARD85" s="242"/>
      <c r="ARE85" s="242"/>
      <c r="ARF85" s="242"/>
      <c r="ARG85" s="243"/>
      <c r="ARH85" s="242"/>
      <c r="ARI85" s="242"/>
      <c r="ARJ85" s="242"/>
      <c r="ARK85" s="242"/>
      <c r="ARL85" s="242"/>
      <c r="ARM85" s="244"/>
      <c r="ARN85" s="242"/>
      <c r="ARO85" s="242"/>
      <c r="ARP85" s="242"/>
      <c r="ARQ85" s="242"/>
      <c r="ARR85" s="242"/>
      <c r="ARS85" s="245"/>
      <c r="ART85" s="242"/>
      <c r="ARU85" s="242"/>
      <c r="ARV85" s="242"/>
      <c r="ARW85" s="242"/>
      <c r="ARX85" s="242"/>
      <c r="ARY85" s="244"/>
      <c r="ARZ85" s="242"/>
      <c r="ASA85" s="242"/>
      <c r="ASB85" s="242"/>
      <c r="ASC85" s="242"/>
      <c r="ASD85" s="242"/>
      <c r="ASE85" s="245"/>
      <c r="ASF85" s="242"/>
      <c r="ASG85" s="242"/>
      <c r="ASH85" s="242"/>
      <c r="ASI85" s="242"/>
      <c r="ASJ85" s="242"/>
      <c r="ASK85" s="244"/>
      <c r="ASL85" s="242"/>
      <c r="ASM85" s="242"/>
      <c r="ASN85" s="242"/>
      <c r="ASO85" s="242"/>
      <c r="ASP85" s="242"/>
      <c r="ASQ85" s="245"/>
      <c r="ASR85" s="242"/>
      <c r="ASS85" s="242"/>
      <c r="AST85" s="242"/>
      <c r="ASU85" s="242"/>
      <c r="ASV85" s="242"/>
      <c r="ASW85" s="244"/>
      <c r="ASX85" s="242"/>
      <c r="ASY85" s="242"/>
      <c r="ASZ85" s="242"/>
      <c r="ATA85" s="242"/>
      <c r="ATB85" s="242"/>
      <c r="ATC85" s="245"/>
      <c r="ATD85" s="242"/>
      <c r="ATE85" s="242"/>
      <c r="ATF85" s="242"/>
      <c r="ATG85" s="242"/>
      <c r="ATH85" s="242"/>
      <c r="ATI85" s="246"/>
      <c r="ATJ85" s="241"/>
      <c r="ATK85" s="242"/>
      <c r="ATL85" s="242"/>
      <c r="ATM85" s="242"/>
      <c r="ATN85" s="242"/>
      <c r="ATO85" s="243"/>
      <c r="ATP85" s="242"/>
      <c r="ATQ85" s="242"/>
      <c r="ATR85" s="242"/>
      <c r="ATS85" s="242"/>
      <c r="ATT85" s="242"/>
      <c r="ATU85" s="244"/>
      <c r="ATV85" s="242"/>
      <c r="ATW85" s="242"/>
      <c r="ATX85" s="242"/>
      <c r="ATY85" s="242"/>
      <c r="ATZ85" s="242"/>
      <c r="AUA85" s="245"/>
      <c r="AUB85" s="242"/>
      <c r="AUC85" s="242"/>
      <c r="AUD85" s="242"/>
      <c r="AUE85" s="242"/>
      <c r="AUF85" s="242"/>
      <c r="AUG85" s="244"/>
      <c r="AUH85" s="242"/>
      <c r="AUI85" s="242"/>
      <c r="AUJ85" s="242"/>
      <c r="AUK85" s="242"/>
      <c r="AUL85" s="242"/>
      <c r="AUM85" s="245"/>
      <c r="AUN85" s="242"/>
      <c r="AUO85" s="242"/>
      <c r="AUP85" s="242"/>
      <c r="AUQ85" s="242"/>
      <c r="AUR85" s="242"/>
      <c r="AUS85" s="244"/>
      <c r="AUT85" s="242"/>
      <c r="AUU85" s="242"/>
      <c r="AUV85" s="242"/>
      <c r="AUW85" s="242"/>
      <c r="AUX85" s="242"/>
      <c r="AUY85" s="245"/>
      <c r="AUZ85" s="242"/>
      <c r="AVA85" s="242"/>
      <c r="AVB85" s="242"/>
      <c r="AVC85" s="242"/>
      <c r="AVD85" s="242"/>
      <c r="AVE85" s="244"/>
      <c r="AVF85" s="242"/>
      <c r="AVG85" s="242"/>
      <c r="AVH85" s="242"/>
      <c r="AVI85" s="242"/>
      <c r="AVJ85" s="242"/>
      <c r="AVK85" s="245"/>
      <c r="AVL85" s="242"/>
      <c r="AVM85" s="242"/>
      <c r="AVN85" s="242"/>
      <c r="AVO85" s="242"/>
      <c r="AVP85" s="242"/>
      <c r="AVQ85" s="246"/>
      <c r="AVR85" s="241"/>
      <c r="AVS85" s="242"/>
      <c r="AVT85" s="242"/>
      <c r="AVU85" s="242"/>
      <c r="AVV85" s="242"/>
      <c r="AVW85" s="243"/>
      <c r="AVX85" s="242"/>
      <c r="AVY85" s="242"/>
      <c r="AVZ85" s="242"/>
      <c r="AWA85" s="242"/>
      <c r="AWB85" s="242"/>
      <c r="AWC85" s="244"/>
      <c r="AWD85" s="242"/>
      <c r="AWE85" s="242"/>
      <c r="AWF85" s="242"/>
      <c r="AWG85" s="242"/>
      <c r="AWH85" s="242"/>
      <c r="AWI85" s="245"/>
      <c r="AWJ85" s="242"/>
      <c r="AWK85" s="242"/>
      <c r="AWL85" s="242"/>
      <c r="AWM85" s="242"/>
      <c r="AWN85" s="242"/>
      <c r="AWO85" s="244"/>
      <c r="AWP85" s="242"/>
      <c r="AWQ85" s="242"/>
      <c r="AWR85" s="242"/>
      <c r="AWS85" s="242"/>
      <c r="AWT85" s="242"/>
      <c r="AWU85" s="245"/>
      <c r="AWV85" s="242"/>
      <c r="AWW85" s="242"/>
      <c r="AWX85" s="242"/>
      <c r="AWY85" s="242"/>
      <c r="AWZ85" s="242"/>
      <c r="AXA85" s="244"/>
      <c r="AXB85" s="242"/>
      <c r="AXC85" s="242"/>
      <c r="AXD85" s="242"/>
      <c r="AXE85" s="242"/>
      <c r="AXF85" s="242"/>
      <c r="AXG85" s="245"/>
      <c r="AXH85" s="242"/>
      <c r="AXI85" s="242"/>
      <c r="AXJ85" s="242"/>
      <c r="AXK85" s="242"/>
      <c r="AXL85" s="242"/>
      <c r="AXM85" s="244"/>
      <c r="AXN85" s="242"/>
      <c r="AXO85" s="242"/>
      <c r="AXP85" s="242"/>
      <c r="AXQ85" s="242"/>
      <c r="AXR85" s="242"/>
      <c r="AXS85" s="245"/>
      <c r="AXT85" s="242"/>
      <c r="AXU85" s="242"/>
      <c r="AXV85" s="242"/>
      <c r="AXW85" s="242"/>
      <c r="AXX85" s="242"/>
      <c r="AXY85" s="246"/>
      <c r="AXZ85" s="241"/>
      <c r="AYA85" s="242"/>
      <c r="AYB85" s="242"/>
      <c r="AYC85" s="242"/>
      <c r="AYD85" s="242"/>
      <c r="AYE85" s="243"/>
      <c r="AYF85" s="242"/>
      <c r="AYG85" s="242"/>
      <c r="AYH85" s="242"/>
      <c r="AYI85" s="242"/>
      <c r="AYJ85" s="242"/>
      <c r="AYK85" s="244"/>
      <c r="AYL85" s="242"/>
      <c r="AYM85" s="242"/>
      <c r="AYN85" s="242"/>
      <c r="AYO85" s="242"/>
      <c r="AYP85" s="242"/>
      <c r="AYQ85" s="245"/>
      <c r="AYR85" s="242"/>
      <c r="AYS85" s="242"/>
      <c r="AYT85" s="242"/>
      <c r="AYU85" s="242"/>
      <c r="AYV85" s="242"/>
      <c r="AYW85" s="244"/>
      <c r="AYX85" s="242"/>
      <c r="AYY85" s="242"/>
      <c r="AYZ85" s="242"/>
      <c r="AZA85" s="242"/>
      <c r="AZB85" s="242"/>
      <c r="AZC85" s="245"/>
      <c r="AZD85" s="242"/>
      <c r="AZE85" s="242"/>
      <c r="AZF85" s="242"/>
      <c r="AZG85" s="242"/>
      <c r="AZH85" s="242"/>
      <c r="AZI85" s="244"/>
      <c r="AZJ85" s="242"/>
      <c r="AZK85" s="242"/>
      <c r="AZL85" s="242"/>
      <c r="AZM85" s="242"/>
      <c r="AZN85" s="242"/>
      <c r="AZO85" s="245"/>
      <c r="AZP85" s="242"/>
      <c r="AZQ85" s="242"/>
      <c r="AZR85" s="242"/>
      <c r="AZS85" s="242"/>
      <c r="AZT85" s="242"/>
      <c r="AZU85" s="244"/>
      <c r="AZV85" s="242"/>
      <c r="AZW85" s="242"/>
      <c r="AZX85" s="242"/>
      <c r="AZY85" s="242"/>
      <c r="AZZ85" s="242"/>
      <c r="BAA85" s="245"/>
      <c r="BAB85" s="242"/>
      <c r="BAC85" s="242"/>
      <c r="BAD85" s="242"/>
      <c r="BAE85" s="242"/>
      <c r="BAF85" s="242"/>
      <c r="BAG85" s="246"/>
      <c r="BAH85" s="241"/>
      <c r="BAI85" s="242"/>
      <c r="BAJ85" s="242"/>
      <c r="BAK85" s="242"/>
      <c r="BAL85" s="242"/>
      <c r="BAM85" s="243"/>
      <c r="BAN85" s="242"/>
      <c r="BAO85" s="242"/>
      <c r="BAP85" s="242"/>
      <c r="BAQ85" s="242"/>
      <c r="BAR85" s="242"/>
      <c r="BAS85" s="244"/>
      <c r="BAT85" s="242"/>
      <c r="BAU85" s="242"/>
      <c r="BAV85" s="242"/>
      <c r="BAW85" s="242"/>
      <c r="BAX85" s="242"/>
      <c r="BAY85" s="245"/>
      <c r="BAZ85" s="242"/>
      <c r="BBA85" s="242"/>
      <c r="BBB85" s="242"/>
      <c r="BBC85" s="242"/>
      <c r="BBD85" s="242"/>
      <c r="BBE85" s="244"/>
      <c r="BBF85" s="242"/>
      <c r="BBG85" s="242"/>
      <c r="BBH85" s="242"/>
      <c r="BBI85" s="242"/>
      <c r="BBJ85" s="242"/>
      <c r="BBK85" s="245"/>
      <c r="BBL85" s="242"/>
      <c r="BBM85" s="242"/>
      <c r="BBN85" s="242"/>
      <c r="BBO85" s="242"/>
      <c r="BBP85" s="242"/>
      <c r="BBQ85" s="244"/>
      <c r="BBR85" s="242"/>
      <c r="BBS85" s="242"/>
      <c r="BBT85" s="242"/>
      <c r="BBU85" s="242"/>
      <c r="BBV85" s="242"/>
      <c r="BBW85" s="245"/>
      <c r="BBX85" s="242"/>
      <c r="BBY85" s="242"/>
      <c r="BBZ85" s="242"/>
      <c r="BCA85" s="242"/>
      <c r="BCB85" s="242"/>
      <c r="BCC85" s="244"/>
      <c r="BCD85" s="242"/>
      <c r="BCE85" s="242"/>
      <c r="BCF85" s="242"/>
      <c r="BCG85" s="242"/>
      <c r="BCH85" s="242"/>
      <c r="BCI85" s="245"/>
      <c r="BCJ85" s="242"/>
      <c r="BCK85" s="242"/>
      <c r="BCL85" s="242"/>
      <c r="BCM85" s="242"/>
      <c r="BCN85" s="242"/>
      <c r="BCO85" s="246"/>
      <c r="BCP85" s="241"/>
      <c r="BCQ85" s="242"/>
      <c r="BCR85" s="242"/>
      <c r="BCS85" s="242"/>
      <c r="BCT85" s="242"/>
      <c r="BCU85" s="243"/>
      <c r="BCV85" s="242"/>
      <c r="BCW85" s="242"/>
      <c r="BCX85" s="242"/>
      <c r="BCY85" s="242"/>
      <c r="BCZ85" s="242"/>
      <c r="BDA85" s="244"/>
      <c r="BDB85" s="242"/>
      <c r="BDC85" s="242"/>
      <c r="BDD85" s="242"/>
      <c r="BDE85" s="242"/>
      <c r="BDF85" s="242"/>
      <c r="BDG85" s="245"/>
      <c r="BDH85" s="242"/>
      <c r="BDI85" s="242"/>
      <c r="BDJ85" s="242"/>
      <c r="BDK85" s="242"/>
      <c r="BDL85" s="242"/>
      <c r="BDM85" s="244"/>
      <c r="BDN85" s="242"/>
      <c r="BDO85" s="242"/>
      <c r="BDP85" s="242"/>
      <c r="BDQ85" s="242"/>
      <c r="BDR85" s="242"/>
      <c r="BDS85" s="245"/>
      <c r="BDT85" s="242"/>
      <c r="BDU85" s="242"/>
      <c r="BDV85" s="242"/>
      <c r="BDW85" s="242"/>
      <c r="BDX85" s="242"/>
      <c r="BDY85" s="244"/>
      <c r="BDZ85" s="242"/>
      <c r="BEA85" s="242"/>
      <c r="BEB85" s="242"/>
      <c r="BEC85" s="242"/>
      <c r="BED85" s="242"/>
      <c r="BEE85" s="245"/>
      <c r="BEF85" s="242"/>
      <c r="BEG85" s="242"/>
      <c r="BEH85" s="242"/>
      <c r="BEI85" s="242"/>
      <c r="BEJ85" s="242"/>
      <c r="BEK85" s="244"/>
      <c r="BEL85" s="242"/>
      <c r="BEM85" s="242"/>
      <c r="BEN85" s="242"/>
      <c r="BEO85" s="242"/>
      <c r="BEP85" s="242"/>
      <c r="BEQ85" s="245"/>
      <c r="BER85" s="242"/>
      <c r="BES85" s="242"/>
      <c r="BET85" s="242"/>
      <c r="BEU85" s="242"/>
      <c r="BEV85" s="242"/>
      <c r="BEW85" s="246"/>
      <c r="BEX85" s="241"/>
      <c r="BEY85" s="242"/>
      <c r="BEZ85" s="242"/>
      <c r="BFA85" s="242"/>
      <c r="BFB85" s="242"/>
      <c r="BFC85" s="243"/>
      <c r="BFD85" s="242"/>
      <c r="BFE85" s="242"/>
      <c r="BFF85" s="242"/>
      <c r="BFG85" s="242"/>
      <c r="BFH85" s="242"/>
      <c r="BFI85" s="244"/>
      <c r="BFJ85" s="242"/>
      <c r="BFK85" s="242"/>
      <c r="BFL85" s="242"/>
      <c r="BFM85" s="242"/>
      <c r="BFN85" s="242"/>
      <c r="BFO85" s="245"/>
      <c r="BFP85" s="242"/>
      <c r="BFQ85" s="242"/>
      <c r="BFR85" s="242"/>
      <c r="BFS85" s="242"/>
      <c r="BFT85" s="242"/>
      <c r="BFU85" s="244"/>
      <c r="BFV85" s="242"/>
      <c r="BFW85" s="242"/>
      <c r="BFX85" s="242"/>
      <c r="BFY85" s="242"/>
      <c r="BFZ85" s="242"/>
      <c r="BGA85" s="245"/>
      <c r="BGB85" s="242"/>
      <c r="BGC85" s="242"/>
      <c r="BGD85" s="242"/>
      <c r="BGE85" s="242"/>
      <c r="BGF85" s="242"/>
      <c r="BGG85" s="244"/>
      <c r="BGH85" s="242"/>
      <c r="BGI85" s="242"/>
      <c r="BGJ85" s="242"/>
      <c r="BGK85" s="242"/>
      <c r="BGL85" s="242"/>
      <c r="BGM85" s="245"/>
      <c r="BGN85" s="242"/>
      <c r="BGO85" s="242"/>
      <c r="BGP85" s="242"/>
      <c r="BGQ85" s="242"/>
      <c r="BGR85" s="242"/>
      <c r="BGS85" s="244"/>
      <c r="BGT85" s="242"/>
      <c r="BGU85" s="242"/>
      <c r="BGV85" s="242"/>
      <c r="BGW85" s="242"/>
      <c r="BGX85" s="242"/>
      <c r="BGY85" s="245"/>
      <c r="BGZ85" s="242"/>
      <c r="BHA85" s="242"/>
      <c r="BHB85" s="242"/>
      <c r="BHC85" s="242"/>
      <c r="BHD85" s="242"/>
      <c r="BHE85" s="246"/>
      <c r="BHF85" s="241"/>
      <c r="BHG85" s="242"/>
      <c r="BHH85" s="242"/>
      <c r="BHI85" s="242"/>
      <c r="BHJ85" s="242"/>
      <c r="BHK85" s="243"/>
      <c r="BHL85" s="242"/>
      <c r="BHM85" s="242"/>
      <c r="BHN85" s="242"/>
      <c r="BHO85" s="242"/>
      <c r="BHP85" s="242"/>
      <c r="BHQ85" s="244"/>
      <c r="BHR85" s="242"/>
      <c r="BHS85" s="242"/>
      <c r="BHT85" s="242"/>
      <c r="BHU85" s="242"/>
      <c r="BHV85" s="242"/>
      <c r="BHW85" s="245"/>
      <c r="BHX85" s="242"/>
      <c r="BHY85" s="242"/>
      <c r="BHZ85" s="242"/>
      <c r="BIA85" s="242"/>
      <c r="BIB85" s="242"/>
      <c r="BIC85" s="244"/>
      <c r="BID85" s="242"/>
      <c r="BIE85" s="242"/>
      <c r="BIF85" s="242"/>
      <c r="BIG85" s="242"/>
      <c r="BIH85" s="242"/>
      <c r="BII85" s="245"/>
      <c r="BIJ85" s="242"/>
      <c r="BIK85" s="242"/>
      <c r="BIL85" s="242"/>
      <c r="BIM85" s="242"/>
      <c r="BIN85" s="242"/>
      <c r="BIO85" s="244"/>
      <c r="BIP85" s="242"/>
      <c r="BIQ85" s="242"/>
      <c r="BIR85" s="242"/>
      <c r="BIS85" s="242"/>
      <c r="BIT85" s="242"/>
      <c r="BIU85" s="245"/>
      <c r="BIV85" s="242"/>
      <c r="BIW85" s="242"/>
      <c r="BIX85" s="242"/>
      <c r="BIY85" s="242"/>
      <c r="BIZ85" s="242"/>
      <c r="BJA85" s="244"/>
      <c r="BJB85" s="242"/>
      <c r="BJC85" s="242"/>
      <c r="BJD85" s="242"/>
      <c r="BJE85" s="242"/>
      <c r="BJF85" s="242"/>
      <c r="BJG85" s="245"/>
      <c r="BJH85" s="242"/>
      <c r="BJI85" s="242"/>
      <c r="BJJ85" s="242"/>
      <c r="BJK85" s="242"/>
      <c r="BJL85" s="242"/>
      <c r="BJM85" s="246"/>
      <c r="BJN85" s="233"/>
      <c r="BJO85" s="234"/>
      <c r="BJP85" s="234"/>
      <c r="BJQ85" s="234"/>
      <c r="BJR85" s="234"/>
      <c r="BJS85" s="234"/>
      <c r="BJT85" s="234"/>
      <c r="BJU85" s="234"/>
      <c r="BJV85" s="234"/>
      <c r="BJW85" s="234"/>
      <c r="BJX85" s="234"/>
      <c r="BJY85" s="234"/>
      <c r="BJZ85" s="234"/>
      <c r="BKA85" s="234"/>
      <c r="BKB85" s="234"/>
      <c r="BKC85" s="234"/>
      <c r="BKD85" s="234"/>
      <c r="BKE85" s="234"/>
      <c r="BKF85" s="234"/>
      <c r="BKG85" s="234"/>
      <c r="BKH85" s="234"/>
      <c r="BKI85" s="234"/>
      <c r="BKJ85" s="234"/>
      <c r="BKK85" s="234"/>
      <c r="BKL85" s="234"/>
      <c r="BKM85" s="234"/>
      <c r="BKN85" s="234"/>
    </row>
    <row r="86" spans="1:1652" ht="20.100000000000001" customHeight="1" x14ac:dyDescent="0.3">
      <c r="A86" s="84" t="s">
        <v>20</v>
      </c>
      <c r="B86" s="53"/>
      <c r="C86" s="189"/>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174"/>
      <c r="BJO86" s="4"/>
      <c r="BJP86" s="4"/>
      <c r="BJQ86" s="4"/>
      <c r="BJR86" s="4"/>
      <c r="BJS86" s="4"/>
      <c r="BJT86" s="4"/>
      <c r="BJU86" s="4"/>
      <c r="BJV86" s="4"/>
      <c r="BJW86" s="4"/>
      <c r="BJX86" s="4"/>
      <c r="BJY86" s="4"/>
      <c r="BJZ86" s="4"/>
      <c r="BKA86" s="4"/>
      <c r="BKB86" s="4"/>
      <c r="BKC86" s="4"/>
      <c r="BKD86" s="4"/>
      <c r="BKE86" s="4"/>
      <c r="BKF86" s="4"/>
      <c r="BKG86" s="4"/>
      <c r="BKH86" s="4"/>
      <c r="BKI86" s="4"/>
      <c r="BKJ86" s="4"/>
      <c r="BKK86" s="4"/>
      <c r="BKL86" s="4"/>
      <c r="BKM86" s="4"/>
      <c r="BKN86" s="4"/>
    </row>
    <row r="87" spans="1:1652" ht="20.100000000000001" customHeight="1" x14ac:dyDescent="0.25">
      <c r="A87" s="84" t="s">
        <v>19</v>
      </c>
      <c r="B87" s="53"/>
      <c r="C87" s="177"/>
      <c r="D87" s="129" t="str">
        <f t="shared" si="1"/>
        <v>0h</v>
      </c>
      <c r="E87" s="34">
        <v>0</v>
      </c>
      <c r="F87" s="235"/>
      <c r="G87" s="236"/>
      <c r="H87" s="236"/>
      <c r="I87" s="236"/>
      <c r="J87" s="236"/>
      <c r="K87" s="237"/>
      <c r="L87" s="236"/>
      <c r="M87" s="236"/>
      <c r="N87" s="236"/>
      <c r="O87" s="236"/>
      <c r="P87" s="236"/>
      <c r="Q87" s="238"/>
      <c r="R87" s="236"/>
      <c r="S87" s="236"/>
      <c r="T87" s="236"/>
      <c r="U87" s="236"/>
      <c r="V87" s="236"/>
      <c r="W87" s="239"/>
      <c r="X87" s="236"/>
      <c r="Y87" s="236"/>
      <c r="Z87" s="236"/>
      <c r="AA87" s="236"/>
      <c r="AB87" s="236"/>
      <c r="AC87" s="238"/>
      <c r="AD87" s="236"/>
      <c r="AE87" s="236"/>
      <c r="AF87" s="236"/>
      <c r="AG87" s="236"/>
      <c r="AH87" s="236"/>
      <c r="AI87" s="239"/>
      <c r="AJ87" s="236"/>
      <c r="AK87" s="236"/>
      <c r="AL87" s="236"/>
      <c r="AM87" s="236"/>
      <c r="AN87" s="236"/>
      <c r="AO87" s="238"/>
      <c r="AP87" s="236"/>
      <c r="AQ87" s="236"/>
      <c r="AR87" s="236"/>
      <c r="AS87" s="236"/>
      <c r="AT87" s="236"/>
      <c r="AU87" s="239"/>
      <c r="AV87" s="236"/>
      <c r="AW87" s="236"/>
      <c r="AX87" s="236"/>
      <c r="AY87" s="236"/>
      <c r="AZ87" s="236"/>
      <c r="BA87" s="238"/>
      <c r="BB87" s="236"/>
      <c r="BC87" s="236"/>
      <c r="BD87" s="236"/>
      <c r="BE87" s="236"/>
      <c r="BF87" s="236"/>
      <c r="BG87" s="239"/>
      <c r="BH87" s="236"/>
      <c r="BI87" s="236"/>
      <c r="BJ87" s="236"/>
      <c r="BK87" s="236"/>
      <c r="BL87" s="236"/>
      <c r="BM87" s="240"/>
      <c r="BN87" s="235"/>
      <c r="BO87" s="236"/>
      <c r="BP87" s="236"/>
      <c r="BQ87" s="236"/>
      <c r="BR87" s="236"/>
      <c r="BS87" s="237"/>
      <c r="BT87" s="236"/>
      <c r="BU87" s="236"/>
      <c r="BV87" s="236"/>
      <c r="BW87" s="236"/>
      <c r="BX87" s="236"/>
      <c r="BY87" s="238"/>
      <c r="BZ87" s="236"/>
      <c r="CA87" s="236"/>
      <c r="CB87" s="236"/>
      <c r="CC87" s="236"/>
      <c r="CD87" s="236"/>
      <c r="CE87" s="239"/>
      <c r="CF87" s="236"/>
      <c r="CG87" s="236"/>
      <c r="CH87" s="236"/>
      <c r="CI87" s="236"/>
      <c r="CJ87" s="236"/>
      <c r="CK87" s="238"/>
      <c r="CL87" s="236"/>
      <c r="CM87" s="236"/>
      <c r="CN87" s="236"/>
      <c r="CO87" s="236"/>
      <c r="CP87" s="236"/>
      <c r="CQ87" s="239"/>
      <c r="CR87" s="236"/>
      <c r="CS87" s="236"/>
      <c r="CT87" s="236"/>
      <c r="CU87" s="236"/>
      <c r="CV87" s="236"/>
      <c r="CW87" s="238"/>
      <c r="CX87" s="236"/>
      <c r="CY87" s="236"/>
      <c r="CZ87" s="236"/>
      <c r="DA87" s="236"/>
      <c r="DB87" s="236"/>
      <c r="DC87" s="239"/>
      <c r="DD87" s="236"/>
      <c r="DE87" s="236"/>
      <c r="DF87" s="236"/>
      <c r="DG87" s="236"/>
      <c r="DH87" s="236"/>
      <c r="DI87" s="238"/>
      <c r="DJ87" s="236"/>
      <c r="DK87" s="236"/>
      <c r="DL87" s="236"/>
      <c r="DM87" s="236"/>
      <c r="DN87" s="236"/>
      <c r="DO87" s="239"/>
      <c r="DP87" s="236"/>
      <c r="DQ87" s="236"/>
      <c r="DR87" s="236"/>
      <c r="DS87" s="236"/>
      <c r="DT87" s="236"/>
      <c r="DU87" s="240"/>
      <c r="DV87" s="235"/>
      <c r="DW87" s="236"/>
      <c r="DX87" s="236"/>
      <c r="DY87" s="236"/>
      <c r="DZ87" s="236"/>
      <c r="EA87" s="237"/>
      <c r="EB87" s="236"/>
      <c r="EC87" s="236"/>
      <c r="ED87" s="236"/>
      <c r="EE87" s="236"/>
      <c r="EF87" s="236"/>
      <c r="EG87" s="238"/>
      <c r="EH87" s="236"/>
      <c r="EI87" s="236"/>
      <c r="EJ87" s="236"/>
      <c r="EK87" s="236"/>
      <c r="EL87" s="236"/>
      <c r="EM87" s="239"/>
      <c r="EN87" s="236"/>
      <c r="EO87" s="236"/>
      <c r="EP87" s="236"/>
      <c r="EQ87" s="236"/>
      <c r="ER87" s="236"/>
      <c r="ES87" s="238"/>
      <c r="ET87" s="236"/>
      <c r="EU87" s="236"/>
      <c r="EV87" s="236"/>
      <c r="EW87" s="236"/>
      <c r="EX87" s="236"/>
      <c r="EY87" s="239"/>
      <c r="EZ87" s="236"/>
      <c r="FA87" s="236"/>
      <c r="FB87" s="236"/>
      <c r="FC87" s="236"/>
      <c r="FD87" s="236"/>
      <c r="FE87" s="238"/>
      <c r="FF87" s="236"/>
      <c r="FG87" s="236"/>
      <c r="FH87" s="236"/>
      <c r="FI87" s="236"/>
      <c r="FJ87" s="236"/>
      <c r="FK87" s="239"/>
      <c r="FL87" s="236"/>
      <c r="FM87" s="236"/>
      <c r="FN87" s="236"/>
      <c r="FO87" s="236"/>
      <c r="FP87" s="236"/>
      <c r="FQ87" s="238"/>
      <c r="FR87" s="236"/>
      <c r="FS87" s="236"/>
      <c r="FT87" s="236"/>
      <c r="FU87" s="236"/>
      <c r="FV87" s="236"/>
      <c r="FW87" s="239"/>
      <c r="FX87" s="236"/>
      <c r="FY87" s="236"/>
      <c r="FZ87" s="236"/>
      <c r="GA87" s="236"/>
      <c r="GB87" s="236"/>
      <c r="GC87" s="240"/>
      <c r="GD87" s="235"/>
      <c r="GE87" s="236"/>
      <c r="GF87" s="236"/>
      <c r="GG87" s="236"/>
      <c r="GH87" s="236"/>
      <c r="GI87" s="237"/>
      <c r="GJ87" s="236"/>
      <c r="GK87" s="236"/>
      <c r="GL87" s="236"/>
      <c r="GM87" s="236"/>
      <c r="GN87" s="236"/>
      <c r="GO87" s="238"/>
      <c r="GP87" s="236"/>
      <c r="GQ87" s="236"/>
      <c r="GR87" s="236"/>
      <c r="GS87" s="236"/>
      <c r="GT87" s="236"/>
      <c r="GU87" s="239"/>
      <c r="GV87" s="236"/>
      <c r="GW87" s="236"/>
      <c r="GX87" s="236"/>
      <c r="GY87" s="236"/>
      <c r="GZ87" s="236"/>
      <c r="HA87" s="238"/>
      <c r="HB87" s="236"/>
      <c r="HC87" s="236"/>
      <c r="HD87" s="236"/>
      <c r="HE87" s="236"/>
      <c r="HF87" s="236"/>
      <c r="HG87" s="239"/>
      <c r="HH87" s="236"/>
      <c r="HI87" s="236"/>
      <c r="HJ87" s="236"/>
      <c r="HK87" s="236"/>
      <c r="HL87" s="236"/>
      <c r="HM87" s="238"/>
      <c r="HN87" s="236"/>
      <c r="HO87" s="236"/>
      <c r="HP87" s="236"/>
      <c r="HQ87" s="236"/>
      <c r="HR87" s="236"/>
      <c r="HS87" s="239"/>
      <c r="HT87" s="236"/>
      <c r="HU87" s="236"/>
      <c r="HV87" s="236"/>
      <c r="HW87" s="236"/>
      <c r="HX87" s="236"/>
      <c r="HY87" s="238"/>
      <c r="HZ87" s="236"/>
      <c r="IA87" s="236"/>
      <c r="IB87" s="236"/>
      <c r="IC87" s="236"/>
      <c r="ID87" s="236"/>
      <c r="IE87" s="239"/>
      <c r="IF87" s="236"/>
      <c r="IG87" s="236"/>
      <c r="IH87" s="236"/>
      <c r="II87" s="236"/>
      <c r="IJ87" s="236"/>
      <c r="IK87" s="240"/>
      <c r="IL87" s="235"/>
      <c r="IM87" s="236"/>
      <c r="IN87" s="236"/>
      <c r="IO87" s="236"/>
      <c r="IP87" s="236"/>
      <c r="IQ87" s="237"/>
      <c r="IR87" s="236"/>
      <c r="IS87" s="236"/>
      <c r="IT87" s="236"/>
      <c r="IU87" s="236"/>
      <c r="IV87" s="236"/>
      <c r="IW87" s="238"/>
      <c r="IX87" s="236"/>
      <c r="IY87" s="236"/>
      <c r="IZ87" s="236"/>
      <c r="JA87" s="236"/>
      <c r="JB87" s="236"/>
      <c r="JC87" s="239"/>
      <c r="JD87" s="236"/>
      <c r="JE87" s="236"/>
      <c r="JF87" s="236"/>
      <c r="JG87" s="236"/>
      <c r="JH87" s="236"/>
      <c r="JI87" s="238"/>
      <c r="JJ87" s="236"/>
      <c r="JK87" s="236"/>
      <c r="JL87" s="236"/>
      <c r="JM87" s="236"/>
      <c r="JN87" s="236"/>
      <c r="JO87" s="239"/>
      <c r="JP87" s="236"/>
      <c r="JQ87" s="236"/>
      <c r="JR87" s="236"/>
      <c r="JS87" s="236"/>
      <c r="JT87" s="236"/>
      <c r="JU87" s="238"/>
      <c r="JV87" s="236"/>
      <c r="JW87" s="236"/>
      <c r="JX87" s="236"/>
      <c r="JY87" s="236"/>
      <c r="JZ87" s="236"/>
      <c r="KA87" s="239"/>
      <c r="KB87" s="236"/>
      <c r="KC87" s="236"/>
      <c r="KD87" s="236"/>
      <c r="KE87" s="236"/>
      <c r="KF87" s="236"/>
      <c r="KG87" s="238"/>
      <c r="KH87" s="236"/>
      <c r="KI87" s="236"/>
      <c r="KJ87" s="236"/>
      <c r="KK87" s="236"/>
      <c r="KL87" s="236"/>
      <c r="KM87" s="239"/>
      <c r="KN87" s="236"/>
      <c r="KO87" s="236"/>
      <c r="KP87" s="236"/>
      <c r="KQ87" s="236"/>
      <c r="KR87" s="236"/>
      <c r="KS87" s="240"/>
      <c r="KT87" s="235"/>
      <c r="KU87" s="236"/>
      <c r="KV87" s="236"/>
      <c r="KW87" s="236"/>
      <c r="KX87" s="236"/>
      <c r="KY87" s="237"/>
      <c r="KZ87" s="236"/>
      <c r="LA87" s="236"/>
      <c r="LB87" s="236"/>
      <c r="LC87" s="236"/>
      <c r="LD87" s="236"/>
      <c r="LE87" s="238"/>
      <c r="LF87" s="236"/>
      <c r="LG87" s="236"/>
      <c r="LH87" s="236"/>
      <c r="LI87" s="236"/>
      <c r="LJ87" s="236"/>
      <c r="LK87" s="239"/>
      <c r="LL87" s="236"/>
      <c r="LM87" s="236"/>
      <c r="LN87" s="236"/>
      <c r="LO87" s="236"/>
      <c r="LP87" s="236"/>
      <c r="LQ87" s="238"/>
      <c r="LR87" s="236"/>
      <c r="LS87" s="236"/>
      <c r="LT87" s="236"/>
      <c r="LU87" s="236"/>
      <c r="LV87" s="236"/>
      <c r="LW87" s="239"/>
      <c r="LX87" s="236"/>
      <c r="LY87" s="236"/>
      <c r="LZ87" s="236"/>
      <c r="MA87" s="236"/>
      <c r="MB87" s="236"/>
      <c r="MC87" s="238"/>
      <c r="MD87" s="236"/>
      <c r="ME87" s="236"/>
      <c r="MF87" s="236"/>
      <c r="MG87" s="236"/>
      <c r="MH87" s="236"/>
      <c r="MI87" s="239"/>
      <c r="MJ87" s="236"/>
      <c r="MK87" s="236"/>
      <c r="ML87" s="236"/>
      <c r="MM87" s="236"/>
      <c r="MN87" s="236"/>
      <c r="MO87" s="238"/>
      <c r="MP87" s="236"/>
      <c r="MQ87" s="236"/>
      <c r="MR87" s="236"/>
      <c r="MS87" s="236"/>
      <c r="MT87" s="236"/>
      <c r="MU87" s="239"/>
      <c r="MV87" s="236"/>
      <c r="MW87" s="236"/>
      <c r="MX87" s="236"/>
      <c r="MY87" s="236"/>
      <c r="MZ87" s="236"/>
      <c r="NA87" s="240"/>
      <c r="NB87" s="235"/>
      <c r="NC87" s="236"/>
      <c r="ND87" s="236"/>
      <c r="NE87" s="236"/>
      <c r="NF87" s="236"/>
      <c r="NG87" s="237"/>
      <c r="NH87" s="236"/>
      <c r="NI87" s="236"/>
      <c r="NJ87" s="236"/>
      <c r="NK87" s="236"/>
      <c r="NL87" s="236"/>
      <c r="NM87" s="238"/>
      <c r="NN87" s="236"/>
      <c r="NO87" s="236"/>
      <c r="NP87" s="236"/>
      <c r="NQ87" s="236"/>
      <c r="NR87" s="236"/>
      <c r="NS87" s="239"/>
      <c r="NT87" s="236"/>
      <c r="NU87" s="236"/>
      <c r="NV87" s="236"/>
      <c r="NW87" s="236"/>
      <c r="NX87" s="236"/>
      <c r="NY87" s="238"/>
      <c r="NZ87" s="236"/>
      <c r="OA87" s="236"/>
      <c r="OB87" s="236"/>
      <c r="OC87" s="236"/>
      <c r="OD87" s="236"/>
      <c r="OE87" s="239"/>
      <c r="OF87" s="236"/>
      <c r="OG87" s="236"/>
      <c r="OH87" s="236"/>
      <c r="OI87" s="236"/>
      <c r="OJ87" s="236"/>
      <c r="OK87" s="238"/>
      <c r="OL87" s="236"/>
      <c r="OM87" s="236"/>
      <c r="ON87" s="236"/>
      <c r="OO87" s="236"/>
      <c r="OP87" s="236"/>
      <c r="OQ87" s="239"/>
      <c r="OR87" s="236"/>
      <c r="OS87" s="236"/>
      <c r="OT87" s="236"/>
      <c r="OU87" s="236"/>
      <c r="OV87" s="236"/>
      <c r="OW87" s="238"/>
      <c r="OX87" s="236"/>
      <c r="OY87" s="236"/>
      <c r="OZ87" s="236"/>
      <c r="PA87" s="236"/>
      <c r="PB87" s="236"/>
      <c r="PC87" s="239"/>
      <c r="PD87" s="236"/>
      <c r="PE87" s="236"/>
      <c r="PF87" s="236"/>
      <c r="PG87" s="236"/>
      <c r="PH87" s="236"/>
      <c r="PI87" s="240"/>
      <c r="PJ87" s="235"/>
      <c r="PK87" s="236"/>
      <c r="PL87" s="236"/>
      <c r="PM87" s="236"/>
      <c r="PN87" s="236"/>
      <c r="PO87" s="237"/>
      <c r="PP87" s="236"/>
      <c r="PQ87" s="236"/>
      <c r="PR87" s="236"/>
      <c r="PS87" s="236"/>
      <c r="PT87" s="236"/>
      <c r="PU87" s="238"/>
      <c r="PV87" s="236"/>
      <c r="PW87" s="236"/>
      <c r="PX87" s="236"/>
      <c r="PY87" s="236"/>
      <c r="PZ87" s="236"/>
      <c r="QA87" s="239"/>
      <c r="QB87" s="236"/>
      <c r="QC87" s="236"/>
      <c r="QD87" s="236"/>
      <c r="QE87" s="236"/>
      <c r="QF87" s="236"/>
      <c r="QG87" s="238"/>
      <c r="QH87" s="236"/>
      <c r="QI87" s="236"/>
      <c r="QJ87" s="236"/>
      <c r="QK87" s="236"/>
      <c r="QL87" s="236"/>
      <c r="QM87" s="239"/>
      <c r="QN87" s="236"/>
      <c r="QO87" s="236"/>
      <c r="QP87" s="236"/>
      <c r="QQ87" s="236"/>
      <c r="QR87" s="236"/>
      <c r="QS87" s="238"/>
      <c r="QT87" s="236"/>
      <c r="QU87" s="236"/>
      <c r="QV87" s="236"/>
      <c r="QW87" s="236"/>
      <c r="QX87" s="236"/>
      <c r="QY87" s="239"/>
      <c r="QZ87" s="236"/>
      <c r="RA87" s="236"/>
      <c r="RB87" s="236"/>
      <c r="RC87" s="236"/>
      <c r="RD87" s="236"/>
      <c r="RE87" s="238"/>
      <c r="RF87" s="236"/>
      <c r="RG87" s="236"/>
      <c r="RH87" s="236"/>
      <c r="RI87" s="236"/>
      <c r="RJ87" s="236"/>
      <c r="RK87" s="239"/>
      <c r="RL87" s="236"/>
      <c r="RM87" s="236"/>
      <c r="RN87" s="236"/>
      <c r="RO87" s="236"/>
      <c r="RP87" s="236"/>
      <c r="RQ87" s="240"/>
      <c r="RR87" s="235"/>
      <c r="RS87" s="236"/>
      <c r="RT87" s="236"/>
      <c r="RU87" s="236"/>
      <c r="RV87" s="236"/>
      <c r="RW87" s="237"/>
      <c r="RX87" s="236"/>
      <c r="RY87" s="236"/>
      <c r="RZ87" s="236"/>
      <c r="SA87" s="236"/>
      <c r="SB87" s="236"/>
      <c r="SC87" s="238"/>
      <c r="SD87" s="236"/>
      <c r="SE87" s="236"/>
      <c r="SF87" s="236"/>
      <c r="SG87" s="236"/>
      <c r="SH87" s="236"/>
      <c r="SI87" s="239"/>
      <c r="SJ87" s="236"/>
      <c r="SK87" s="236"/>
      <c r="SL87" s="236"/>
      <c r="SM87" s="236"/>
      <c r="SN87" s="236"/>
      <c r="SO87" s="238"/>
      <c r="SP87" s="236"/>
      <c r="SQ87" s="236"/>
      <c r="SR87" s="236"/>
      <c r="SS87" s="236"/>
      <c r="ST87" s="236"/>
      <c r="SU87" s="239"/>
      <c r="SV87" s="236"/>
      <c r="SW87" s="236"/>
      <c r="SX87" s="236"/>
      <c r="SY87" s="236"/>
      <c r="SZ87" s="236"/>
      <c r="TA87" s="238"/>
      <c r="TB87" s="236"/>
      <c r="TC87" s="236"/>
      <c r="TD87" s="236"/>
      <c r="TE87" s="236"/>
      <c r="TF87" s="236"/>
      <c r="TG87" s="239"/>
      <c r="TH87" s="236"/>
      <c r="TI87" s="236"/>
      <c r="TJ87" s="236"/>
      <c r="TK87" s="236"/>
      <c r="TL87" s="236"/>
      <c r="TM87" s="238"/>
      <c r="TN87" s="236"/>
      <c r="TO87" s="236"/>
      <c r="TP87" s="236"/>
      <c r="TQ87" s="236"/>
      <c r="TR87" s="236"/>
      <c r="TS87" s="239"/>
      <c r="TT87" s="236"/>
      <c r="TU87" s="236"/>
      <c r="TV87" s="236"/>
      <c r="TW87" s="236"/>
      <c r="TX87" s="236"/>
      <c r="TY87" s="240"/>
      <c r="TZ87" s="235"/>
      <c r="UA87" s="236"/>
      <c r="UB87" s="236"/>
      <c r="UC87" s="236"/>
      <c r="UD87" s="236"/>
      <c r="UE87" s="237"/>
      <c r="UF87" s="236"/>
      <c r="UG87" s="236"/>
      <c r="UH87" s="236"/>
      <c r="UI87" s="236"/>
      <c r="UJ87" s="236"/>
      <c r="UK87" s="238"/>
      <c r="UL87" s="236"/>
      <c r="UM87" s="236"/>
      <c r="UN87" s="236"/>
      <c r="UO87" s="236"/>
      <c r="UP87" s="236"/>
      <c r="UQ87" s="239"/>
      <c r="UR87" s="236"/>
      <c r="US87" s="236"/>
      <c r="UT87" s="236"/>
      <c r="UU87" s="236"/>
      <c r="UV87" s="236"/>
      <c r="UW87" s="238"/>
      <c r="UX87" s="236"/>
      <c r="UY87" s="236"/>
      <c r="UZ87" s="236"/>
      <c r="VA87" s="236"/>
      <c r="VB87" s="236"/>
      <c r="VC87" s="239"/>
      <c r="VD87" s="236"/>
      <c r="VE87" s="236"/>
      <c r="VF87" s="236"/>
      <c r="VG87" s="236"/>
      <c r="VH87" s="236"/>
      <c r="VI87" s="238"/>
      <c r="VJ87" s="236"/>
      <c r="VK87" s="236"/>
      <c r="VL87" s="236"/>
      <c r="VM87" s="236"/>
      <c r="VN87" s="236"/>
      <c r="VO87" s="239"/>
      <c r="VP87" s="236"/>
      <c r="VQ87" s="236"/>
      <c r="VR87" s="236"/>
      <c r="VS87" s="236"/>
      <c r="VT87" s="236"/>
      <c r="VU87" s="238"/>
      <c r="VV87" s="236"/>
      <c r="VW87" s="236"/>
      <c r="VX87" s="236"/>
      <c r="VY87" s="236"/>
      <c r="VZ87" s="236"/>
      <c r="WA87" s="239"/>
      <c r="WB87" s="236"/>
      <c r="WC87" s="236"/>
      <c r="WD87" s="236"/>
      <c r="WE87" s="236"/>
      <c r="WF87" s="236"/>
      <c r="WG87" s="240"/>
      <c r="WH87" s="235"/>
      <c r="WI87" s="236"/>
      <c r="WJ87" s="236"/>
      <c r="WK87" s="236"/>
      <c r="WL87" s="236"/>
      <c r="WM87" s="237"/>
      <c r="WN87" s="236"/>
      <c r="WO87" s="236"/>
      <c r="WP87" s="236"/>
      <c r="WQ87" s="236"/>
      <c r="WR87" s="236"/>
      <c r="WS87" s="238"/>
      <c r="WT87" s="236"/>
      <c r="WU87" s="236"/>
      <c r="WV87" s="236"/>
      <c r="WW87" s="236"/>
      <c r="WX87" s="236"/>
      <c r="WY87" s="239"/>
      <c r="WZ87" s="236"/>
      <c r="XA87" s="236"/>
      <c r="XB87" s="236"/>
      <c r="XC87" s="236"/>
      <c r="XD87" s="236"/>
      <c r="XE87" s="238"/>
      <c r="XF87" s="236"/>
      <c r="XG87" s="236"/>
      <c r="XH87" s="236"/>
      <c r="XI87" s="236"/>
      <c r="XJ87" s="236"/>
      <c r="XK87" s="239"/>
      <c r="XL87" s="236"/>
      <c r="XM87" s="236"/>
      <c r="XN87" s="236"/>
      <c r="XO87" s="236"/>
      <c r="XP87" s="236"/>
      <c r="XQ87" s="238"/>
      <c r="XR87" s="236"/>
      <c r="XS87" s="236"/>
      <c r="XT87" s="236"/>
      <c r="XU87" s="236"/>
      <c r="XV87" s="236"/>
      <c r="XW87" s="239"/>
      <c r="XX87" s="236"/>
      <c r="XY87" s="236"/>
      <c r="XZ87" s="236"/>
      <c r="YA87" s="236"/>
      <c r="YB87" s="236"/>
      <c r="YC87" s="238"/>
      <c r="YD87" s="236"/>
      <c r="YE87" s="236"/>
      <c r="YF87" s="236"/>
      <c r="YG87" s="236"/>
      <c r="YH87" s="236"/>
      <c r="YI87" s="239"/>
      <c r="YJ87" s="236"/>
      <c r="YK87" s="236"/>
      <c r="YL87" s="236"/>
      <c r="YM87" s="236"/>
      <c r="YN87" s="236"/>
      <c r="YO87" s="240"/>
      <c r="YP87" s="235"/>
      <c r="YQ87" s="236"/>
      <c r="YR87" s="236"/>
      <c r="YS87" s="236"/>
      <c r="YT87" s="236"/>
      <c r="YU87" s="237"/>
      <c r="YV87" s="236"/>
      <c r="YW87" s="236"/>
      <c r="YX87" s="236"/>
      <c r="YY87" s="236"/>
      <c r="YZ87" s="236"/>
      <c r="ZA87" s="238"/>
      <c r="ZB87" s="236"/>
      <c r="ZC87" s="236"/>
      <c r="ZD87" s="236"/>
      <c r="ZE87" s="236"/>
      <c r="ZF87" s="236"/>
      <c r="ZG87" s="239"/>
      <c r="ZH87" s="236"/>
      <c r="ZI87" s="236"/>
      <c r="ZJ87" s="236"/>
      <c r="ZK87" s="236"/>
      <c r="ZL87" s="236"/>
      <c r="ZM87" s="238"/>
      <c r="ZN87" s="236"/>
      <c r="ZO87" s="236"/>
      <c r="ZP87" s="236"/>
      <c r="ZQ87" s="236"/>
      <c r="ZR87" s="236"/>
      <c r="ZS87" s="239"/>
      <c r="ZT87" s="236"/>
      <c r="ZU87" s="236"/>
      <c r="ZV87" s="236"/>
      <c r="ZW87" s="236"/>
      <c r="ZX87" s="236"/>
      <c r="ZY87" s="238"/>
      <c r="ZZ87" s="236"/>
      <c r="AAA87" s="236"/>
      <c r="AAB87" s="236"/>
      <c r="AAC87" s="236"/>
      <c r="AAD87" s="236"/>
      <c r="AAE87" s="239"/>
      <c r="AAF87" s="236"/>
      <c r="AAG87" s="236"/>
      <c r="AAH87" s="236"/>
      <c r="AAI87" s="236"/>
      <c r="AAJ87" s="236"/>
      <c r="AAK87" s="238"/>
      <c r="AAL87" s="236"/>
      <c r="AAM87" s="236"/>
      <c r="AAN87" s="236"/>
      <c r="AAO87" s="236"/>
      <c r="AAP87" s="236"/>
      <c r="AAQ87" s="239"/>
      <c r="AAR87" s="236"/>
      <c r="AAS87" s="236"/>
      <c r="AAT87" s="236"/>
      <c r="AAU87" s="236"/>
      <c r="AAV87" s="236"/>
      <c r="AAW87" s="240"/>
      <c r="AAX87" s="235"/>
      <c r="AAY87" s="236"/>
      <c r="AAZ87" s="236"/>
      <c r="ABA87" s="236"/>
      <c r="ABB87" s="236"/>
      <c r="ABC87" s="237"/>
      <c r="ABD87" s="236"/>
      <c r="ABE87" s="236"/>
      <c r="ABF87" s="236"/>
      <c r="ABG87" s="236"/>
      <c r="ABH87" s="236"/>
      <c r="ABI87" s="238"/>
      <c r="ABJ87" s="236"/>
      <c r="ABK87" s="236"/>
      <c r="ABL87" s="236"/>
      <c r="ABM87" s="236"/>
      <c r="ABN87" s="236"/>
      <c r="ABO87" s="239"/>
      <c r="ABP87" s="236"/>
      <c r="ABQ87" s="236"/>
      <c r="ABR87" s="236"/>
      <c r="ABS87" s="236"/>
      <c r="ABT87" s="236"/>
      <c r="ABU87" s="238"/>
      <c r="ABV87" s="236"/>
      <c r="ABW87" s="236"/>
      <c r="ABX87" s="236"/>
      <c r="ABY87" s="236"/>
      <c r="ABZ87" s="236"/>
      <c r="ACA87" s="239"/>
      <c r="ACB87" s="236"/>
      <c r="ACC87" s="236"/>
      <c r="ACD87" s="236"/>
      <c r="ACE87" s="236"/>
      <c r="ACF87" s="236"/>
      <c r="ACG87" s="238"/>
      <c r="ACH87" s="236"/>
      <c r="ACI87" s="236"/>
      <c r="ACJ87" s="236"/>
      <c r="ACK87" s="236"/>
      <c r="ACL87" s="236"/>
      <c r="ACM87" s="239"/>
      <c r="ACN87" s="236"/>
      <c r="ACO87" s="236"/>
      <c r="ACP87" s="236"/>
      <c r="ACQ87" s="236"/>
      <c r="ACR87" s="236"/>
      <c r="ACS87" s="238"/>
      <c r="ACT87" s="236"/>
      <c r="ACU87" s="236"/>
      <c r="ACV87" s="236"/>
      <c r="ACW87" s="236"/>
      <c r="ACX87" s="236"/>
      <c r="ACY87" s="239"/>
      <c r="ACZ87" s="236"/>
      <c r="ADA87" s="236"/>
      <c r="ADB87" s="236"/>
      <c r="ADC87" s="236"/>
      <c r="ADD87" s="236"/>
      <c r="ADE87" s="240"/>
      <c r="ADF87" s="235"/>
      <c r="ADG87" s="236"/>
      <c r="ADH87" s="236"/>
      <c r="ADI87" s="236"/>
      <c r="ADJ87" s="236"/>
      <c r="ADK87" s="237"/>
      <c r="ADL87" s="236"/>
      <c r="ADM87" s="236"/>
      <c r="ADN87" s="236"/>
      <c r="ADO87" s="236"/>
      <c r="ADP87" s="236"/>
      <c r="ADQ87" s="238"/>
      <c r="ADR87" s="236"/>
      <c r="ADS87" s="236"/>
      <c r="ADT87" s="236"/>
      <c r="ADU87" s="236"/>
      <c r="ADV87" s="236"/>
      <c r="ADW87" s="239"/>
      <c r="ADX87" s="236"/>
      <c r="ADY87" s="236"/>
      <c r="ADZ87" s="236"/>
      <c r="AEA87" s="236"/>
      <c r="AEB87" s="236"/>
      <c r="AEC87" s="238"/>
      <c r="AED87" s="236"/>
      <c r="AEE87" s="236"/>
      <c r="AEF87" s="236"/>
      <c r="AEG87" s="236"/>
      <c r="AEH87" s="236"/>
      <c r="AEI87" s="239"/>
      <c r="AEJ87" s="236"/>
      <c r="AEK87" s="236"/>
      <c r="AEL87" s="236"/>
      <c r="AEM87" s="236"/>
      <c r="AEN87" s="236"/>
      <c r="AEO87" s="238"/>
      <c r="AEP87" s="236"/>
      <c r="AEQ87" s="236"/>
      <c r="AER87" s="236"/>
      <c r="AES87" s="236"/>
      <c r="AET87" s="236"/>
      <c r="AEU87" s="239"/>
      <c r="AEV87" s="236"/>
      <c r="AEW87" s="236"/>
      <c r="AEX87" s="236"/>
      <c r="AEY87" s="236"/>
      <c r="AEZ87" s="236"/>
      <c r="AFA87" s="238"/>
      <c r="AFB87" s="236"/>
      <c r="AFC87" s="236"/>
      <c r="AFD87" s="236"/>
      <c r="AFE87" s="236"/>
      <c r="AFF87" s="236"/>
      <c r="AFG87" s="239"/>
      <c r="AFH87" s="236"/>
      <c r="AFI87" s="236"/>
      <c r="AFJ87" s="236"/>
      <c r="AFK87" s="236"/>
      <c r="AFL87" s="236"/>
      <c r="AFM87" s="240"/>
      <c r="AFN87" s="235"/>
      <c r="AFO87" s="236"/>
      <c r="AFP87" s="236"/>
      <c r="AFQ87" s="236"/>
      <c r="AFR87" s="236"/>
      <c r="AFS87" s="237"/>
      <c r="AFT87" s="236"/>
      <c r="AFU87" s="236"/>
      <c r="AFV87" s="236"/>
      <c r="AFW87" s="236"/>
      <c r="AFX87" s="236"/>
      <c r="AFY87" s="238"/>
      <c r="AFZ87" s="236"/>
      <c r="AGA87" s="236"/>
      <c r="AGB87" s="236"/>
      <c r="AGC87" s="236"/>
      <c r="AGD87" s="236"/>
      <c r="AGE87" s="239"/>
      <c r="AGF87" s="236"/>
      <c r="AGG87" s="236"/>
      <c r="AGH87" s="236"/>
      <c r="AGI87" s="236"/>
      <c r="AGJ87" s="236"/>
      <c r="AGK87" s="238"/>
      <c r="AGL87" s="236"/>
      <c r="AGM87" s="236"/>
      <c r="AGN87" s="236"/>
      <c r="AGO87" s="236"/>
      <c r="AGP87" s="236"/>
      <c r="AGQ87" s="239"/>
      <c r="AGR87" s="236"/>
      <c r="AGS87" s="236"/>
      <c r="AGT87" s="236"/>
      <c r="AGU87" s="236"/>
      <c r="AGV87" s="236"/>
      <c r="AGW87" s="238"/>
      <c r="AGX87" s="236"/>
      <c r="AGY87" s="236"/>
      <c r="AGZ87" s="236"/>
      <c r="AHA87" s="236"/>
      <c r="AHB87" s="236"/>
      <c r="AHC87" s="239"/>
      <c r="AHD87" s="236"/>
      <c r="AHE87" s="236"/>
      <c r="AHF87" s="236"/>
      <c r="AHG87" s="236"/>
      <c r="AHH87" s="236"/>
      <c r="AHI87" s="238"/>
      <c r="AHJ87" s="236"/>
      <c r="AHK87" s="236"/>
      <c r="AHL87" s="236"/>
      <c r="AHM87" s="236"/>
      <c r="AHN87" s="236"/>
      <c r="AHO87" s="239"/>
      <c r="AHP87" s="236"/>
      <c r="AHQ87" s="236"/>
      <c r="AHR87" s="236"/>
      <c r="AHS87" s="236"/>
      <c r="AHT87" s="236"/>
      <c r="AHU87" s="240"/>
      <c r="AHV87" s="235"/>
      <c r="AHW87" s="236"/>
      <c r="AHX87" s="236"/>
      <c r="AHY87" s="236"/>
      <c r="AHZ87" s="236"/>
      <c r="AIA87" s="237"/>
      <c r="AIB87" s="236"/>
      <c r="AIC87" s="236"/>
      <c r="AID87" s="236"/>
      <c r="AIE87" s="236"/>
      <c r="AIF87" s="236"/>
      <c r="AIG87" s="238"/>
      <c r="AIH87" s="236"/>
      <c r="AII87" s="236"/>
      <c r="AIJ87" s="236"/>
      <c r="AIK87" s="236"/>
      <c r="AIL87" s="236"/>
      <c r="AIM87" s="239"/>
      <c r="AIN87" s="236"/>
      <c r="AIO87" s="236"/>
      <c r="AIP87" s="236"/>
      <c r="AIQ87" s="236"/>
      <c r="AIR87" s="236"/>
      <c r="AIS87" s="238"/>
      <c r="AIT87" s="236"/>
      <c r="AIU87" s="236"/>
      <c r="AIV87" s="236"/>
      <c r="AIW87" s="236"/>
      <c r="AIX87" s="236"/>
      <c r="AIY87" s="239"/>
      <c r="AIZ87" s="236"/>
      <c r="AJA87" s="236"/>
      <c r="AJB87" s="236"/>
      <c r="AJC87" s="236"/>
      <c r="AJD87" s="236"/>
      <c r="AJE87" s="238"/>
      <c r="AJF87" s="236"/>
      <c r="AJG87" s="236"/>
      <c r="AJH87" s="236"/>
      <c r="AJI87" s="236"/>
      <c r="AJJ87" s="236"/>
      <c r="AJK87" s="239"/>
      <c r="AJL87" s="236"/>
      <c r="AJM87" s="236"/>
      <c r="AJN87" s="236"/>
      <c r="AJO87" s="236"/>
      <c r="AJP87" s="236"/>
      <c r="AJQ87" s="238"/>
      <c r="AJR87" s="236"/>
      <c r="AJS87" s="236"/>
      <c r="AJT87" s="236"/>
      <c r="AJU87" s="236"/>
      <c r="AJV87" s="236"/>
      <c r="AJW87" s="239"/>
      <c r="AJX87" s="236"/>
      <c r="AJY87" s="236"/>
      <c r="AJZ87" s="236"/>
      <c r="AKA87" s="236"/>
      <c r="AKB87" s="236"/>
      <c r="AKC87" s="240"/>
      <c r="AKD87" s="235"/>
      <c r="AKE87" s="236"/>
      <c r="AKF87" s="236"/>
      <c r="AKG87" s="236"/>
      <c r="AKH87" s="236"/>
      <c r="AKI87" s="237"/>
      <c r="AKJ87" s="236"/>
      <c r="AKK87" s="236"/>
      <c r="AKL87" s="236"/>
      <c r="AKM87" s="236"/>
      <c r="AKN87" s="236"/>
      <c r="AKO87" s="238"/>
      <c r="AKP87" s="236"/>
      <c r="AKQ87" s="236"/>
      <c r="AKR87" s="236"/>
      <c r="AKS87" s="236"/>
      <c r="AKT87" s="236"/>
      <c r="AKU87" s="239"/>
      <c r="AKV87" s="236"/>
      <c r="AKW87" s="236"/>
      <c r="AKX87" s="236"/>
      <c r="AKY87" s="236"/>
      <c r="AKZ87" s="236"/>
      <c r="ALA87" s="238"/>
      <c r="ALB87" s="236"/>
      <c r="ALC87" s="236"/>
      <c r="ALD87" s="236"/>
      <c r="ALE87" s="236"/>
      <c r="ALF87" s="236"/>
      <c r="ALG87" s="239"/>
      <c r="ALH87" s="236"/>
      <c r="ALI87" s="236"/>
      <c r="ALJ87" s="236"/>
      <c r="ALK87" s="236"/>
      <c r="ALL87" s="236"/>
      <c r="ALM87" s="238"/>
      <c r="ALN87" s="236"/>
      <c r="ALO87" s="236"/>
      <c r="ALP87" s="236"/>
      <c r="ALQ87" s="236"/>
      <c r="ALR87" s="236"/>
      <c r="ALS87" s="239"/>
      <c r="ALT87" s="236"/>
      <c r="ALU87" s="236"/>
      <c r="ALV87" s="236"/>
      <c r="ALW87" s="236"/>
      <c r="ALX87" s="236"/>
      <c r="ALY87" s="238"/>
      <c r="ALZ87" s="236"/>
      <c r="AMA87" s="236"/>
      <c r="AMB87" s="236"/>
      <c r="AMC87" s="236"/>
      <c r="AMD87" s="236"/>
      <c r="AME87" s="239"/>
      <c r="AMF87" s="236"/>
      <c r="AMG87" s="236"/>
      <c r="AMH87" s="236"/>
      <c r="AMI87" s="236"/>
      <c r="AMJ87" s="236"/>
      <c r="AMK87" s="240"/>
      <c r="AML87" s="235"/>
      <c r="AMM87" s="236"/>
      <c r="AMN87" s="236"/>
      <c r="AMO87" s="236"/>
      <c r="AMP87" s="236"/>
      <c r="AMQ87" s="237"/>
      <c r="AMR87" s="236"/>
      <c r="AMS87" s="236"/>
      <c r="AMT87" s="236"/>
      <c r="AMU87" s="236"/>
      <c r="AMV87" s="236"/>
      <c r="AMW87" s="238"/>
      <c r="AMX87" s="236"/>
      <c r="AMY87" s="236"/>
      <c r="AMZ87" s="236"/>
      <c r="ANA87" s="236"/>
      <c r="ANB87" s="236"/>
      <c r="ANC87" s="239"/>
      <c r="AND87" s="236"/>
      <c r="ANE87" s="236"/>
      <c r="ANF87" s="236"/>
      <c r="ANG87" s="236"/>
      <c r="ANH87" s="236"/>
      <c r="ANI87" s="238"/>
      <c r="ANJ87" s="236"/>
      <c r="ANK87" s="236"/>
      <c r="ANL87" s="236"/>
      <c r="ANM87" s="236"/>
      <c r="ANN87" s="236"/>
      <c r="ANO87" s="239"/>
      <c r="ANP87" s="236"/>
      <c r="ANQ87" s="236"/>
      <c r="ANR87" s="236"/>
      <c r="ANS87" s="236"/>
      <c r="ANT87" s="236"/>
      <c r="ANU87" s="238"/>
      <c r="ANV87" s="236"/>
      <c r="ANW87" s="236"/>
      <c r="ANX87" s="236"/>
      <c r="ANY87" s="236"/>
      <c r="ANZ87" s="236"/>
      <c r="AOA87" s="239"/>
      <c r="AOB87" s="236"/>
      <c r="AOC87" s="236"/>
      <c r="AOD87" s="236"/>
      <c r="AOE87" s="236"/>
      <c r="AOF87" s="236"/>
      <c r="AOG87" s="238"/>
      <c r="AOH87" s="236"/>
      <c r="AOI87" s="236"/>
      <c r="AOJ87" s="236"/>
      <c r="AOK87" s="236"/>
      <c r="AOL87" s="236"/>
      <c r="AOM87" s="239"/>
      <c r="AON87" s="236"/>
      <c r="AOO87" s="236"/>
      <c r="AOP87" s="236"/>
      <c r="AOQ87" s="236"/>
      <c r="AOR87" s="236"/>
      <c r="AOS87" s="240"/>
      <c r="AOT87" s="235"/>
      <c r="AOU87" s="236"/>
      <c r="AOV87" s="236"/>
      <c r="AOW87" s="236"/>
      <c r="AOX87" s="236"/>
      <c r="AOY87" s="237"/>
      <c r="AOZ87" s="236"/>
      <c r="APA87" s="236"/>
      <c r="APB87" s="236"/>
      <c r="APC87" s="236"/>
      <c r="APD87" s="236"/>
      <c r="APE87" s="238"/>
      <c r="APF87" s="236"/>
      <c r="APG87" s="236"/>
      <c r="APH87" s="236"/>
      <c r="API87" s="236"/>
      <c r="APJ87" s="236"/>
      <c r="APK87" s="239"/>
      <c r="APL87" s="236"/>
      <c r="APM87" s="236"/>
      <c r="APN87" s="236"/>
      <c r="APO87" s="236"/>
      <c r="APP87" s="236"/>
      <c r="APQ87" s="238"/>
      <c r="APR87" s="236"/>
      <c r="APS87" s="236"/>
      <c r="APT87" s="236"/>
      <c r="APU87" s="236"/>
      <c r="APV87" s="236"/>
      <c r="APW87" s="239"/>
      <c r="APX87" s="236"/>
      <c r="APY87" s="236"/>
      <c r="APZ87" s="236"/>
      <c r="AQA87" s="236"/>
      <c r="AQB87" s="236"/>
      <c r="AQC87" s="238"/>
      <c r="AQD87" s="236"/>
      <c r="AQE87" s="236"/>
      <c r="AQF87" s="236"/>
      <c r="AQG87" s="236"/>
      <c r="AQH87" s="236"/>
      <c r="AQI87" s="239"/>
      <c r="AQJ87" s="236"/>
      <c r="AQK87" s="236"/>
      <c r="AQL87" s="236"/>
      <c r="AQM87" s="236"/>
      <c r="AQN87" s="236"/>
      <c r="AQO87" s="238"/>
      <c r="AQP87" s="236"/>
      <c r="AQQ87" s="236"/>
      <c r="AQR87" s="236"/>
      <c r="AQS87" s="236"/>
      <c r="AQT87" s="236"/>
      <c r="AQU87" s="239"/>
      <c r="AQV87" s="236"/>
      <c r="AQW87" s="236"/>
      <c r="AQX87" s="236"/>
      <c r="AQY87" s="236"/>
      <c r="AQZ87" s="236"/>
      <c r="ARA87" s="240"/>
      <c r="ARB87" s="235"/>
      <c r="ARC87" s="236"/>
      <c r="ARD87" s="236"/>
      <c r="ARE87" s="236"/>
      <c r="ARF87" s="236"/>
      <c r="ARG87" s="237"/>
      <c r="ARH87" s="236"/>
      <c r="ARI87" s="236"/>
      <c r="ARJ87" s="236"/>
      <c r="ARK87" s="236"/>
      <c r="ARL87" s="236"/>
      <c r="ARM87" s="238"/>
      <c r="ARN87" s="236"/>
      <c r="ARO87" s="236"/>
      <c r="ARP87" s="236"/>
      <c r="ARQ87" s="236"/>
      <c r="ARR87" s="236"/>
      <c r="ARS87" s="239"/>
      <c r="ART87" s="236"/>
      <c r="ARU87" s="236"/>
      <c r="ARV87" s="236"/>
      <c r="ARW87" s="236"/>
      <c r="ARX87" s="236"/>
      <c r="ARY87" s="238"/>
      <c r="ARZ87" s="236"/>
      <c r="ASA87" s="236"/>
      <c r="ASB87" s="236"/>
      <c r="ASC87" s="236"/>
      <c r="ASD87" s="236"/>
      <c r="ASE87" s="239"/>
      <c r="ASF87" s="236"/>
      <c r="ASG87" s="236"/>
      <c r="ASH87" s="236"/>
      <c r="ASI87" s="236"/>
      <c r="ASJ87" s="236"/>
      <c r="ASK87" s="238"/>
      <c r="ASL87" s="236"/>
      <c r="ASM87" s="236"/>
      <c r="ASN87" s="236"/>
      <c r="ASO87" s="236"/>
      <c r="ASP87" s="236"/>
      <c r="ASQ87" s="239"/>
      <c r="ASR87" s="236"/>
      <c r="ASS87" s="236"/>
      <c r="AST87" s="236"/>
      <c r="ASU87" s="236"/>
      <c r="ASV87" s="236"/>
      <c r="ASW87" s="238"/>
      <c r="ASX87" s="236"/>
      <c r="ASY87" s="236"/>
      <c r="ASZ87" s="236"/>
      <c r="ATA87" s="236"/>
      <c r="ATB87" s="236"/>
      <c r="ATC87" s="239"/>
      <c r="ATD87" s="236"/>
      <c r="ATE87" s="236"/>
      <c r="ATF87" s="236"/>
      <c r="ATG87" s="236"/>
      <c r="ATH87" s="236"/>
      <c r="ATI87" s="240"/>
      <c r="ATJ87" s="235"/>
      <c r="ATK87" s="236"/>
      <c r="ATL87" s="236"/>
      <c r="ATM87" s="236"/>
      <c r="ATN87" s="236"/>
      <c r="ATO87" s="237"/>
      <c r="ATP87" s="236"/>
      <c r="ATQ87" s="236"/>
      <c r="ATR87" s="236"/>
      <c r="ATS87" s="236"/>
      <c r="ATT87" s="236"/>
      <c r="ATU87" s="238"/>
      <c r="ATV87" s="236"/>
      <c r="ATW87" s="236"/>
      <c r="ATX87" s="236"/>
      <c r="ATY87" s="236"/>
      <c r="ATZ87" s="236"/>
      <c r="AUA87" s="239"/>
      <c r="AUB87" s="236"/>
      <c r="AUC87" s="236"/>
      <c r="AUD87" s="236"/>
      <c r="AUE87" s="236"/>
      <c r="AUF87" s="236"/>
      <c r="AUG87" s="238"/>
      <c r="AUH87" s="236"/>
      <c r="AUI87" s="236"/>
      <c r="AUJ87" s="236"/>
      <c r="AUK87" s="236"/>
      <c r="AUL87" s="236"/>
      <c r="AUM87" s="239"/>
      <c r="AUN87" s="236"/>
      <c r="AUO87" s="236"/>
      <c r="AUP87" s="236"/>
      <c r="AUQ87" s="236"/>
      <c r="AUR87" s="236"/>
      <c r="AUS87" s="238"/>
      <c r="AUT87" s="236"/>
      <c r="AUU87" s="236"/>
      <c r="AUV87" s="236"/>
      <c r="AUW87" s="236"/>
      <c r="AUX87" s="236"/>
      <c r="AUY87" s="239"/>
      <c r="AUZ87" s="236"/>
      <c r="AVA87" s="236"/>
      <c r="AVB87" s="236"/>
      <c r="AVC87" s="236"/>
      <c r="AVD87" s="236"/>
      <c r="AVE87" s="238"/>
      <c r="AVF87" s="236"/>
      <c r="AVG87" s="236"/>
      <c r="AVH87" s="236"/>
      <c r="AVI87" s="236"/>
      <c r="AVJ87" s="236"/>
      <c r="AVK87" s="239"/>
      <c r="AVL87" s="236"/>
      <c r="AVM87" s="236"/>
      <c r="AVN87" s="236"/>
      <c r="AVO87" s="236"/>
      <c r="AVP87" s="236"/>
      <c r="AVQ87" s="240"/>
      <c r="AVR87" s="235"/>
      <c r="AVS87" s="236"/>
      <c r="AVT87" s="236"/>
      <c r="AVU87" s="236"/>
      <c r="AVV87" s="236"/>
      <c r="AVW87" s="237"/>
      <c r="AVX87" s="236"/>
      <c r="AVY87" s="236"/>
      <c r="AVZ87" s="236"/>
      <c r="AWA87" s="236"/>
      <c r="AWB87" s="236"/>
      <c r="AWC87" s="238"/>
      <c r="AWD87" s="236"/>
      <c r="AWE87" s="236"/>
      <c r="AWF87" s="236"/>
      <c r="AWG87" s="236"/>
      <c r="AWH87" s="236"/>
      <c r="AWI87" s="239"/>
      <c r="AWJ87" s="236"/>
      <c r="AWK87" s="236"/>
      <c r="AWL87" s="236"/>
      <c r="AWM87" s="236"/>
      <c r="AWN87" s="236"/>
      <c r="AWO87" s="238"/>
      <c r="AWP87" s="236"/>
      <c r="AWQ87" s="236"/>
      <c r="AWR87" s="236"/>
      <c r="AWS87" s="236"/>
      <c r="AWT87" s="236"/>
      <c r="AWU87" s="239"/>
      <c r="AWV87" s="236"/>
      <c r="AWW87" s="236"/>
      <c r="AWX87" s="236"/>
      <c r="AWY87" s="236"/>
      <c r="AWZ87" s="236"/>
      <c r="AXA87" s="238"/>
      <c r="AXB87" s="236"/>
      <c r="AXC87" s="236"/>
      <c r="AXD87" s="236"/>
      <c r="AXE87" s="236"/>
      <c r="AXF87" s="236"/>
      <c r="AXG87" s="239"/>
      <c r="AXH87" s="236"/>
      <c r="AXI87" s="236"/>
      <c r="AXJ87" s="236"/>
      <c r="AXK87" s="236"/>
      <c r="AXL87" s="236"/>
      <c r="AXM87" s="238"/>
      <c r="AXN87" s="236"/>
      <c r="AXO87" s="236"/>
      <c r="AXP87" s="236"/>
      <c r="AXQ87" s="236"/>
      <c r="AXR87" s="236"/>
      <c r="AXS87" s="239"/>
      <c r="AXT87" s="236"/>
      <c r="AXU87" s="236"/>
      <c r="AXV87" s="236"/>
      <c r="AXW87" s="236"/>
      <c r="AXX87" s="236"/>
      <c r="AXY87" s="240"/>
      <c r="AXZ87" s="235"/>
      <c r="AYA87" s="236"/>
      <c r="AYB87" s="236"/>
      <c r="AYC87" s="236"/>
      <c r="AYD87" s="236"/>
      <c r="AYE87" s="237"/>
      <c r="AYF87" s="236"/>
      <c r="AYG87" s="236"/>
      <c r="AYH87" s="236"/>
      <c r="AYI87" s="236"/>
      <c r="AYJ87" s="236"/>
      <c r="AYK87" s="238"/>
      <c r="AYL87" s="236"/>
      <c r="AYM87" s="236"/>
      <c r="AYN87" s="236"/>
      <c r="AYO87" s="236"/>
      <c r="AYP87" s="236"/>
      <c r="AYQ87" s="239"/>
      <c r="AYR87" s="236"/>
      <c r="AYS87" s="236"/>
      <c r="AYT87" s="236"/>
      <c r="AYU87" s="236"/>
      <c r="AYV87" s="236"/>
      <c r="AYW87" s="238"/>
      <c r="AYX87" s="236"/>
      <c r="AYY87" s="236"/>
      <c r="AYZ87" s="236"/>
      <c r="AZA87" s="236"/>
      <c r="AZB87" s="236"/>
      <c r="AZC87" s="239"/>
      <c r="AZD87" s="236"/>
      <c r="AZE87" s="236"/>
      <c r="AZF87" s="236"/>
      <c r="AZG87" s="236"/>
      <c r="AZH87" s="236"/>
      <c r="AZI87" s="238"/>
      <c r="AZJ87" s="236"/>
      <c r="AZK87" s="236"/>
      <c r="AZL87" s="236"/>
      <c r="AZM87" s="236"/>
      <c r="AZN87" s="236"/>
      <c r="AZO87" s="239"/>
      <c r="AZP87" s="236"/>
      <c r="AZQ87" s="236"/>
      <c r="AZR87" s="236"/>
      <c r="AZS87" s="236"/>
      <c r="AZT87" s="236"/>
      <c r="AZU87" s="238"/>
      <c r="AZV87" s="236"/>
      <c r="AZW87" s="236"/>
      <c r="AZX87" s="236"/>
      <c r="AZY87" s="236"/>
      <c r="AZZ87" s="236"/>
      <c r="BAA87" s="239"/>
      <c r="BAB87" s="236"/>
      <c r="BAC87" s="236"/>
      <c r="BAD87" s="236"/>
      <c r="BAE87" s="236"/>
      <c r="BAF87" s="236"/>
      <c r="BAG87" s="240"/>
      <c r="BAH87" s="235"/>
      <c r="BAI87" s="236"/>
      <c r="BAJ87" s="236"/>
      <c r="BAK87" s="236"/>
      <c r="BAL87" s="236"/>
      <c r="BAM87" s="237"/>
      <c r="BAN87" s="236"/>
      <c r="BAO87" s="236"/>
      <c r="BAP87" s="236"/>
      <c r="BAQ87" s="236"/>
      <c r="BAR87" s="236"/>
      <c r="BAS87" s="238"/>
      <c r="BAT87" s="236"/>
      <c r="BAU87" s="236"/>
      <c r="BAV87" s="236"/>
      <c r="BAW87" s="236"/>
      <c r="BAX87" s="236"/>
      <c r="BAY87" s="239"/>
      <c r="BAZ87" s="236"/>
      <c r="BBA87" s="236"/>
      <c r="BBB87" s="236"/>
      <c r="BBC87" s="236"/>
      <c r="BBD87" s="236"/>
      <c r="BBE87" s="238"/>
      <c r="BBF87" s="236"/>
      <c r="BBG87" s="236"/>
      <c r="BBH87" s="236"/>
      <c r="BBI87" s="236"/>
      <c r="BBJ87" s="236"/>
      <c r="BBK87" s="239"/>
      <c r="BBL87" s="236"/>
      <c r="BBM87" s="236"/>
      <c r="BBN87" s="236"/>
      <c r="BBO87" s="236"/>
      <c r="BBP87" s="236"/>
      <c r="BBQ87" s="238"/>
      <c r="BBR87" s="236"/>
      <c r="BBS87" s="236"/>
      <c r="BBT87" s="236"/>
      <c r="BBU87" s="236"/>
      <c r="BBV87" s="236"/>
      <c r="BBW87" s="239"/>
      <c r="BBX87" s="236"/>
      <c r="BBY87" s="236"/>
      <c r="BBZ87" s="236"/>
      <c r="BCA87" s="236"/>
      <c r="BCB87" s="236"/>
      <c r="BCC87" s="238"/>
      <c r="BCD87" s="236"/>
      <c r="BCE87" s="236"/>
      <c r="BCF87" s="236"/>
      <c r="BCG87" s="236"/>
      <c r="BCH87" s="236"/>
      <c r="BCI87" s="239"/>
      <c r="BCJ87" s="236"/>
      <c r="BCK87" s="236"/>
      <c r="BCL87" s="236"/>
      <c r="BCM87" s="236"/>
      <c r="BCN87" s="236"/>
      <c r="BCO87" s="240"/>
      <c r="BCP87" s="235"/>
      <c r="BCQ87" s="236"/>
      <c r="BCR87" s="236"/>
      <c r="BCS87" s="236"/>
      <c r="BCT87" s="236"/>
      <c r="BCU87" s="237"/>
      <c r="BCV87" s="236"/>
      <c r="BCW87" s="236"/>
      <c r="BCX87" s="236"/>
      <c r="BCY87" s="236"/>
      <c r="BCZ87" s="236"/>
      <c r="BDA87" s="238"/>
      <c r="BDB87" s="236"/>
      <c r="BDC87" s="236"/>
      <c r="BDD87" s="236"/>
      <c r="BDE87" s="236"/>
      <c r="BDF87" s="236"/>
      <c r="BDG87" s="239"/>
      <c r="BDH87" s="236"/>
      <c r="BDI87" s="236"/>
      <c r="BDJ87" s="236"/>
      <c r="BDK87" s="236"/>
      <c r="BDL87" s="236"/>
      <c r="BDM87" s="238"/>
      <c r="BDN87" s="236"/>
      <c r="BDO87" s="236"/>
      <c r="BDP87" s="236"/>
      <c r="BDQ87" s="236"/>
      <c r="BDR87" s="236"/>
      <c r="BDS87" s="239"/>
      <c r="BDT87" s="236"/>
      <c r="BDU87" s="236"/>
      <c r="BDV87" s="236"/>
      <c r="BDW87" s="236"/>
      <c r="BDX87" s="236"/>
      <c r="BDY87" s="238"/>
      <c r="BDZ87" s="236"/>
      <c r="BEA87" s="236"/>
      <c r="BEB87" s="236"/>
      <c r="BEC87" s="236"/>
      <c r="BED87" s="236"/>
      <c r="BEE87" s="239"/>
      <c r="BEF87" s="236"/>
      <c r="BEG87" s="236"/>
      <c r="BEH87" s="236"/>
      <c r="BEI87" s="236"/>
      <c r="BEJ87" s="236"/>
      <c r="BEK87" s="238"/>
      <c r="BEL87" s="236"/>
      <c r="BEM87" s="236"/>
      <c r="BEN87" s="236"/>
      <c r="BEO87" s="236"/>
      <c r="BEP87" s="236"/>
      <c r="BEQ87" s="239"/>
      <c r="BER87" s="236"/>
      <c r="BES87" s="236"/>
      <c r="BET87" s="236"/>
      <c r="BEU87" s="236"/>
      <c r="BEV87" s="236"/>
      <c r="BEW87" s="240"/>
      <c r="BEX87" s="235"/>
      <c r="BEY87" s="236"/>
      <c r="BEZ87" s="236"/>
      <c r="BFA87" s="236"/>
      <c r="BFB87" s="236"/>
      <c r="BFC87" s="237"/>
      <c r="BFD87" s="236"/>
      <c r="BFE87" s="236"/>
      <c r="BFF87" s="236"/>
      <c r="BFG87" s="236"/>
      <c r="BFH87" s="236"/>
      <c r="BFI87" s="238"/>
      <c r="BFJ87" s="236"/>
      <c r="BFK87" s="236"/>
      <c r="BFL87" s="236"/>
      <c r="BFM87" s="236"/>
      <c r="BFN87" s="236"/>
      <c r="BFO87" s="239"/>
      <c r="BFP87" s="236"/>
      <c r="BFQ87" s="236"/>
      <c r="BFR87" s="236"/>
      <c r="BFS87" s="236"/>
      <c r="BFT87" s="236"/>
      <c r="BFU87" s="238"/>
      <c r="BFV87" s="236"/>
      <c r="BFW87" s="236"/>
      <c r="BFX87" s="236"/>
      <c r="BFY87" s="236"/>
      <c r="BFZ87" s="236"/>
      <c r="BGA87" s="239"/>
      <c r="BGB87" s="236"/>
      <c r="BGC87" s="236"/>
      <c r="BGD87" s="236"/>
      <c r="BGE87" s="236"/>
      <c r="BGF87" s="236"/>
      <c r="BGG87" s="238"/>
      <c r="BGH87" s="236"/>
      <c r="BGI87" s="236"/>
      <c r="BGJ87" s="236"/>
      <c r="BGK87" s="236"/>
      <c r="BGL87" s="236"/>
      <c r="BGM87" s="239"/>
      <c r="BGN87" s="236"/>
      <c r="BGO87" s="236"/>
      <c r="BGP87" s="236"/>
      <c r="BGQ87" s="236"/>
      <c r="BGR87" s="236"/>
      <c r="BGS87" s="238"/>
      <c r="BGT87" s="236"/>
      <c r="BGU87" s="236"/>
      <c r="BGV87" s="236"/>
      <c r="BGW87" s="236"/>
      <c r="BGX87" s="236"/>
      <c r="BGY87" s="239"/>
      <c r="BGZ87" s="236"/>
      <c r="BHA87" s="236"/>
      <c r="BHB87" s="236"/>
      <c r="BHC87" s="236"/>
      <c r="BHD87" s="236"/>
      <c r="BHE87" s="240"/>
      <c r="BHF87" s="235"/>
      <c r="BHG87" s="236"/>
      <c r="BHH87" s="236"/>
      <c r="BHI87" s="236"/>
      <c r="BHJ87" s="236"/>
      <c r="BHK87" s="237"/>
      <c r="BHL87" s="236"/>
      <c r="BHM87" s="236"/>
      <c r="BHN87" s="236"/>
      <c r="BHO87" s="236"/>
      <c r="BHP87" s="236"/>
      <c r="BHQ87" s="238"/>
      <c r="BHR87" s="236"/>
      <c r="BHS87" s="236"/>
      <c r="BHT87" s="236"/>
      <c r="BHU87" s="236"/>
      <c r="BHV87" s="236"/>
      <c r="BHW87" s="239"/>
      <c r="BHX87" s="236"/>
      <c r="BHY87" s="236"/>
      <c r="BHZ87" s="236"/>
      <c r="BIA87" s="236"/>
      <c r="BIB87" s="236"/>
      <c r="BIC87" s="238"/>
      <c r="BID87" s="236"/>
      <c r="BIE87" s="236"/>
      <c r="BIF87" s="236"/>
      <c r="BIG87" s="236"/>
      <c r="BIH87" s="236"/>
      <c r="BII87" s="239"/>
      <c r="BIJ87" s="236"/>
      <c r="BIK87" s="236"/>
      <c r="BIL87" s="236"/>
      <c r="BIM87" s="236"/>
      <c r="BIN87" s="236"/>
      <c r="BIO87" s="238"/>
      <c r="BIP87" s="236"/>
      <c r="BIQ87" s="236"/>
      <c r="BIR87" s="236"/>
      <c r="BIS87" s="236"/>
      <c r="BIT87" s="236"/>
      <c r="BIU87" s="239"/>
      <c r="BIV87" s="236"/>
      <c r="BIW87" s="236"/>
      <c r="BIX87" s="236"/>
      <c r="BIY87" s="236"/>
      <c r="BIZ87" s="236"/>
      <c r="BJA87" s="238"/>
      <c r="BJB87" s="236"/>
      <c r="BJC87" s="236"/>
      <c r="BJD87" s="236"/>
      <c r="BJE87" s="236"/>
      <c r="BJF87" s="236"/>
      <c r="BJG87" s="239"/>
      <c r="BJH87" s="236"/>
      <c r="BJI87" s="236"/>
      <c r="BJJ87" s="236"/>
      <c r="BJK87" s="236"/>
      <c r="BJL87" s="236"/>
      <c r="BJM87" s="240"/>
      <c r="BJN87" s="233"/>
      <c r="BJO87" s="234"/>
      <c r="BJP87" s="234"/>
      <c r="BJQ87" s="234"/>
      <c r="BJR87" s="234"/>
      <c r="BJS87" s="234"/>
      <c r="BJT87" s="234"/>
      <c r="BJU87" s="234"/>
      <c r="BJV87" s="234"/>
      <c r="BJW87" s="234"/>
      <c r="BJX87" s="234"/>
      <c r="BJY87" s="234"/>
      <c r="BJZ87" s="234"/>
      <c r="BKA87" s="234"/>
      <c r="BKB87" s="234"/>
      <c r="BKC87" s="234"/>
      <c r="BKD87" s="234"/>
      <c r="BKE87" s="234"/>
      <c r="BKF87" s="234"/>
      <c r="BKG87" s="234"/>
      <c r="BKH87" s="234"/>
      <c r="BKI87" s="234"/>
      <c r="BKJ87" s="234"/>
      <c r="BKK87" s="234"/>
      <c r="BKL87" s="234"/>
      <c r="BKM87" s="234"/>
      <c r="BKN87" s="234"/>
    </row>
    <row r="88" spans="1:1652" ht="20.100000000000001" customHeight="1" x14ac:dyDescent="0.25">
      <c r="A88" s="84" t="s">
        <v>20</v>
      </c>
      <c r="B88" s="53"/>
      <c r="C88" s="178"/>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174"/>
      <c r="BJO88" s="4"/>
      <c r="BJP88" s="4"/>
      <c r="BJQ88" s="4"/>
      <c r="BJR88" s="4"/>
      <c r="BJS88" s="4"/>
      <c r="BJT88" s="4"/>
      <c r="BJU88" s="4"/>
      <c r="BJV88" s="4"/>
      <c r="BJW88" s="4"/>
      <c r="BJX88" s="4"/>
      <c r="BJY88" s="4"/>
      <c r="BJZ88" s="4"/>
      <c r="BKA88" s="4"/>
      <c r="BKB88" s="4"/>
      <c r="BKC88" s="4"/>
      <c r="BKD88" s="4"/>
      <c r="BKE88" s="4"/>
      <c r="BKF88" s="4"/>
      <c r="BKG88" s="4"/>
      <c r="BKH88" s="4"/>
      <c r="BKI88" s="4"/>
      <c r="BKJ88" s="4"/>
      <c r="BKK88" s="4"/>
      <c r="BKL88" s="4"/>
      <c r="BKM88" s="4"/>
      <c r="BKN88" s="4"/>
    </row>
    <row r="89" spans="1:1652" ht="20.100000000000001" customHeight="1" x14ac:dyDescent="0.25">
      <c r="A89" s="84" t="s">
        <v>19</v>
      </c>
      <c r="B89" s="53"/>
      <c r="C89" s="177"/>
      <c r="D89" s="129" t="str">
        <f t="shared" si="1"/>
        <v>0h</v>
      </c>
      <c r="E89" s="26">
        <v>0</v>
      </c>
      <c r="F89" s="235"/>
      <c r="G89" s="236"/>
      <c r="H89" s="236"/>
      <c r="I89" s="236"/>
      <c r="J89" s="236"/>
      <c r="K89" s="237"/>
      <c r="L89" s="236"/>
      <c r="M89" s="236"/>
      <c r="N89" s="236"/>
      <c r="O89" s="236"/>
      <c r="P89" s="236"/>
      <c r="Q89" s="238"/>
      <c r="R89" s="236"/>
      <c r="S89" s="236"/>
      <c r="T89" s="236"/>
      <c r="U89" s="236"/>
      <c r="V89" s="236"/>
      <c r="W89" s="239"/>
      <c r="X89" s="236"/>
      <c r="Y89" s="236"/>
      <c r="Z89" s="236"/>
      <c r="AA89" s="236"/>
      <c r="AB89" s="236"/>
      <c r="AC89" s="238"/>
      <c r="AD89" s="236"/>
      <c r="AE89" s="236"/>
      <c r="AF89" s="236"/>
      <c r="AG89" s="236"/>
      <c r="AH89" s="236"/>
      <c r="AI89" s="239"/>
      <c r="AJ89" s="236"/>
      <c r="AK89" s="236"/>
      <c r="AL89" s="236"/>
      <c r="AM89" s="236"/>
      <c r="AN89" s="236"/>
      <c r="AO89" s="238"/>
      <c r="AP89" s="236"/>
      <c r="AQ89" s="236"/>
      <c r="AR89" s="236"/>
      <c r="AS89" s="236"/>
      <c r="AT89" s="236"/>
      <c r="AU89" s="239"/>
      <c r="AV89" s="236"/>
      <c r="AW89" s="236"/>
      <c r="AX89" s="236"/>
      <c r="AY89" s="236"/>
      <c r="AZ89" s="236"/>
      <c r="BA89" s="238"/>
      <c r="BB89" s="236"/>
      <c r="BC89" s="236"/>
      <c r="BD89" s="236"/>
      <c r="BE89" s="236"/>
      <c r="BF89" s="236"/>
      <c r="BG89" s="239"/>
      <c r="BH89" s="236"/>
      <c r="BI89" s="236"/>
      <c r="BJ89" s="236"/>
      <c r="BK89" s="236"/>
      <c r="BL89" s="236"/>
      <c r="BM89" s="240"/>
      <c r="BN89" s="235"/>
      <c r="BO89" s="236"/>
      <c r="BP89" s="236"/>
      <c r="BQ89" s="236"/>
      <c r="BR89" s="236"/>
      <c r="BS89" s="237"/>
      <c r="BT89" s="236"/>
      <c r="BU89" s="236"/>
      <c r="BV89" s="236"/>
      <c r="BW89" s="236"/>
      <c r="BX89" s="236"/>
      <c r="BY89" s="238"/>
      <c r="BZ89" s="236"/>
      <c r="CA89" s="236"/>
      <c r="CB89" s="236"/>
      <c r="CC89" s="236"/>
      <c r="CD89" s="236"/>
      <c r="CE89" s="239"/>
      <c r="CF89" s="236"/>
      <c r="CG89" s="236"/>
      <c r="CH89" s="236"/>
      <c r="CI89" s="236"/>
      <c r="CJ89" s="236"/>
      <c r="CK89" s="238"/>
      <c r="CL89" s="236"/>
      <c r="CM89" s="236"/>
      <c r="CN89" s="236"/>
      <c r="CO89" s="236"/>
      <c r="CP89" s="236"/>
      <c r="CQ89" s="239"/>
      <c r="CR89" s="236"/>
      <c r="CS89" s="236"/>
      <c r="CT89" s="236"/>
      <c r="CU89" s="236"/>
      <c r="CV89" s="236"/>
      <c r="CW89" s="238"/>
      <c r="CX89" s="236"/>
      <c r="CY89" s="236"/>
      <c r="CZ89" s="236"/>
      <c r="DA89" s="236"/>
      <c r="DB89" s="236"/>
      <c r="DC89" s="239"/>
      <c r="DD89" s="236"/>
      <c r="DE89" s="236"/>
      <c r="DF89" s="236"/>
      <c r="DG89" s="236"/>
      <c r="DH89" s="236"/>
      <c r="DI89" s="238"/>
      <c r="DJ89" s="236"/>
      <c r="DK89" s="236"/>
      <c r="DL89" s="236"/>
      <c r="DM89" s="236"/>
      <c r="DN89" s="236"/>
      <c r="DO89" s="239"/>
      <c r="DP89" s="236"/>
      <c r="DQ89" s="236"/>
      <c r="DR89" s="236"/>
      <c r="DS89" s="236"/>
      <c r="DT89" s="236"/>
      <c r="DU89" s="240"/>
      <c r="DV89" s="235"/>
      <c r="DW89" s="236"/>
      <c r="DX89" s="236"/>
      <c r="DY89" s="236"/>
      <c r="DZ89" s="236"/>
      <c r="EA89" s="237"/>
      <c r="EB89" s="236"/>
      <c r="EC89" s="236"/>
      <c r="ED89" s="236"/>
      <c r="EE89" s="236"/>
      <c r="EF89" s="236"/>
      <c r="EG89" s="238"/>
      <c r="EH89" s="236"/>
      <c r="EI89" s="236"/>
      <c r="EJ89" s="236"/>
      <c r="EK89" s="236"/>
      <c r="EL89" s="236"/>
      <c r="EM89" s="239"/>
      <c r="EN89" s="236"/>
      <c r="EO89" s="236"/>
      <c r="EP89" s="236"/>
      <c r="EQ89" s="236"/>
      <c r="ER89" s="236"/>
      <c r="ES89" s="238"/>
      <c r="ET89" s="236"/>
      <c r="EU89" s="236"/>
      <c r="EV89" s="236"/>
      <c r="EW89" s="236"/>
      <c r="EX89" s="236"/>
      <c r="EY89" s="239"/>
      <c r="EZ89" s="236"/>
      <c r="FA89" s="236"/>
      <c r="FB89" s="236"/>
      <c r="FC89" s="236"/>
      <c r="FD89" s="236"/>
      <c r="FE89" s="238"/>
      <c r="FF89" s="236"/>
      <c r="FG89" s="236"/>
      <c r="FH89" s="236"/>
      <c r="FI89" s="236"/>
      <c r="FJ89" s="236"/>
      <c r="FK89" s="239"/>
      <c r="FL89" s="236"/>
      <c r="FM89" s="236"/>
      <c r="FN89" s="236"/>
      <c r="FO89" s="236"/>
      <c r="FP89" s="236"/>
      <c r="FQ89" s="238"/>
      <c r="FR89" s="236"/>
      <c r="FS89" s="236"/>
      <c r="FT89" s="236"/>
      <c r="FU89" s="236"/>
      <c r="FV89" s="236"/>
      <c r="FW89" s="239"/>
      <c r="FX89" s="236"/>
      <c r="FY89" s="236"/>
      <c r="FZ89" s="236"/>
      <c r="GA89" s="236"/>
      <c r="GB89" s="236"/>
      <c r="GC89" s="240"/>
      <c r="GD89" s="235"/>
      <c r="GE89" s="236"/>
      <c r="GF89" s="236"/>
      <c r="GG89" s="236"/>
      <c r="GH89" s="236"/>
      <c r="GI89" s="237"/>
      <c r="GJ89" s="236"/>
      <c r="GK89" s="236"/>
      <c r="GL89" s="236"/>
      <c r="GM89" s="236"/>
      <c r="GN89" s="236"/>
      <c r="GO89" s="238"/>
      <c r="GP89" s="236"/>
      <c r="GQ89" s="236"/>
      <c r="GR89" s="236"/>
      <c r="GS89" s="236"/>
      <c r="GT89" s="236"/>
      <c r="GU89" s="239"/>
      <c r="GV89" s="236"/>
      <c r="GW89" s="236"/>
      <c r="GX89" s="236"/>
      <c r="GY89" s="236"/>
      <c r="GZ89" s="236"/>
      <c r="HA89" s="238"/>
      <c r="HB89" s="236"/>
      <c r="HC89" s="236"/>
      <c r="HD89" s="236"/>
      <c r="HE89" s="236"/>
      <c r="HF89" s="236"/>
      <c r="HG89" s="239"/>
      <c r="HH89" s="236"/>
      <c r="HI89" s="236"/>
      <c r="HJ89" s="236"/>
      <c r="HK89" s="236"/>
      <c r="HL89" s="236"/>
      <c r="HM89" s="238"/>
      <c r="HN89" s="236"/>
      <c r="HO89" s="236"/>
      <c r="HP89" s="236"/>
      <c r="HQ89" s="236"/>
      <c r="HR89" s="236"/>
      <c r="HS89" s="239"/>
      <c r="HT89" s="236"/>
      <c r="HU89" s="236"/>
      <c r="HV89" s="236"/>
      <c r="HW89" s="236"/>
      <c r="HX89" s="236"/>
      <c r="HY89" s="238"/>
      <c r="HZ89" s="236"/>
      <c r="IA89" s="236"/>
      <c r="IB89" s="236"/>
      <c r="IC89" s="236"/>
      <c r="ID89" s="236"/>
      <c r="IE89" s="239"/>
      <c r="IF89" s="236"/>
      <c r="IG89" s="236"/>
      <c r="IH89" s="236"/>
      <c r="II89" s="236"/>
      <c r="IJ89" s="236"/>
      <c r="IK89" s="240"/>
      <c r="IL89" s="235"/>
      <c r="IM89" s="236"/>
      <c r="IN89" s="236"/>
      <c r="IO89" s="236"/>
      <c r="IP89" s="236"/>
      <c r="IQ89" s="237"/>
      <c r="IR89" s="236"/>
      <c r="IS89" s="236"/>
      <c r="IT89" s="236"/>
      <c r="IU89" s="236"/>
      <c r="IV89" s="236"/>
      <c r="IW89" s="238"/>
      <c r="IX89" s="236"/>
      <c r="IY89" s="236"/>
      <c r="IZ89" s="236"/>
      <c r="JA89" s="236"/>
      <c r="JB89" s="236"/>
      <c r="JC89" s="239"/>
      <c r="JD89" s="236"/>
      <c r="JE89" s="236"/>
      <c r="JF89" s="236"/>
      <c r="JG89" s="236"/>
      <c r="JH89" s="236"/>
      <c r="JI89" s="238"/>
      <c r="JJ89" s="236"/>
      <c r="JK89" s="236"/>
      <c r="JL89" s="236"/>
      <c r="JM89" s="236"/>
      <c r="JN89" s="236"/>
      <c r="JO89" s="239"/>
      <c r="JP89" s="236"/>
      <c r="JQ89" s="236"/>
      <c r="JR89" s="236"/>
      <c r="JS89" s="236"/>
      <c r="JT89" s="236"/>
      <c r="JU89" s="238"/>
      <c r="JV89" s="236"/>
      <c r="JW89" s="236"/>
      <c r="JX89" s="236"/>
      <c r="JY89" s="236"/>
      <c r="JZ89" s="236"/>
      <c r="KA89" s="239"/>
      <c r="KB89" s="236"/>
      <c r="KC89" s="236"/>
      <c r="KD89" s="236"/>
      <c r="KE89" s="236"/>
      <c r="KF89" s="236"/>
      <c r="KG89" s="238"/>
      <c r="KH89" s="236"/>
      <c r="KI89" s="236"/>
      <c r="KJ89" s="236"/>
      <c r="KK89" s="236"/>
      <c r="KL89" s="236"/>
      <c r="KM89" s="239"/>
      <c r="KN89" s="236"/>
      <c r="KO89" s="236"/>
      <c r="KP89" s="236"/>
      <c r="KQ89" s="236"/>
      <c r="KR89" s="236"/>
      <c r="KS89" s="240"/>
      <c r="KT89" s="235"/>
      <c r="KU89" s="236"/>
      <c r="KV89" s="236"/>
      <c r="KW89" s="236"/>
      <c r="KX89" s="236"/>
      <c r="KY89" s="237"/>
      <c r="KZ89" s="236"/>
      <c r="LA89" s="236"/>
      <c r="LB89" s="236"/>
      <c r="LC89" s="236"/>
      <c r="LD89" s="236"/>
      <c r="LE89" s="238"/>
      <c r="LF89" s="236"/>
      <c r="LG89" s="236"/>
      <c r="LH89" s="236"/>
      <c r="LI89" s="236"/>
      <c r="LJ89" s="236"/>
      <c r="LK89" s="239"/>
      <c r="LL89" s="236"/>
      <c r="LM89" s="236"/>
      <c r="LN89" s="236"/>
      <c r="LO89" s="236"/>
      <c r="LP89" s="236"/>
      <c r="LQ89" s="238"/>
      <c r="LR89" s="236"/>
      <c r="LS89" s="236"/>
      <c r="LT89" s="236"/>
      <c r="LU89" s="236"/>
      <c r="LV89" s="236"/>
      <c r="LW89" s="239"/>
      <c r="LX89" s="236"/>
      <c r="LY89" s="236"/>
      <c r="LZ89" s="236"/>
      <c r="MA89" s="236"/>
      <c r="MB89" s="236"/>
      <c r="MC89" s="238"/>
      <c r="MD89" s="236"/>
      <c r="ME89" s="236"/>
      <c r="MF89" s="236"/>
      <c r="MG89" s="236"/>
      <c r="MH89" s="236"/>
      <c r="MI89" s="239"/>
      <c r="MJ89" s="236"/>
      <c r="MK89" s="236"/>
      <c r="ML89" s="236"/>
      <c r="MM89" s="236"/>
      <c r="MN89" s="236"/>
      <c r="MO89" s="238"/>
      <c r="MP89" s="236"/>
      <c r="MQ89" s="236"/>
      <c r="MR89" s="236"/>
      <c r="MS89" s="236"/>
      <c r="MT89" s="236"/>
      <c r="MU89" s="239"/>
      <c r="MV89" s="236"/>
      <c r="MW89" s="236"/>
      <c r="MX89" s="236"/>
      <c r="MY89" s="236"/>
      <c r="MZ89" s="236"/>
      <c r="NA89" s="240"/>
      <c r="NB89" s="235"/>
      <c r="NC89" s="236"/>
      <c r="ND89" s="236"/>
      <c r="NE89" s="236"/>
      <c r="NF89" s="236"/>
      <c r="NG89" s="237"/>
      <c r="NH89" s="236"/>
      <c r="NI89" s="236"/>
      <c r="NJ89" s="236"/>
      <c r="NK89" s="236"/>
      <c r="NL89" s="236"/>
      <c r="NM89" s="238"/>
      <c r="NN89" s="236"/>
      <c r="NO89" s="236"/>
      <c r="NP89" s="236"/>
      <c r="NQ89" s="236"/>
      <c r="NR89" s="236"/>
      <c r="NS89" s="239"/>
      <c r="NT89" s="236"/>
      <c r="NU89" s="236"/>
      <c r="NV89" s="236"/>
      <c r="NW89" s="236"/>
      <c r="NX89" s="236"/>
      <c r="NY89" s="238"/>
      <c r="NZ89" s="236"/>
      <c r="OA89" s="236"/>
      <c r="OB89" s="236"/>
      <c r="OC89" s="236"/>
      <c r="OD89" s="236"/>
      <c r="OE89" s="239"/>
      <c r="OF89" s="236"/>
      <c r="OG89" s="236"/>
      <c r="OH89" s="236"/>
      <c r="OI89" s="236"/>
      <c r="OJ89" s="236"/>
      <c r="OK89" s="238"/>
      <c r="OL89" s="236"/>
      <c r="OM89" s="236"/>
      <c r="ON89" s="236"/>
      <c r="OO89" s="236"/>
      <c r="OP89" s="236"/>
      <c r="OQ89" s="239"/>
      <c r="OR89" s="236"/>
      <c r="OS89" s="236"/>
      <c r="OT89" s="236"/>
      <c r="OU89" s="236"/>
      <c r="OV89" s="236"/>
      <c r="OW89" s="238"/>
      <c r="OX89" s="236"/>
      <c r="OY89" s="236"/>
      <c r="OZ89" s="236"/>
      <c r="PA89" s="236"/>
      <c r="PB89" s="236"/>
      <c r="PC89" s="239"/>
      <c r="PD89" s="236"/>
      <c r="PE89" s="236"/>
      <c r="PF89" s="236"/>
      <c r="PG89" s="236"/>
      <c r="PH89" s="236"/>
      <c r="PI89" s="240"/>
      <c r="PJ89" s="235"/>
      <c r="PK89" s="236"/>
      <c r="PL89" s="236"/>
      <c r="PM89" s="236"/>
      <c r="PN89" s="236"/>
      <c r="PO89" s="237"/>
      <c r="PP89" s="236"/>
      <c r="PQ89" s="236"/>
      <c r="PR89" s="236"/>
      <c r="PS89" s="236"/>
      <c r="PT89" s="236"/>
      <c r="PU89" s="238"/>
      <c r="PV89" s="236"/>
      <c r="PW89" s="236"/>
      <c r="PX89" s="236"/>
      <c r="PY89" s="236"/>
      <c r="PZ89" s="236"/>
      <c r="QA89" s="239"/>
      <c r="QB89" s="236"/>
      <c r="QC89" s="236"/>
      <c r="QD89" s="236"/>
      <c r="QE89" s="236"/>
      <c r="QF89" s="236"/>
      <c r="QG89" s="238"/>
      <c r="QH89" s="236"/>
      <c r="QI89" s="236"/>
      <c r="QJ89" s="236"/>
      <c r="QK89" s="236"/>
      <c r="QL89" s="236"/>
      <c r="QM89" s="239"/>
      <c r="QN89" s="236"/>
      <c r="QO89" s="236"/>
      <c r="QP89" s="236"/>
      <c r="QQ89" s="236"/>
      <c r="QR89" s="236"/>
      <c r="QS89" s="238"/>
      <c r="QT89" s="236"/>
      <c r="QU89" s="236"/>
      <c r="QV89" s="236"/>
      <c r="QW89" s="236"/>
      <c r="QX89" s="236"/>
      <c r="QY89" s="239"/>
      <c r="QZ89" s="236"/>
      <c r="RA89" s="236"/>
      <c r="RB89" s="236"/>
      <c r="RC89" s="236"/>
      <c r="RD89" s="236"/>
      <c r="RE89" s="238"/>
      <c r="RF89" s="236"/>
      <c r="RG89" s="236"/>
      <c r="RH89" s="236"/>
      <c r="RI89" s="236"/>
      <c r="RJ89" s="236"/>
      <c r="RK89" s="239"/>
      <c r="RL89" s="236"/>
      <c r="RM89" s="236"/>
      <c r="RN89" s="236"/>
      <c r="RO89" s="236"/>
      <c r="RP89" s="236"/>
      <c r="RQ89" s="240"/>
      <c r="RR89" s="235"/>
      <c r="RS89" s="236"/>
      <c r="RT89" s="236"/>
      <c r="RU89" s="236"/>
      <c r="RV89" s="236"/>
      <c r="RW89" s="237"/>
      <c r="RX89" s="236"/>
      <c r="RY89" s="236"/>
      <c r="RZ89" s="236"/>
      <c r="SA89" s="236"/>
      <c r="SB89" s="236"/>
      <c r="SC89" s="238"/>
      <c r="SD89" s="236"/>
      <c r="SE89" s="236"/>
      <c r="SF89" s="236"/>
      <c r="SG89" s="236"/>
      <c r="SH89" s="236"/>
      <c r="SI89" s="239"/>
      <c r="SJ89" s="236"/>
      <c r="SK89" s="236"/>
      <c r="SL89" s="236"/>
      <c r="SM89" s="236"/>
      <c r="SN89" s="236"/>
      <c r="SO89" s="238"/>
      <c r="SP89" s="236"/>
      <c r="SQ89" s="236"/>
      <c r="SR89" s="236"/>
      <c r="SS89" s="236"/>
      <c r="ST89" s="236"/>
      <c r="SU89" s="239"/>
      <c r="SV89" s="236"/>
      <c r="SW89" s="236"/>
      <c r="SX89" s="236"/>
      <c r="SY89" s="236"/>
      <c r="SZ89" s="236"/>
      <c r="TA89" s="238"/>
      <c r="TB89" s="236"/>
      <c r="TC89" s="236"/>
      <c r="TD89" s="236"/>
      <c r="TE89" s="236"/>
      <c r="TF89" s="236"/>
      <c r="TG89" s="239"/>
      <c r="TH89" s="236"/>
      <c r="TI89" s="236"/>
      <c r="TJ89" s="236"/>
      <c r="TK89" s="236"/>
      <c r="TL89" s="236"/>
      <c r="TM89" s="238"/>
      <c r="TN89" s="236"/>
      <c r="TO89" s="236"/>
      <c r="TP89" s="236"/>
      <c r="TQ89" s="236"/>
      <c r="TR89" s="236"/>
      <c r="TS89" s="239"/>
      <c r="TT89" s="236"/>
      <c r="TU89" s="236"/>
      <c r="TV89" s="236"/>
      <c r="TW89" s="236"/>
      <c r="TX89" s="236"/>
      <c r="TY89" s="240"/>
      <c r="TZ89" s="235"/>
      <c r="UA89" s="236"/>
      <c r="UB89" s="236"/>
      <c r="UC89" s="236"/>
      <c r="UD89" s="236"/>
      <c r="UE89" s="237"/>
      <c r="UF89" s="236"/>
      <c r="UG89" s="236"/>
      <c r="UH89" s="236"/>
      <c r="UI89" s="236"/>
      <c r="UJ89" s="236"/>
      <c r="UK89" s="238"/>
      <c r="UL89" s="236"/>
      <c r="UM89" s="236"/>
      <c r="UN89" s="236"/>
      <c r="UO89" s="236"/>
      <c r="UP89" s="236"/>
      <c r="UQ89" s="239"/>
      <c r="UR89" s="236"/>
      <c r="US89" s="236"/>
      <c r="UT89" s="236"/>
      <c r="UU89" s="236"/>
      <c r="UV89" s="236"/>
      <c r="UW89" s="238"/>
      <c r="UX89" s="236"/>
      <c r="UY89" s="236"/>
      <c r="UZ89" s="236"/>
      <c r="VA89" s="236"/>
      <c r="VB89" s="236"/>
      <c r="VC89" s="239"/>
      <c r="VD89" s="236"/>
      <c r="VE89" s="236"/>
      <c r="VF89" s="236"/>
      <c r="VG89" s="236"/>
      <c r="VH89" s="236"/>
      <c r="VI89" s="238"/>
      <c r="VJ89" s="236"/>
      <c r="VK89" s="236"/>
      <c r="VL89" s="236"/>
      <c r="VM89" s="236"/>
      <c r="VN89" s="236"/>
      <c r="VO89" s="239"/>
      <c r="VP89" s="236"/>
      <c r="VQ89" s="236"/>
      <c r="VR89" s="236"/>
      <c r="VS89" s="236"/>
      <c r="VT89" s="236"/>
      <c r="VU89" s="238"/>
      <c r="VV89" s="236"/>
      <c r="VW89" s="236"/>
      <c r="VX89" s="236"/>
      <c r="VY89" s="236"/>
      <c r="VZ89" s="236"/>
      <c r="WA89" s="239"/>
      <c r="WB89" s="236"/>
      <c r="WC89" s="236"/>
      <c r="WD89" s="236"/>
      <c r="WE89" s="236"/>
      <c r="WF89" s="236"/>
      <c r="WG89" s="240"/>
      <c r="WH89" s="235"/>
      <c r="WI89" s="236"/>
      <c r="WJ89" s="236"/>
      <c r="WK89" s="236"/>
      <c r="WL89" s="236"/>
      <c r="WM89" s="237"/>
      <c r="WN89" s="236"/>
      <c r="WO89" s="236"/>
      <c r="WP89" s="236"/>
      <c r="WQ89" s="236"/>
      <c r="WR89" s="236"/>
      <c r="WS89" s="238"/>
      <c r="WT89" s="236"/>
      <c r="WU89" s="236"/>
      <c r="WV89" s="236"/>
      <c r="WW89" s="236"/>
      <c r="WX89" s="236"/>
      <c r="WY89" s="239"/>
      <c r="WZ89" s="236"/>
      <c r="XA89" s="236"/>
      <c r="XB89" s="236"/>
      <c r="XC89" s="236"/>
      <c r="XD89" s="236"/>
      <c r="XE89" s="238"/>
      <c r="XF89" s="236"/>
      <c r="XG89" s="236"/>
      <c r="XH89" s="236"/>
      <c r="XI89" s="236"/>
      <c r="XJ89" s="236"/>
      <c r="XK89" s="239"/>
      <c r="XL89" s="236"/>
      <c r="XM89" s="236"/>
      <c r="XN89" s="236"/>
      <c r="XO89" s="236"/>
      <c r="XP89" s="236"/>
      <c r="XQ89" s="238"/>
      <c r="XR89" s="236"/>
      <c r="XS89" s="236"/>
      <c r="XT89" s="236"/>
      <c r="XU89" s="236"/>
      <c r="XV89" s="236"/>
      <c r="XW89" s="239"/>
      <c r="XX89" s="236"/>
      <c r="XY89" s="236"/>
      <c r="XZ89" s="236"/>
      <c r="YA89" s="236"/>
      <c r="YB89" s="236"/>
      <c r="YC89" s="238"/>
      <c r="YD89" s="236"/>
      <c r="YE89" s="236"/>
      <c r="YF89" s="236"/>
      <c r="YG89" s="236"/>
      <c r="YH89" s="236"/>
      <c r="YI89" s="239"/>
      <c r="YJ89" s="236"/>
      <c r="YK89" s="236"/>
      <c r="YL89" s="236"/>
      <c r="YM89" s="236"/>
      <c r="YN89" s="236"/>
      <c r="YO89" s="240"/>
      <c r="YP89" s="235"/>
      <c r="YQ89" s="236"/>
      <c r="YR89" s="236"/>
      <c r="YS89" s="236"/>
      <c r="YT89" s="236"/>
      <c r="YU89" s="237"/>
      <c r="YV89" s="236"/>
      <c r="YW89" s="236"/>
      <c r="YX89" s="236"/>
      <c r="YY89" s="236"/>
      <c r="YZ89" s="236"/>
      <c r="ZA89" s="238"/>
      <c r="ZB89" s="236"/>
      <c r="ZC89" s="236"/>
      <c r="ZD89" s="236"/>
      <c r="ZE89" s="236"/>
      <c r="ZF89" s="236"/>
      <c r="ZG89" s="239"/>
      <c r="ZH89" s="236"/>
      <c r="ZI89" s="236"/>
      <c r="ZJ89" s="236"/>
      <c r="ZK89" s="236"/>
      <c r="ZL89" s="236"/>
      <c r="ZM89" s="238"/>
      <c r="ZN89" s="236"/>
      <c r="ZO89" s="236"/>
      <c r="ZP89" s="236"/>
      <c r="ZQ89" s="236"/>
      <c r="ZR89" s="236"/>
      <c r="ZS89" s="239"/>
      <c r="ZT89" s="236"/>
      <c r="ZU89" s="236"/>
      <c r="ZV89" s="236"/>
      <c r="ZW89" s="236"/>
      <c r="ZX89" s="236"/>
      <c r="ZY89" s="238"/>
      <c r="ZZ89" s="236"/>
      <c r="AAA89" s="236"/>
      <c r="AAB89" s="236"/>
      <c r="AAC89" s="236"/>
      <c r="AAD89" s="236"/>
      <c r="AAE89" s="239"/>
      <c r="AAF89" s="236"/>
      <c r="AAG89" s="236"/>
      <c r="AAH89" s="236"/>
      <c r="AAI89" s="236"/>
      <c r="AAJ89" s="236"/>
      <c r="AAK89" s="238"/>
      <c r="AAL89" s="236"/>
      <c r="AAM89" s="236"/>
      <c r="AAN89" s="236"/>
      <c r="AAO89" s="236"/>
      <c r="AAP89" s="236"/>
      <c r="AAQ89" s="239"/>
      <c r="AAR89" s="236"/>
      <c r="AAS89" s="236"/>
      <c r="AAT89" s="236"/>
      <c r="AAU89" s="236"/>
      <c r="AAV89" s="236"/>
      <c r="AAW89" s="240"/>
      <c r="AAX89" s="235"/>
      <c r="AAY89" s="236"/>
      <c r="AAZ89" s="236"/>
      <c r="ABA89" s="236"/>
      <c r="ABB89" s="236"/>
      <c r="ABC89" s="237"/>
      <c r="ABD89" s="236"/>
      <c r="ABE89" s="236"/>
      <c r="ABF89" s="236"/>
      <c r="ABG89" s="236"/>
      <c r="ABH89" s="236"/>
      <c r="ABI89" s="238"/>
      <c r="ABJ89" s="236"/>
      <c r="ABK89" s="236"/>
      <c r="ABL89" s="236"/>
      <c r="ABM89" s="236"/>
      <c r="ABN89" s="236"/>
      <c r="ABO89" s="239"/>
      <c r="ABP89" s="236"/>
      <c r="ABQ89" s="236"/>
      <c r="ABR89" s="236"/>
      <c r="ABS89" s="236"/>
      <c r="ABT89" s="236"/>
      <c r="ABU89" s="238"/>
      <c r="ABV89" s="236"/>
      <c r="ABW89" s="236"/>
      <c r="ABX89" s="236"/>
      <c r="ABY89" s="236"/>
      <c r="ABZ89" s="236"/>
      <c r="ACA89" s="239"/>
      <c r="ACB89" s="236"/>
      <c r="ACC89" s="236"/>
      <c r="ACD89" s="236"/>
      <c r="ACE89" s="236"/>
      <c r="ACF89" s="236"/>
      <c r="ACG89" s="238"/>
      <c r="ACH89" s="236"/>
      <c r="ACI89" s="236"/>
      <c r="ACJ89" s="236"/>
      <c r="ACK89" s="236"/>
      <c r="ACL89" s="236"/>
      <c r="ACM89" s="239"/>
      <c r="ACN89" s="236"/>
      <c r="ACO89" s="236"/>
      <c r="ACP89" s="236"/>
      <c r="ACQ89" s="236"/>
      <c r="ACR89" s="236"/>
      <c r="ACS89" s="238"/>
      <c r="ACT89" s="236"/>
      <c r="ACU89" s="236"/>
      <c r="ACV89" s="236"/>
      <c r="ACW89" s="236"/>
      <c r="ACX89" s="236"/>
      <c r="ACY89" s="239"/>
      <c r="ACZ89" s="236"/>
      <c r="ADA89" s="236"/>
      <c r="ADB89" s="236"/>
      <c r="ADC89" s="236"/>
      <c r="ADD89" s="236"/>
      <c r="ADE89" s="240"/>
      <c r="ADF89" s="235"/>
      <c r="ADG89" s="236"/>
      <c r="ADH89" s="236"/>
      <c r="ADI89" s="236"/>
      <c r="ADJ89" s="236"/>
      <c r="ADK89" s="237"/>
      <c r="ADL89" s="236"/>
      <c r="ADM89" s="236"/>
      <c r="ADN89" s="236"/>
      <c r="ADO89" s="236"/>
      <c r="ADP89" s="236"/>
      <c r="ADQ89" s="238"/>
      <c r="ADR89" s="236"/>
      <c r="ADS89" s="236"/>
      <c r="ADT89" s="236"/>
      <c r="ADU89" s="236"/>
      <c r="ADV89" s="236"/>
      <c r="ADW89" s="239"/>
      <c r="ADX89" s="236"/>
      <c r="ADY89" s="236"/>
      <c r="ADZ89" s="236"/>
      <c r="AEA89" s="236"/>
      <c r="AEB89" s="236"/>
      <c r="AEC89" s="238"/>
      <c r="AED89" s="236"/>
      <c r="AEE89" s="236"/>
      <c r="AEF89" s="236"/>
      <c r="AEG89" s="236"/>
      <c r="AEH89" s="236"/>
      <c r="AEI89" s="239"/>
      <c r="AEJ89" s="236"/>
      <c r="AEK89" s="236"/>
      <c r="AEL89" s="236"/>
      <c r="AEM89" s="236"/>
      <c r="AEN89" s="236"/>
      <c r="AEO89" s="238"/>
      <c r="AEP89" s="236"/>
      <c r="AEQ89" s="236"/>
      <c r="AER89" s="236"/>
      <c r="AES89" s="236"/>
      <c r="AET89" s="236"/>
      <c r="AEU89" s="239"/>
      <c r="AEV89" s="236"/>
      <c r="AEW89" s="236"/>
      <c r="AEX89" s="236"/>
      <c r="AEY89" s="236"/>
      <c r="AEZ89" s="236"/>
      <c r="AFA89" s="238"/>
      <c r="AFB89" s="236"/>
      <c r="AFC89" s="236"/>
      <c r="AFD89" s="236"/>
      <c r="AFE89" s="236"/>
      <c r="AFF89" s="236"/>
      <c r="AFG89" s="239"/>
      <c r="AFH89" s="236"/>
      <c r="AFI89" s="236"/>
      <c r="AFJ89" s="236"/>
      <c r="AFK89" s="236"/>
      <c r="AFL89" s="236"/>
      <c r="AFM89" s="240"/>
      <c r="AFN89" s="235"/>
      <c r="AFO89" s="236"/>
      <c r="AFP89" s="236"/>
      <c r="AFQ89" s="236"/>
      <c r="AFR89" s="236"/>
      <c r="AFS89" s="237"/>
      <c r="AFT89" s="236"/>
      <c r="AFU89" s="236"/>
      <c r="AFV89" s="236"/>
      <c r="AFW89" s="236"/>
      <c r="AFX89" s="236"/>
      <c r="AFY89" s="238"/>
      <c r="AFZ89" s="236"/>
      <c r="AGA89" s="236"/>
      <c r="AGB89" s="236"/>
      <c r="AGC89" s="236"/>
      <c r="AGD89" s="236"/>
      <c r="AGE89" s="239"/>
      <c r="AGF89" s="236"/>
      <c r="AGG89" s="236"/>
      <c r="AGH89" s="236"/>
      <c r="AGI89" s="236"/>
      <c r="AGJ89" s="236"/>
      <c r="AGK89" s="238"/>
      <c r="AGL89" s="236"/>
      <c r="AGM89" s="236"/>
      <c r="AGN89" s="236"/>
      <c r="AGO89" s="236"/>
      <c r="AGP89" s="236"/>
      <c r="AGQ89" s="239"/>
      <c r="AGR89" s="236"/>
      <c r="AGS89" s="236"/>
      <c r="AGT89" s="236"/>
      <c r="AGU89" s="236"/>
      <c r="AGV89" s="236"/>
      <c r="AGW89" s="238"/>
      <c r="AGX89" s="236"/>
      <c r="AGY89" s="236"/>
      <c r="AGZ89" s="236"/>
      <c r="AHA89" s="236"/>
      <c r="AHB89" s="236"/>
      <c r="AHC89" s="239"/>
      <c r="AHD89" s="236"/>
      <c r="AHE89" s="236"/>
      <c r="AHF89" s="236"/>
      <c r="AHG89" s="236"/>
      <c r="AHH89" s="236"/>
      <c r="AHI89" s="238"/>
      <c r="AHJ89" s="236"/>
      <c r="AHK89" s="236"/>
      <c r="AHL89" s="236"/>
      <c r="AHM89" s="236"/>
      <c r="AHN89" s="236"/>
      <c r="AHO89" s="239"/>
      <c r="AHP89" s="236"/>
      <c r="AHQ89" s="236"/>
      <c r="AHR89" s="236"/>
      <c r="AHS89" s="236"/>
      <c r="AHT89" s="236"/>
      <c r="AHU89" s="240"/>
      <c r="AHV89" s="235"/>
      <c r="AHW89" s="236"/>
      <c r="AHX89" s="236"/>
      <c r="AHY89" s="236"/>
      <c r="AHZ89" s="236"/>
      <c r="AIA89" s="237"/>
      <c r="AIB89" s="236"/>
      <c r="AIC89" s="236"/>
      <c r="AID89" s="236"/>
      <c r="AIE89" s="236"/>
      <c r="AIF89" s="236"/>
      <c r="AIG89" s="238"/>
      <c r="AIH89" s="236"/>
      <c r="AII89" s="236"/>
      <c r="AIJ89" s="236"/>
      <c r="AIK89" s="236"/>
      <c r="AIL89" s="236"/>
      <c r="AIM89" s="239"/>
      <c r="AIN89" s="236"/>
      <c r="AIO89" s="236"/>
      <c r="AIP89" s="236"/>
      <c r="AIQ89" s="236"/>
      <c r="AIR89" s="236"/>
      <c r="AIS89" s="238"/>
      <c r="AIT89" s="236"/>
      <c r="AIU89" s="236"/>
      <c r="AIV89" s="236"/>
      <c r="AIW89" s="236"/>
      <c r="AIX89" s="236"/>
      <c r="AIY89" s="239"/>
      <c r="AIZ89" s="236"/>
      <c r="AJA89" s="236"/>
      <c r="AJB89" s="236"/>
      <c r="AJC89" s="236"/>
      <c r="AJD89" s="236"/>
      <c r="AJE89" s="238"/>
      <c r="AJF89" s="236"/>
      <c r="AJG89" s="236"/>
      <c r="AJH89" s="236"/>
      <c r="AJI89" s="236"/>
      <c r="AJJ89" s="236"/>
      <c r="AJK89" s="239"/>
      <c r="AJL89" s="236"/>
      <c r="AJM89" s="236"/>
      <c r="AJN89" s="236"/>
      <c r="AJO89" s="236"/>
      <c r="AJP89" s="236"/>
      <c r="AJQ89" s="238"/>
      <c r="AJR89" s="236"/>
      <c r="AJS89" s="236"/>
      <c r="AJT89" s="236"/>
      <c r="AJU89" s="236"/>
      <c r="AJV89" s="236"/>
      <c r="AJW89" s="239"/>
      <c r="AJX89" s="236"/>
      <c r="AJY89" s="236"/>
      <c r="AJZ89" s="236"/>
      <c r="AKA89" s="236"/>
      <c r="AKB89" s="236"/>
      <c r="AKC89" s="240"/>
      <c r="AKD89" s="235"/>
      <c r="AKE89" s="236"/>
      <c r="AKF89" s="236"/>
      <c r="AKG89" s="236"/>
      <c r="AKH89" s="236"/>
      <c r="AKI89" s="237"/>
      <c r="AKJ89" s="236"/>
      <c r="AKK89" s="236"/>
      <c r="AKL89" s="236"/>
      <c r="AKM89" s="236"/>
      <c r="AKN89" s="236"/>
      <c r="AKO89" s="238"/>
      <c r="AKP89" s="236"/>
      <c r="AKQ89" s="236"/>
      <c r="AKR89" s="236"/>
      <c r="AKS89" s="236"/>
      <c r="AKT89" s="236"/>
      <c r="AKU89" s="239"/>
      <c r="AKV89" s="236"/>
      <c r="AKW89" s="236"/>
      <c r="AKX89" s="236"/>
      <c r="AKY89" s="236"/>
      <c r="AKZ89" s="236"/>
      <c r="ALA89" s="238"/>
      <c r="ALB89" s="236"/>
      <c r="ALC89" s="236"/>
      <c r="ALD89" s="236"/>
      <c r="ALE89" s="236"/>
      <c r="ALF89" s="236"/>
      <c r="ALG89" s="239"/>
      <c r="ALH89" s="236"/>
      <c r="ALI89" s="236"/>
      <c r="ALJ89" s="236"/>
      <c r="ALK89" s="236"/>
      <c r="ALL89" s="236"/>
      <c r="ALM89" s="238"/>
      <c r="ALN89" s="236"/>
      <c r="ALO89" s="236"/>
      <c r="ALP89" s="236"/>
      <c r="ALQ89" s="236"/>
      <c r="ALR89" s="236"/>
      <c r="ALS89" s="239"/>
      <c r="ALT89" s="236"/>
      <c r="ALU89" s="236"/>
      <c r="ALV89" s="236"/>
      <c r="ALW89" s="236"/>
      <c r="ALX89" s="236"/>
      <c r="ALY89" s="238"/>
      <c r="ALZ89" s="236"/>
      <c r="AMA89" s="236"/>
      <c r="AMB89" s="236"/>
      <c r="AMC89" s="236"/>
      <c r="AMD89" s="236"/>
      <c r="AME89" s="239"/>
      <c r="AMF89" s="236"/>
      <c r="AMG89" s="236"/>
      <c r="AMH89" s="236"/>
      <c r="AMI89" s="236"/>
      <c r="AMJ89" s="236"/>
      <c r="AMK89" s="240"/>
      <c r="AML89" s="235"/>
      <c r="AMM89" s="236"/>
      <c r="AMN89" s="236"/>
      <c r="AMO89" s="236"/>
      <c r="AMP89" s="236"/>
      <c r="AMQ89" s="237"/>
      <c r="AMR89" s="236"/>
      <c r="AMS89" s="236"/>
      <c r="AMT89" s="236"/>
      <c r="AMU89" s="236"/>
      <c r="AMV89" s="236"/>
      <c r="AMW89" s="238"/>
      <c r="AMX89" s="236"/>
      <c r="AMY89" s="236"/>
      <c r="AMZ89" s="236"/>
      <c r="ANA89" s="236"/>
      <c r="ANB89" s="236"/>
      <c r="ANC89" s="239"/>
      <c r="AND89" s="236"/>
      <c r="ANE89" s="236"/>
      <c r="ANF89" s="236"/>
      <c r="ANG89" s="236"/>
      <c r="ANH89" s="236"/>
      <c r="ANI89" s="238"/>
      <c r="ANJ89" s="236"/>
      <c r="ANK89" s="236"/>
      <c r="ANL89" s="236"/>
      <c r="ANM89" s="236"/>
      <c r="ANN89" s="236"/>
      <c r="ANO89" s="239"/>
      <c r="ANP89" s="236"/>
      <c r="ANQ89" s="236"/>
      <c r="ANR89" s="236"/>
      <c r="ANS89" s="236"/>
      <c r="ANT89" s="236"/>
      <c r="ANU89" s="238"/>
      <c r="ANV89" s="236"/>
      <c r="ANW89" s="236"/>
      <c r="ANX89" s="236"/>
      <c r="ANY89" s="236"/>
      <c r="ANZ89" s="236"/>
      <c r="AOA89" s="239"/>
      <c r="AOB89" s="236"/>
      <c r="AOC89" s="236"/>
      <c r="AOD89" s="236"/>
      <c r="AOE89" s="236"/>
      <c r="AOF89" s="236"/>
      <c r="AOG89" s="238"/>
      <c r="AOH89" s="236"/>
      <c r="AOI89" s="236"/>
      <c r="AOJ89" s="236"/>
      <c r="AOK89" s="236"/>
      <c r="AOL89" s="236"/>
      <c r="AOM89" s="239"/>
      <c r="AON89" s="236"/>
      <c r="AOO89" s="236"/>
      <c r="AOP89" s="236"/>
      <c r="AOQ89" s="236"/>
      <c r="AOR89" s="236"/>
      <c r="AOS89" s="240"/>
      <c r="AOT89" s="235"/>
      <c r="AOU89" s="236"/>
      <c r="AOV89" s="236"/>
      <c r="AOW89" s="236"/>
      <c r="AOX89" s="236"/>
      <c r="AOY89" s="237"/>
      <c r="AOZ89" s="236"/>
      <c r="APA89" s="236"/>
      <c r="APB89" s="236"/>
      <c r="APC89" s="236"/>
      <c r="APD89" s="236"/>
      <c r="APE89" s="238"/>
      <c r="APF89" s="236"/>
      <c r="APG89" s="236"/>
      <c r="APH89" s="236"/>
      <c r="API89" s="236"/>
      <c r="APJ89" s="236"/>
      <c r="APK89" s="239"/>
      <c r="APL89" s="236"/>
      <c r="APM89" s="236"/>
      <c r="APN89" s="236"/>
      <c r="APO89" s="236"/>
      <c r="APP89" s="236"/>
      <c r="APQ89" s="238"/>
      <c r="APR89" s="236"/>
      <c r="APS89" s="236"/>
      <c r="APT89" s="236"/>
      <c r="APU89" s="236"/>
      <c r="APV89" s="236"/>
      <c r="APW89" s="239"/>
      <c r="APX89" s="236"/>
      <c r="APY89" s="236"/>
      <c r="APZ89" s="236"/>
      <c r="AQA89" s="236"/>
      <c r="AQB89" s="236"/>
      <c r="AQC89" s="238"/>
      <c r="AQD89" s="236"/>
      <c r="AQE89" s="236"/>
      <c r="AQF89" s="236"/>
      <c r="AQG89" s="236"/>
      <c r="AQH89" s="236"/>
      <c r="AQI89" s="239"/>
      <c r="AQJ89" s="236"/>
      <c r="AQK89" s="236"/>
      <c r="AQL89" s="236"/>
      <c r="AQM89" s="236"/>
      <c r="AQN89" s="236"/>
      <c r="AQO89" s="238"/>
      <c r="AQP89" s="236"/>
      <c r="AQQ89" s="236"/>
      <c r="AQR89" s="236"/>
      <c r="AQS89" s="236"/>
      <c r="AQT89" s="236"/>
      <c r="AQU89" s="239"/>
      <c r="AQV89" s="236"/>
      <c r="AQW89" s="236"/>
      <c r="AQX89" s="236"/>
      <c r="AQY89" s="236"/>
      <c r="AQZ89" s="236"/>
      <c r="ARA89" s="240"/>
      <c r="ARB89" s="235"/>
      <c r="ARC89" s="236"/>
      <c r="ARD89" s="236"/>
      <c r="ARE89" s="236"/>
      <c r="ARF89" s="236"/>
      <c r="ARG89" s="237"/>
      <c r="ARH89" s="236"/>
      <c r="ARI89" s="236"/>
      <c r="ARJ89" s="236"/>
      <c r="ARK89" s="236"/>
      <c r="ARL89" s="236"/>
      <c r="ARM89" s="238"/>
      <c r="ARN89" s="236"/>
      <c r="ARO89" s="236"/>
      <c r="ARP89" s="236"/>
      <c r="ARQ89" s="236"/>
      <c r="ARR89" s="236"/>
      <c r="ARS89" s="239"/>
      <c r="ART89" s="236"/>
      <c r="ARU89" s="236"/>
      <c r="ARV89" s="236"/>
      <c r="ARW89" s="236"/>
      <c r="ARX89" s="236"/>
      <c r="ARY89" s="238"/>
      <c r="ARZ89" s="236"/>
      <c r="ASA89" s="236"/>
      <c r="ASB89" s="236"/>
      <c r="ASC89" s="236"/>
      <c r="ASD89" s="236"/>
      <c r="ASE89" s="239"/>
      <c r="ASF89" s="236"/>
      <c r="ASG89" s="236"/>
      <c r="ASH89" s="236"/>
      <c r="ASI89" s="236"/>
      <c r="ASJ89" s="236"/>
      <c r="ASK89" s="238"/>
      <c r="ASL89" s="236"/>
      <c r="ASM89" s="236"/>
      <c r="ASN89" s="236"/>
      <c r="ASO89" s="236"/>
      <c r="ASP89" s="236"/>
      <c r="ASQ89" s="239"/>
      <c r="ASR89" s="236"/>
      <c r="ASS89" s="236"/>
      <c r="AST89" s="236"/>
      <c r="ASU89" s="236"/>
      <c r="ASV89" s="236"/>
      <c r="ASW89" s="238"/>
      <c r="ASX89" s="236"/>
      <c r="ASY89" s="236"/>
      <c r="ASZ89" s="236"/>
      <c r="ATA89" s="236"/>
      <c r="ATB89" s="236"/>
      <c r="ATC89" s="239"/>
      <c r="ATD89" s="236"/>
      <c r="ATE89" s="236"/>
      <c r="ATF89" s="236"/>
      <c r="ATG89" s="236"/>
      <c r="ATH89" s="236"/>
      <c r="ATI89" s="240"/>
      <c r="ATJ89" s="235"/>
      <c r="ATK89" s="236"/>
      <c r="ATL89" s="236"/>
      <c r="ATM89" s="236"/>
      <c r="ATN89" s="236"/>
      <c r="ATO89" s="237"/>
      <c r="ATP89" s="236"/>
      <c r="ATQ89" s="236"/>
      <c r="ATR89" s="236"/>
      <c r="ATS89" s="236"/>
      <c r="ATT89" s="236"/>
      <c r="ATU89" s="238"/>
      <c r="ATV89" s="236"/>
      <c r="ATW89" s="236"/>
      <c r="ATX89" s="236"/>
      <c r="ATY89" s="236"/>
      <c r="ATZ89" s="236"/>
      <c r="AUA89" s="239"/>
      <c r="AUB89" s="236"/>
      <c r="AUC89" s="236"/>
      <c r="AUD89" s="236"/>
      <c r="AUE89" s="236"/>
      <c r="AUF89" s="236"/>
      <c r="AUG89" s="238"/>
      <c r="AUH89" s="236"/>
      <c r="AUI89" s="236"/>
      <c r="AUJ89" s="236"/>
      <c r="AUK89" s="236"/>
      <c r="AUL89" s="236"/>
      <c r="AUM89" s="239"/>
      <c r="AUN89" s="236"/>
      <c r="AUO89" s="236"/>
      <c r="AUP89" s="236"/>
      <c r="AUQ89" s="236"/>
      <c r="AUR89" s="236"/>
      <c r="AUS89" s="238"/>
      <c r="AUT89" s="236"/>
      <c r="AUU89" s="236"/>
      <c r="AUV89" s="236"/>
      <c r="AUW89" s="236"/>
      <c r="AUX89" s="236"/>
      <c r="AUY89" s="239"/>
      <c r="AUZ89" s="236"/>
      <c r="AVA89" s="236"/>
      <c r="AVB89" s="236"/>
      <c r="AVC89" s="236"/>
      <c r="AVD89" s="236"/>
      <c r="AVE89" s="238"/>
      <c r="AVF89" s="236"/>
      <c r="AVG89" s="236"/>
      <c r="AVH89" s="236"/>
      <c r="AVI89" s="236"/>
      <c r="AVJ89" s="236"/>
      <c r="AVK89" s="239"/>
      <c r="AVL89" s="236"/>
      <c r="AVM89" s="236"/>
      <c r="AVN89" s="236"/>
      <c r="AVO89" s="236"/>
      <c r="AVP89" s="236"/>
      <c r="AVQ89" s="240"/>
      <c r="AVR89" s="235"/>
      <c r="AVS89" s="236"/>
      <c r="AVT89" s="236"/>
      <c r="AVU89" s="236"/>
      <c r="AVV89" s="236"/>
      <c r="AVW89" s="237"/>
      <c r="AVX89" s="236"/>
      <c r="AVY89" s="236"/>
      <c r="AVZ89" s="236"/>
      <c r="AWA89" s="236"/>
      <c r="AWB89" s="236"/>
      <c r="AWC89" s="238"/>
      <c r="AWD89" s="236"/>
      <c r="AWE89" s="236"/>
      <c r="AWF89" s="236"/>
      <c r="AWG89" s="236"/>
      <c r="AWH89" s="236"/>
      <c r="AWI89" s="239"/>
      <c r="AWJ89" s="236"/>
      <c r="AWK89" s="236"/>
      <c r="AWL89" s="236"/>
      <c r="AWM89" s="236"/>
      <c r="AWN89" s="236"/>
      <c r="AWO89" s="238"/>
      <c r="AWP89" s="236"/>
      <c r="AWQ89" s="236"/>
      <c r="AWR89" s="236"/>
      <c r="AWS89" s="236"/>
      <c r="AWT89" s="236"/>
      <c r="AWU89" s="239"/>
      <c r="AWV89" s="236"/>
      <c r="AWW89" s="236"/>
      <c r="AWX89" s="236"/>
      <c r="AWY89" s="236"/>
      <c r="AWZ89" s="236"/>
      <c r="AXA89" s="238"/>
      <c r="AXB89" s="236"/>
      <c r="AXC89" s="236"/>
      <c r="AXD89" s="236"/>
      <c r="AXE89" s="236"/>
      <c r="AXF89" s="236"/>
      <c r="AXG89" s="239"/>
      <c r="AXH89" s="236"/>
      <c r="AXI89" s="236"/>
      <c r="AXJ89" s="236"/>
      <c r="AXK89" s="236"/>
      <c r="AXL89" s="236"/>
      <c r="AXM89" s="238"/>
      <c r="AXN89" s="236"/>
      <c r="AXO89" s="236"/>
      <c r="AXP89" s="236"/>
      <c r="AXQ89" s="236"/>
      <c r="AXR89" s="236"/>
      <c r="AXS89" s="239"/>
      <c r="AXT89" s="236"/>
      <c r="AXU89" s="236"/>
      <c r="AXV89" s="236"/>
      <c r="AXW89" s="236"/>
      <c r="AXX89" s="236"/>
      <c r="AXY89" s="240"/>
      <c r="AXZ89" s="235"/>
      <c r="AYA89" s="236"/>
      <c r="AYB89" s="236"/>
      <c r="AYC89" s="236"/>
      <c r="AYD89" s="236"/>
      <c r="AYE89" s="237"/>
      <c r="AYF89" s="236"/>
      <c r="AYG89" s="236"/>
      <c r="AYH89" s="236"/>
      <c r="AYI89" s="236"/>
      <c r="AYJ89" s="236"/>
      <c r="AYK89" s="238"/>
      <c r="AYL89" s="236"/>
      <c r="AYM89" s="236"/>
      <c r="AYN89" s="236"/>
      <c r="AYO89" s="236"/>
      <c r="AYP89" s="236"/>
      <c r="AYQ89" s="239"/>
      <c r="AYR89" s="236"/>
      <c r="AYS89" s="236"/>
      <c r="AYT89" s="236"/>
      <c r="AYU89" s="236"/>
      <c r="AYV89" s="236"/>
      <c r="AYW89" s="238"/>
      <c r="AYX89" s="236"/>
      <c r="AYY89" s="236"/>
      <c r="AYZ89" s="236"/>
      <c r="AZA89" s="236"/>
      <c r="AZB89" s="236"/>
      <c r="AZC89" s="239"/>
      <c r="AZD89" s="236"/>
      <c r="AZE89" s="236"/>
      <c r="AZF89" s="236"/>
      <c r="AZG89" s="236"/>
      <c r="AZH89" s="236"/>
      <c r="AZI89" s="238"/>
      <c r="AZJ89" s="236"/>
      <c r="AZK89" s="236"/>
      <c r="AZL89" s="236"/>
      <c r="AZM89" s="236"/>
      <c r="AZN89" s="236"/>
      <c r="AZO89" s="239"/>
      <c r="AZP89" s="236"/>
      <c r="AZQ89" s="236"/>
      <c r="AZR89" s="236"/>
      <c r="AZS89" s="236"/>
      <c r="AZT89" s="236"/>
      <c r="AZU89" s="238"/>
      <c r="AZV89" s="236"/>
      <c r="AZW89" s="236"/>
      <c r="AZX89" s="236"/>
      <c r="AZY89" s="236"/>
      <c r="AZZ89" s="236"/>
      <c r="BAA89" s="239"/>
      <c r="BAB89" s="236"/>
      <c r="BAC89" s="236"/>
      <c r="BAD89" s="236"/>
      <c r="BAE89" s="236"/>
      <c r="BAF89" s="236"/>
      <c r="BAG89" s="240"/>
      <c r="BAH89" s="235"/>
      <c r="BAI89" s="236"/>
      <c r="BAJ89" s="236"/>
      <c r="BAK89" s="236"/>
      <c r="BAL89" s="236"/>
      <c r="BAM89" s="237"/>
      <c r="BAN89" s="236"/>
      <c r="BAO89" s="236"/>
      <c r="BAP89" s="236"/>
      <c r="BAQ89" s="236"/>
      <c r="BAR89" s="236"/>
      <c r="BAS89" s="238"/>
      <c r="BAT89" s="236"/>
      <c r="BAU89" s="236"/>
      <c r="BAV89" s="236"/>
      <c r="BAW89" s="236"/>
      <c r="BAX89" s="236"/>
      <c r="BAY89" s="239"/>
      <c r="BAZ89" s="236"/>
      <c r="BBA89" s="236"/>
      <c r="BBB89" s="236"/>
      <c r="BBC89" s="236"/>
      <c r="BBD89" s="236"/>
      <c r="BBE89" s="238"/>
      <c r="BBF89" s="236"/>
      <c r="BBG89" s="236"/>
      <c r="BBH89" s="236"/>
      <c r="BBI89" s="236"/>
      <c r="BBJ89" s="236"/>
      <c r="BBK89" s="239"/>
      <c r="BBL89" s="236"/>
      <c r="BBM89" s="236"/>
      <c r="BBN89" s="236"/>
      <c r="BBO89" s="236"/>
      <c r="BBP89" s="236"/>
      <c r="BBQ89" s="238"/>
      <c r="BBR89" s="236"/>
      <c r="BBS89" s="236"/>
      <c r="BBT89" s="236"/>
      <c r="BBU89" s="236"/>
      <c r="BBV89" s="236"/>
      <c r="BBW89" s="239"/>
      <c r="BBX89" s="236"/>
      <c r="BBY89" s="236"/>
      <c r="BBZ89" s="236"/>
      <c r="BCA89" s="236"/>
      <c r="BCB89" s="236"/>
      <c r="BCC89" s="238"/>
      <c r="BCD89" s="236"/>
      <c r="BCE89" s="236"/>
      <c r="BCF89" s="236"/>
      <c r="BCG89" s="236"/>
      <c r="BCH89" s="236"/>
      <c r="BCI89" s="239"/>
      <c r="BCJ89" s="236"/>
      <c r="BCK89" s="236"/>
      <c r="BCL89" s="236"/>
      <c r="BCM89" s="236"/>
      <c r="BCN89" s="236"/>
      <c r="BCO89" s="240"/>
      <c r="BCP89" s="235"/>
      <c r="BCQ89" s="236"/>
      <c r="BCR89" s="236"/>
      <c r="BCS89" s="236"/>
      <c r="BCT89" s="236"/>
      <c r="BCU89" s="237"/>
      <c r="BCV89" s="236"/>
      <c r="BCW89" s="236"/>
      <c r="BCX89" s="236"/>
      <c r="BCY89" s="236"/>
      <c r="BCZ89" s="236"/>
      <c r="BDA89" s="238"/>
      <c r="BDB89" s="236"/>
      <c r="BDC89" s="236"/>
      <c r="BDD89" s="236"/>
      <c r="BDE89" s="236"/>
      <c r="BDF89" s="236"/>
      <c r="BDG89" s="239"/>
      <c r="BDH89" s="236"/>
      <c r="BDI89" s="236"/>
      <c r="BDJ89" s="236"/>
      <c r="BDK89" s="236"/>
      <c r="BDL89" s="236"/>
      <c r="BDM89" s="238"/>
      <c r="BDN89" s="236"/>
      <c r="BDO89" s="236"/>
      <c r="BDP89" s="236"/>
      <c r="BDQ89" s="236"/>
      <c r="BDR89" s="236"/>
      <c r="BDS89" s="239"/>
      <c r="BDT89" s="236"/>
      <c r="BDU89" s="236"/>
      <c r="BDV89" s="236"/>
      <c r="BDW89" s="236"/>
      <c r="BDX89" s="236"/>
      <c r="BDY89" s="238"/>
      <c r="BDZ89" s="236"/>
      <c r="BEA89" s="236"/>
      <c r="BEB89" s="236"/>
      <c r="BEC89" s="236"/>
      <c r="BED89" s="236"/>
      <c r="BEE89" s="239"/>
      <c r="BEF89" s="236"/>
      <c r="BEG89" s="236"/>
      <c r="BEH89" s="236"/>
      <c r="BEI89" s="236"/>
      <c r="BEJ89" s="236"/>
      <c r="BEK89" s="238"/>
      <c r="BEL89" s="236"/>
      <c r="BEM89" s="236"/>
      <c r="BEN89" s="236"/>
      <c r="BEO89" s="236"/>
      <c r="BEP89" s="236"/>
      <c r="BEQ89" s="239"/>
      <c r="BER89" s="236"/>
      <c r="BES89" s="236"/>
      <c r="BET89" s="236"/>
      <c r="BEU89" s="236"/>
      <c r="BEV89" s="236"/>
      <c r="BEW89" s="240"/>
      <c r="BEX89" s="235"/>
      <c r="BEY89" s="236"/>
      <c r="BEZ89" s="236"/>
      <c r="BFA89" s="236"/>
      <c r="BFB89" s="236"/>
      <c r="BFC89" s="237"/>
      <c r="BFD89" s="236"/>
      <c r="BFE89" s="236"/>
      <c r="BFF89" s="236"/>
      <c r="BFG89" s="236"/>
      <c r="BFH89" s="236"/>
      <c r="BFI89" s="238"/>
      <c r="BFJ89" s="236"/>
      <c r="BFK89" s="236"/>
      <c r="BFL89" s="236"/>
      <c r="BFM89" s="236"/>
      <c r="BFN89" s="236"/>
      <c r="BFO89" s="239"/>
      <c r="BFP89" s="236"/>
      <c r="BFQ89" s="236"/>
      <c r="BFR89" s="236"/>
      <c r="BFS89" s="236"/>
      <c r="BFT89" s="236"/>
      <c r="BFU89" s="238"/>
      <c r="BFV89" s="236"/>
      <c r="BFW89" s="236"/>
      <c r="BFX89" s="236"/>
      <c r="BFY89" s="236"/>
      <c r="BFZ89" s="236"/>
      <c r="BGA89" s="239"/>
      <c r="BGB89" s="236"/>
      <c r="BGC89" s="236"/>
      <c r="BGD89" s="236"/>
      <c r="BGE89" s="236"/>
      <c r="BGF89" s="236"/>
      <c r="BGG89" s="238"/>
      <c r="BGH89" s="236"/>
      <c r="BGI89" s="236"/>
      <c r="BGJ89" s="236"/>
      <c r="BGK89" s="236"/>
      <c r="BGL89" s="236"/>
      <c r="BGM89" s="239"/>
      <c r="BGN89" s="236"/>
      <c r="BGO89" s="236"/>
      <c r="BGP89" s="236"/>
      <c r="BGQ89" s="236"/>
      <c r="BGR89" s="236"/>
      <c r="BGS89" s="238"/>
      <c r="BGT89" s="236"/>
      <c r="BGU89" s="236"/>
      <c r="BGV89" s="236"/>
      <c r="BGW89" s="236"/>
      <c r="BGX89" s="236"/>
      <c r="BGY89" s="239"/>
      <c r="BGZ89" s="236"/>
      <c r="BHA89" s="236"/>
      <c r="BHB89" s="236"/>
      <c r="BHC89" s="236"/>
      <c r="BHD89" s="236"/>
      <c r="BHE89" s="240"/>
      <c r="BHF89" s="235"/>
      <c r="BHG89" s="236"/>
      <c r="BHH89" s="236"/>
      <c r="BHI89" s="236"/>
      <c r="BHJ89" s="236"/>
      <c r="BHK89" s="237"/>
      <c r="BHL89" s="236"/>
      <c r="BHM89" s="236"/>
      <c r="BHN89" s="236"/>
      <c r="BHO89" s="236"/>
      <c r="BHP89" s="236"/>
      <c r="BHQ89" s="238"/>
      <c r="BHR89" s="236"/>
      <c r="BHS89" s="236"/>
      <c r="BHT89" s="236"/>
      <c r="BHU89" s="236"/>
      <c r="BHV89" s="236"/>
      <c r="BHW89" s="239"/>
      <c r="BHX89" s="236"/>
      <c r="BHY89" s="236"/>
      <c r="BHZ89" s="236"/>
      <c r="BIA89" s="236"/>
      <c r="BIB89" s="236"/>
      <c r="BIC89" s="238"/>
      <c r="BID89" s="236"/>
      <c r="BIE89" s="236"/>
      <c r="BIF89" s="236"/>
      <c r="BIG89" s="236"/>
      <c r="BIH89" s="236"/>
      <c r="BII89" s="239"/>
      <c r="BIJ89" s="236"/>
      <c r="BIK89" s="236"/>
      <c r="BIL89" s="236"/>
      <c r="BIM89" s="236"/>
      <c r="BIN89" s="236"/>
      <c r="BIO89" s="238"/>
      <c r="BIP89" s="236"/>
      <c r="BIQ89" s="236"/>
      <c r="BIR89" s="236"/>
      <c r="BIS89" s="236"/>
      <c r="BIT89" s="236"/>
      <c r="BIU89" s="239"/>
      <c r="BIV89" s="236"/>
      <c r="BIW89" s="236"/>
      <c r="BIX89" s="236"/>
      <c r="BIY89" s="236"/>
      <c r="BIZ89" s="236"/>
      <c r="BJA89" s="238"/>
      <c r="BJB89" s="236"/>
      <c r="BJC89" s="236"/>
      <c r="BJD89" s="236"/>
      <c r="BJE89" s="236"/>
      <c r="BJF89" s="236"/>
      <c r="BJG89" s="239"/>
      <c r="BJH89" s="236"/>
      <c r="BJI89" s="236"/>
      <c r="BJJ89" s="236"/>
      <c r="BJK89" s="236"/>
      <c r="BJL89" s="236"/>
      <c r="BJM89" s="240"/>
      <c r="BJN89" s="233"/>
      <c r="BJO89" s="234"/>
      <c r="BJP89" s="234"/>
      <c r="BJQ89" s="234"/>
      <c r="BJR89" s="234"/>
      <c r="BJS89" s="234"/>
      <c r="BJT89" s="234"/>
      <c r="BJU89" s="234"/>
      <c r="BJV89" s="234"/>
      <c r="BJW89" s="234"/>
      <c r="BJX89" s="234"/>
      <c r="BJY89" s="234"/>
      <c r="BJZ89" s="234"/>
      <c r="BKA89" s="234"/>
      <c r="BKB89" s="234"/>
      <c r="BKC89" s="234"/>
      <c r="BKD89" s="234"/>
      <c r="BKE89" s="234"/>
      <c r="BKF89" s="234"/>
      <c r="BKG89" s="234"/>
      <c r="BKH89" s="234"/>
      <c r="BKI89" s="234"/>
      <c r="BKJ89" s="234"/>
      <c r="BKK89" s="234"/>
      <c r="BKL89" s="234"/>
      <c r="BKM89" s="234"/>
      <c r="BKN89" s="234"/>
    </row>
    <row r="90" spans="1:1652" ht="20.100000000000001" customHeight="1" x14ac:dyDescent="0.3">
      <c r="A90" s="84" t="s">
        <v>20</v>
      </c>
      <c r="B90" s="53"/>
      <c r="C90" s="189"/>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174"/>
      <c r="BJO90" s="4"/>
      <c r="BJP90" s="4"/>
      <c r="BJQ90" s="4"/>
      <c r="BJR90" s="4"/>
      <c r="BJS90" s="4"/>
      <c r="BJT90" s="4"/>
      <c r="BJU90" s="4"/>
      <c r="BJV90" s="4"/>
      <c r="BJW90" s="4"/>
      <c r="BJX90" s="4"/>
      <c r="BJY90" s="4"/>
      <c r="BJZ90" s="4"/>
      <c r="BKA90" s="4"/>
      <c r="BKB90" s="4"/>
      <c r="BKC90" s="4"/>
      <c r="BKD90" s="4"/>
      <c r="BKE90" s="4"/>
      <c r="BKF90" s="4"/>
      <c r="BKG90" s="4"/>
      <c r="BKH90" s="4"/>
      <c r="BKI90" s="4"/>
      <c r="BKJ90" s="4"/>
      <c r="BKK90" s="4"/>
      <c r="BKL90" s="4"/>
      <c r="BKM90" s="4"/>
      <c r="BKN90" s="4"/>
    </row>
    <row r="91" spans="1:1652" ht="20.100000000000001" customHeight="1" x14ac:dyDescent="0.25">
      <c r="A91" s="84" t="s">
        <v>19</v>
      </c>
      <c r="B91" s="53"/>
      <c r="C91" s="177"/>
      <c r="D91" s="129" t="str">
        <f t="shared" si="1"/>
        <v>0h</v>
      </c>
      <c r="E91" s="26">
        <v>0</v>
      </c>
      <c r="F91" s="241"/>
      <c r="G91" s="242"/>
      <c r="H91" s="242"/>
      <c r="I91" s="242"/>
      <c r="J91" s="242"/>
      <c r="K91" s="243"/>
      <c r="L91" s="242"/>
      <c r="M91" s="242"/>
      <c r="N91" s="242"/>
      <c r="O91" s="242"/>
      <c r="P91" s="242"/>
      <c r="Q91" s="244"/>
      <c r="R91" s="242"/>
      <c r="S91" s="242"/>
      <c r="T91" s="242"/>
      <c r="U91" s="242"/>
      <c r="V91" s="242"/>
      <c r="W91" s="245"/>
      <c r="X91" s="242"/>
      <c r="Y91" s="242"/>
      <c r="Z91" s="242"/>
      <c r="AA91" s="242"/>
      <c r="AB91" s="242"/>
      <c r="AC91" s="244"/>
      <c r="AD91" s="242"/>
      <c r="AE91" s="242"/>
      <c r="AF91" s="242"/>
      <c r="AG91" s="242"/>
      <c r="AH91" s="242"/>
      <c r="AI91" s="245"/>
      <c r="AJ91" s="242"/>
      <c r="AK91" s="242"/>
      <c r="AL91" s="242"/>
      <c r="AM91" s="242"/>
      <c r="AN91" s="242"/>
      <c r="AO91" s="244"/>
      <c r="AP91" s="242"/>
      <c r="AQ91" s="242"/>
      <c r="AR91" s="242"/>
      <c r="AS91" s="242"/>
      <c r="AT91" s="242"/>
      <c r="AU91" s="245"/>
      <c r="AV91" s="242"/>
      <c r="AW91" s="242"/>
      <c r="AX91" s="242"/>
      <c r="AY91" s="242"/>
      <c r="AZ91" s="242"/>
      <c r="BA91" s="244"/>
      <c r="BB91" s="242"/>
      <c r="BC91" s="242"/>
      <c r="BD91" s="242"/>
      <c r="BE91" s="242"/>
      <c r="BF91" s="242"/>
      <c r="BG91" s="245"/>
      <c r="BH91" s="242"/>
      <c r="BI91" s="242"/>
      <c r="BJ91" s="242"/>
      <c r="BK91" s="242"/>
      <c r="BL91" s="242"/>
      <c r="BM91" s="246"/>
      <c r="BN91" s="241"/>
      <c r="BO91" s="242"/>
      <c r="BP91" s="242"/>
      <c r="BQ91" s="242"/>
      <c r="BR91" s="242"/>
      <c r="BS91" s="243"/>
      <c r="BT91" s="242"/>
      <c r="BU91" s="242"/>
      <c r="BV91" s="242"/>
      <c r="BW91" s="242"/>
      <c r="BX91" s="242"/>
      <c r="BY91" s="244"/>
      <c r="BZ91" s="242"/>
      <c r="CA91" s="242"/>
      <c r="CB91" s="242"/>
      <c r="CC91" s="242"/>
      <c r="CD91" s="242"/>
      <c r="CE91" s="245"/>
      <c r="CF91" s="242"/>
      <c r="CG91" s="242"/>
      <c r="CH91" s="242"/>
      <c r="CI91" s="242"/>
      <c r="CJ91" s="242"/>
      <c r="CK91" s="244"/>
      <c r="CL91" s="242"/>
      <c r="CM91" s="242"/>
      <c r="CN91" s="242"/>
      <c r="CO91" s="242"/>
      <c r="CP91" s="242"/>
      <c r="CQ91" s="245"/>
      <c r="CR91" s="242"/>
      <c r="CS91" s="242"/>
      <c r="CT91" s="242"/>
      <c r="CU91" s="242"/>
      <c r="CV91" s="242"/>
      <c r="CW91" s="244"/>
      <c r="CX91" s="242"/>
      <c r="CY91" s="242"/>
      <c r="CZ91" s="242"/>
      <c r="DA91" s="242"/>
      <c r="DB91" s="242"/>
      <c r="DC91" s="245"/>
      <c r="DD91" s="242"/>
      <c r="DE91" s="242"/>
      <c r="DF91" s="242"/>
      <c r="DG91" s="242"/>
      <c r="DH91" s="242"/>
      <c r="DI91" s="244"/>
      <c r="DJ91" s="242"/>
      <c r="DK91" s="242"/>
      <c r="DL91" s="242"/>
      <c r="DM91" s="242"/>
      <c r="DN91" s="242"/>
      <c r="DO91" s="245"/>
      <c r="DP91" s="242"/>
      <c r="DQ91" s="242"/>
      <c r="DR91" s="242"/>
      <c r="DS91" s="242"/>
      <c r="DT91" s="242"/>
      <c r="DU91" s="246"/>
      <c r="DV91" s="241"/>
      <c r="DW91" s="242"/>
      <c r="DX91" s="242"/>
      <c r="DY91" s="242"/>
      <c r="DZ91" s="242"/>
      <c r="EA91" s="243"/>
      <c r="EB91" s="242"/>
      <c r="EC91" s="242"/>
      <c r="ED91" s="242"/>
      <c r="EE91" s="242"/>
      <c r="EF91" s="242"/>
      <c r="EG91" s="244"/>
      <c r="EH91" s="242"/>
      <c r="EI91" s="242"/>
      <c r="EJ91" s="242"/>
      <c r="EK91" s="242"/>
      <c r="EL91" s="242"/>
      <c r="EM91" s="245"/>
      <c r="EN91" s="242"/>
      <c r="EO91" s="242"/>
      <c r="EP91" s="242"/>
      <c r="EQ91" s="242"/>
      <c r="ER91" s="242"/>
      <c r="ES91" s="244"/>
      <c r="ET91" s="242"/>
      <c r="EU91" s="242"/>
      <c r="EV91" s="242"/>
      <c r="EW91" s="242"/>
      <c r="EX91" s="242"/>
      <c r="EY91" s="245"/>
      <c r="EZ91" s="242"/>
      <c r="FA91" s="242"/>
      <c r="FB91" s="242"/>
      <c r="FC91" s="242"/>
      <c r="FD91" s="242"/>
      <c r="FE91" s="244"/>
      <c r="FF91" s="242"/>
      <c r="FG91" s="242"/>
      <c r="FH91" s="242"/>
      <c r="FI91" s="242"/>
      <c r="FJ91" s="242"/>
      <c r="FK91" s="245"/>
      <c r="FL91" s="242"/>
      <c r="FM91" s="242"/>
      <c r="FN91" s="242"/>
      <c r="FO91" s="242"/>
      <c r="FP91" s="242"/>
      <c r="FQ91" s="244"/>
      <c r="FR91" s="242"/>
      <c r="FS91" s="242"/>
      <c r="FT91" s="242"/>
      <c r="FU91" s="242"/>
      <c r="FV91" s="242"/>
      <c r="FW91" s="245"/>
      <c r="FX91" s="242"/>
      <c r="FY91" s="242"/>
      <c r="FZ91" s="242"/>
      <c r="GA91" s="242"/>
      <c r="GB91" s="242"/>
      <c r="GC91" s="246"/>
      <c r="GD91" s="241"/>
      <c r="GE91" s="242"/>
      <c r="GF91" s="242"/>
      <c r="GG91" s="242"/>
      <c r="GH91" s="242"/>
      <c r="GI91" s="243"/>
      <c r="GJ91" s="242"/>
      <c r="GK91" s="242"/>
      <c r="GL91" s="242"/>
      <c r="GM91" s="242"/>
      <c r="GN91" s="242"/>
      <c r="GO91" s="244"/>
      <c r="GP91" s="242"/>
      <c r="GQ91" s="242"/>
      <c r="GR91" s="242"/>
      <c r="GS91" s="242"/>
      <c r="GT91" s="242"/>
      <c r="GU91" s="245"/>
      <c r="GV91" s="242"/>
      <c r="GW91" s="242"/>
      <c r="GX91" s="242"/>
      <c r="GY91" s="242"/>
      <c r="GZ91" s="242"/>
      <c r="HA91" s="244"/>
      <c r="HB91" s="242"/>
      <c r="HC91" s="242"/>
      <c r="HD91" s="242"/>
      <c r="HE91" s="242"/>
      <c r="HF91" s="242"/>
      <c r="HG91" s="245"/>
      <c r="HH91" s="242"/>
      <c r="HI91" s="242"/>
      <c r="HJ91" s="242"/>
      <c r="HK91" s="242"/>
      <c r="HL91" s="242"/>
      <c r="HM91" s="244"/>
      <c r="HN91" s="242"/>
      <c r="HO91" s="242"/>
      <c r="HP91" s="242"/>
      <c r="HQ91" s="242"/>
      <c r="HR91" s="242"/>
      <c r="HS91" s="245"/>
      <c r="HT91" s="242"/>
      <c r="HU91" s="242"/>
      <c r="HV91" s="242"/>
      <c r="HW91" s="242"/>
      <c r="HX91" s="242"/>
      <c r="HY91" s="244"/>
      <c r="HZ91" s="242"/>
      <c r="IA91" s="242"/>
      <c r="IB91" s="242"/>
      <c r="IC91" s="242"/>
      <c r="ID91" s="242"/>
      <c r="IE91" s="245"/>
      <c r="IF91" s="242"/>
      <c r="IG91" s="242"/>
      <c r="IH91" s="242"/>
      <c r="II91" s="242"/>
      <c r="IJ91" s="242"/>
      <c r="IK91" s="246"/>
      <c r="IL91" s="241"/>
      <c r="IM91" s="242"/>
      <c r="IN91" s="242"/>
      <c r="IO91" s="242"/>
      <c r="IP91" s="242"/>
      <c r="IQ91" s="243"/>
      <c r="IR91" s="242"/>
      <c r="IS91" s="242"/>
      <c r="IT91" s="242"/>
      <c r="IU91" s="242"/>
      <c r="IV91" s="242"/>
      <c r="IW91" s="244"/>
      <c r="IX91" s="242"/>
      <c r="IY91" s="242"/>
      <c r="IZ91" s="242"/>
      <c r="JA91" s="242"/>
      <c r="JB91" s="242"/>
      <c r="JC91" s="245"/>
      <c r="JD91" s="242"/>
      <c r="JE91" s="242"/>
      <c r="JF91" s="242"/>
      <c r="JG91" s="242"/>
      <c r="JH91" s="242"/>
      <c r="JI91" s="244"/>
      <c r="JJ91" s="242"/>
      <c r="JK91" s="242"/>
      <c r="JL91" s="242"/>
      <c r="JM91" s="242"/>
      <c r="JN91" s="242"/>
      <c r="JO91" s="245"/>
      <c r="JP91" s="242"/>
      <c r="JQ91" s="242"/>
      <c r="JR91" s="242"/>
      <c r="JS91" s="242"/>
      <c r="JT91" s="242"/>
      <c r="JU91" s="244"/>
      <c r="JV91" s="242"/>
      <c r="JW91" s="242"/>
      <c r="JX91" s="242"/>
      <c r="JY91" s="242"/>
      <c r="JZ91" s="242"/>
      <c r="KA91" s="245"/>
      <c r="KB91" s="242"/>
      <c r="KC91" s="242"/>
      <c r="KD91" s="242"/>
      <c r="KE91" s="242"/>
      <c r="KF91" s="242"/>
      <c r="KG91" s="244"/>
      <c r="KH91" s="242"/>
      <c r="KI91" s="242"/>
      <c r="KJ91" s="242"/>
      <c r="KK91" s="242"/>
      <c r="KL91" s="242"/>
      <c r="KM91" s="245"/>
      <c r="KN91" s="242"/>
      <c r="KO91" s="242"/>
      <c r="KP91" s="242"/>
      <c r="KQ91" s="242"/>
      <c r="KR91" s="242"/>
      <c r="KS91" s="246"/>
      <c r="KT91" s="241"/>
      <c r="KU91" s="242"/>
      <c r="KV91" s="242"/>
      <c r="KW91" s="242"/>
      <c r="KX91" s="242"/>
      <c r="KY91" s="243"/>
      <c r="KZ91" s="242"/>
      <c r="LA91" s="242"/>
      <c r="LB91" s="242"/>
      <c r="LC91" s="242"/>
      <c r="LD91" s="242"/>
      <c r="LE91" s="244"/>
      <c r="LF91" s="242"/>
      <c r="LG91" s="242"/>
      <c r="LH91" s="242"/>
      <c r="LI91" s="242"/>
      <c r="LJ91" s="242"/>
      <c r="LK91" s="245"/>
      <c r="LL91" s="242"/>
      <c r="LM91" s="242"/>
      <c r="LN91" s="242"/>
      <c r="LO91" s="242"/>
      <c r="LP91" s="242"/>
      <c r="LQ91" s="244"/>
      <c r="LR91" s="242"/>
      <c r="LS91" s="242"/>
      <c r="LT91" s="242"/>
      <c r="LU91" s="242"/>
      <c r="LV91" s="242"/>
      <c r="LW91" s="245"/>
      <c r="LX91" s="242"/>
      <c r="LY91" s="242"/>
      <c r="LZ91" s="242"/>
      <c r="MA91" s="242"/>
      <c r="MB91" s="242"/>
      <c r="MC91" s="244"/>
      <c r="MD91" s="242"/>
      <c r="ME91" s="242"/>
      <c r="MF91" s="242"/>
      <c r="MG91" s="242"/>
      <c r="MH91" s="242"/>
      <c r="MI91" s="245"/>
      <c r="MJ91" s="242"/>
      <c r="MK91" s="242"/>
      <c r="ML91" s="242"/>
      <c r="MM91" s="242"/>
      <c r="MN91" s="242"/>
      <c r="MO91" s="244"/>
      <c r="MP91" s="242"/>
      <c r="MQ91" s="242"/>
      <c r="MR91" s="242"/>
      <c r="MS91" s="242"/>
      <c r="MT91" s="242"/>
      <c r="MU91" s="245"/>
      <c r="MV91" s="242"/>
      <c r="MW91" s="242"/>
      <c r="MX91" s="242"/>
      <c r="MY91" s="242"/>
      <c r="MZ91" s="242"/>
      <c r="NA91" s="246"/>
      <c r="NB91" s="241"/>
      <c r="NC91" s="242"/>
      <c r="ND91" s="242"/>
      <c r="NE91" s="242"/>
      <c r="NF91" s="242"/>
      <c r="NG91" s="243"/>
      <c r="NH91" s="242"/>
      <c r="NI91" s="242"/>
      <c r="NJ91" s="242"/>
      <c r="NK91" s="242"/>
      <c r="NL91" s="242"/>
      <c r="NM91" s="244"/>
      <c r="NN91" s="242"/>
      <c r="NO91" s="242"/>
      <c r="NP91" s="242"/>
      <c r="NQ91" s="242"/>
      <c r="NR91" s="242"/>
      <c r="NS91" s="245"/>
      <c r="NT91" s="242"/>
      <c r="NU91" s="242"/>
      <c r="NV91" s="242"/>
      <c r="NW91" s="242"/>
      <c r="NX91" s="242"/>
      <c r="NY91" s="244"/>
      <c r="NZ91" s="242"/>
      <c r="OA91" s="242"/>
      <c r="OB91" s="242"/>
      <c r="OC91" s="242"/>
      <c r="OD91" s="242"/>
      <c r="OE91" s="245"/>
      <c r="OF91" s="242"/>
      <c r="OG91" s="242"/>
      <c r="OH91" s="242"/>
      <c r="OI91" s="242"/>
      <c r="OJ91" s="242"/>
      <c r="OK91" s="244"/>
      <c r="OL91" s="242"/>
      <c r="OM91" s="242"/>
      <c r="ON91" s="242"/>
      <c r="OO91" s="242"/>
      <c r="OP91" s="242"/>
      <c r="OQ91" s="245"/>
      <c r="OR91" s="242"/>
      <c r="OS91" s="242"/>
      <c r="OT91" s="242"/>
      <c r="OU91" s="242"/>
      <c r="OV91" s="242"/>
      <c r="OW91" s="244"/>
      <c r="OX91" s="242"/>
      <c r="OY91" s="242"/>
      <c r="OZ91" s="242"/>
      <c r="PA91" s="242"/>
      <c r="PB91" s="242"/>
      <c r="PC91" s="245"/>
      <c r="PD91" s="242"/>
      <c r="PE91" s="242"/>
      <c r="PF91" s="242"/>
      <c r="PG91" s="242"/>
      <c r="PH91" s="242"/>
      <c r="PI91" s="246"/>
      <c r="PJ91" s="241"/>
      <c r="PK91" s="242"/>
      <c r="PL91" s="242"/>
      <c r="PM91" s="242"/>
      <c r="PN91" s="242"/>
      <c r="PO91" s="243"/>
      <c r="PP91" s="242"/>
      <c r="PQ91" s="242"/>
      <c r="PR91" s="242"/>
      <c r="PS91" s="242"/>
      <c r="PT91" s="242"/>
      <c r="PU91" s="244"/>
      <c r="PV91" s="242"/>
      <c r="PW91" s="242"/>
      <c r="PX91" s="242"/>
      <c r="PY91" s="242"/>
      <c r="PZ91" s="242"/>
      <c r="QA91" s="245"/>
      <c r="QB91" s="242"/>
      <c r="QC91" s="242"/>
      <c r="QD91" s="242"/>
      <c r="QE91" s="242"/>
      <c r="QF91" s="242"/>
      <c r="QG91" s="244"/>
      <c r="QH91" s="242"/>
      <c r="QI91" s="242"/>
      <c r="QJ91" s="242"/>
      <c r="QK91" s="242"/>
      <c r="QL91" s="242"/>
      <c r="QM91" s="245"/>
      <c r="QN91" s="242"/>
      <c r="QO91" s="242"/>
      <c r="QP91" s="242"/>
      <c r="QQ91" s="242"/>
      <c r="QR91" s="242"/>
      <c r="QS91" s="244"/>
      <c r="QT91" s="242"/>
      <c r="QU91" s="242"/>
      <c r="QV91" s="242"/>
      <c r="QW91" s="242"/>
      <c r="QX91" s="242"/>
      <c r="QY91" s="245"/>
      <c r="QZ91" s="242"/>
      <c r="RA91" s="242"/>
      <c r="RB91" s="242"/>
      <c r="RC91" s="242"/>
      <c r="RD91" s="242"/>
      <c r="RE91" s="244"/>
      <c r="RF91" s="242"/>
      <c r="RG91" s="242"/>
      <c r="RH91" s="242"/>
      <c r="RI91" s="242"/>
      <c r="RJ91" s="242"/>
      <c r="RK91" s="245"/>
      <c r="RL91" s="242"/>
      <c r="RM91" s="242"/>
      <c r="RN91" s="242"/>
      <c r="RO91" s="242"/>
      <c r="RP91" s="242"/>
      <c r="RQ91" s="246"/>
      <c r="RR91" s="241"/>
      <c r="RS91" s="242"/>
      <c r="RT91" s="242"/>
      <c r="RU91" s="242"/>
      <c r="RV91" s="242"/>
      <c r="RW91" s="243"/>
      <c r="RX91" s="242"/>
      <c r="RY91" s="242"/>
      <c r="RZ91" s="242"/>
      <c r="SA91" s="242"/>
      <c r="SB91" s="242"/>
      <c r="SC91" s="244"/>
      <c r="SD91" s="242"/>
      <c r="SE91" s="242"/>
      <c r="SF91" s="242"/>
      <c r="SG91" s="242"/>
      <c r="SH91" s="242"/>
      <c r="SI91" s="245"/>
      <c r="SJ91" s="242"/>
      <c r="SK91" s="242"/>
      <c r="SL91" s="242"/>
      <c r="SM91" s="242"/>
      <c r="SN91" s="242"/>
      <c r="SO91" s="244"/>
      <c r="SP91" s="242"/>
      <c r="SQ91" s="242"/>
      <c r="SR91" s="242"/>
      <c r="SS91" s="242"/>
      <c r="ST91" s="242"/>
      <c r="SU91" s="245"/>
      <c r="SV91" s="242"/>
      <c r="SW91" s="242"/>
      <c r="SX91" s="242"/>
      <c r="SY91" s="242"/>
      <c r="SZ91" s="242"/>
      <c r="TA91" s="244"/>
      <c r="TB91" s="242"/>
      <c r="TC91" s="242"/>
      <c r="TD91" s="242"/>
      <c r="TE91" s="242"/>
      <c r="TF91" s="242"/>
      <c r="TG91" s="245"/>
      <c r="TH91" s="242"/>
      <c r="TI91" s="242"/>
      <c r="TJ91" s="242"/>
      <c r="TK91" s="242"/>
      <c r="TL91" s="242"/>
      <c r="TM91" s="244"/>
      <c r="TN91" s="242"/>
      <c r="TO91" s="242"/>
      <c r="TP91" s="242"/>
      <c r="TQ91" s="242"/>
      <c r="TR91" s="242"/>
      <c r="TS91" s="245"/>
      <c r="TT91" s="242"/>
      <c r="TU91" s="242"/>
      <c r="TV91" s="242"/>
      <c r="TW91" s="242"/>
      <c r="TX91" s="242"/>
      <c r="TY91" s="246"/>
      <c r="TZ91" s="241"/>
      <c r="UA91" s="242"/>
      <c r="UB91" s="242"/>
      <c r="UC91" s="242"/>
      <c r="UD91" s="242"/>
      <c r="UE91" s="243"/>
      <c r="UF91" s="242"/>
      <c r="UG91" s="242"/>
      <c r="UH91" s="242"/>
      <c r="UI91" s="242"/>
      <c r="UJ91" s="242"/>
      <c r="UK91" s="244"/>
      <c r="UL91" s="242"/>
      <c r="UM91" s="242"/>
      <c r="UN91" s="242"/>
      <c r="UO91" s="242"/>
      <c r="UP91" s="242"/>
      <c r="UQ91" s="245"/>
      <c r="UR91" s="242"/>
      <c r="US91" s="242"/>
      <c r="UT91" s="242"/>
      <c r="UU91" s="242"/>
      <c r="UV91" s="242"/>
      <c r="UW91" s="244"/>
      <c r="UX91" s="242"/>
      <c r="UY91" s="242"/>
      <c r="UZ91" s="242"/>
      <c r="VA91" s="242"/>
      <c r="VB91" s="242"/>
      <c r="VC91" s="245"/>
      <c r="VD91" s="242"/>
      <c r="VE91" s="242"/>
      <c r="VF91" s="242"/>
      <c r="VG91" s="242"/>
      <c r="VH91" s="242"/>
      <c r="VI91" s="244"/>
      <c r="VJ91" s="242"/>
      <c r="VK91" s="242"/>
      <c r="VL91" s="242"/>
      <c r="VM91" s="242"/>
      <c r="VN91" s="242"/>
      <c r="VO91" s="245"/>
      <c r="VP91" s="242"/>
      <c r="VQ91" s="242"/>
      <c r="VR91" s="242"/>
      <c r="VS91" s="242"/>
      <c r="VT91" s="242"/>
      <c r="VU91" s="244"/>
      <c r="VV91" s="242"/>
      <c r="VW91" s="242"/>
      <c r="VX91" s="242"/>
      <c r="VY91" s="242"/>
      <c r="VZ91" s="242"/>
      <c r="WA91" s="245"/>
      <c r="WB91" s="242"/>
      <c r="WC91" s="242"/>
      <c r="WD91" s="242"/>
      <c r="WE91" s="242"/>
      <c r="WF91" s="242"/>
      <c r="WG91" s="246"/>
      <c r="WH91" s="241"/>
      <c r="WI91" s="242"/>
      <c r="WJ91" s="242"/>
      <c r="WK91" s="242"/>
      <c r="WL91" s="242"/>
      <c r="WM91" s="243"/>
      <c r="WN91" s="242"/>
      <c r="WO91" s="242"/>
      <c r="WP91" s="242"/>
      <c r="WQ91" s="242"/>
      <c r="WR91" s="242"/>
      <c r="WS91" s="244"/>
      <c r="WT91" s="242"/>
      <c r="WU91" s="242"/>
      <c r="WV91" s="242"/>
      <c r="WW91" s="242"/>
      <c r="WX91" s="242"/>
      <c r="WY91" s="245"/>
      <c r="WZ91" s="242"/>
      <c r="XA91" s="242"/>
      <c r="XB91" s="242"/>
      <c r="XC91" s="242"/>
      <c r="XD91" s="242"/>
      <c r="XE91" s="244"/>
      <c r="XF91" s="242"/>
      <c r="XG91" s="242"/>
      <c r="XH91" s="242"/>
      <c r="XI91" s="242"/>
      <c r="XJ91" s="242"/>
      <c r="XK91" s="245"/>
      <c r="XL91" s="242"/>
      <c r="XM91" s="242"/>
      <c r="XN91" s="242"/>
      <c r="XO91" s="242"/>
      <c r="XP91" s="242"/>
      <c r="XQ91" s="244"/>
      <c r="XR91" s="242"/>
      <c r="XS91" s="242"/>
      <c r="XT91" s="242"/>
      <c r="XU91" s="242"/>
      <c r="XV91" s="242"/>
      <c r="XW91" s="245"/>
      <c r="XX91" s="242"/>
      <c r="XY91" s="242"/>
      <c r="XZ91" s="242"/>
      <c r="YA91" s="242"/>
      <c r="YB91" s="242"/>
      <c r="YC91" s="244"/>
      <c r="YD91" s="242"/>
      <c r="YE91" s="242"/>
      <c r="YF91" s="242"/>
      <c r="YG91" s="242"/>
      <c r="YH91" s="242"/>
      <c r="YI91" s="245"/>
      <c r="YJ91" s="242"/>
      <c r="YK91" s="242"/>
      <c r="YL91" s="242"/>
      <c r="YM91" s="242"/>
      <c r="YN91" s="242"/>
      <c r="YO91" s="246"/>
      <c r="YP91" s="241"/>
      <c r="YQ91" s="242"/>
      <c r="YR91" s="242"/>
      <c r="YS91" s="242"/>
      <c r="YT91" s="242"/>
      <c r="YU91" s="243"/>
      <c r="YV91" s="242"/>
      <c r="YW91" s="242"/>
      <c r="YX91" s="242"/>
      <c r="YY91" s="242"/>
      <c r="YZ91" s="242"/>
      <c r="ZA91" s="244"/>
      <c r="ZB91" s="242"/>
      <c r="ZC91" s="242"/>
      <c r="ZD91" s="242"/>
      <c r="ZE91" s="242"/>
      <c r="ZF91" s="242"/>
      <c r="ZG91" s="245"/>
      <c r="ZH91" s="242"/>
      <c r="ZI91" s="242"/>
      <c r="ZJ91" s="242"/>
      <c r="ZK91" s="242"/>
      <c r="ZL91" s="242"/>
      <c r="ZM91" s="244"/>
      <c r="ZN91" s="242"/>
      <c r="ZO91" s="242"/>
      <c r="ZP91" s="242"/>
      <c r="ZQ91" s="242"/>
      <c r="ZR91" s="242"/>
      <c r="ZS91" s="245"/>
      <c r="ZT91" s="242"/>
      <c r="ZU91" s="242"/>
      <c r="ZV91" s="242"/>
      <c r="ZW91" s="242"/>
      <c r="ZX91" s="242"/>
      <c r="ZY91" s="244"/>
      <c r="ZZ91" s="242"/>
      <c r="AAA91" s="242"/>
      <c r="AAB91" s="242"/>
      <c r="AAC91" s="242"/>
      <c r="AAD91" s="242"/>
      <c r="AAE91" s="245"/>
      <c r="AAF91" s="242"/>
      <c r="AAG91" s="242"/>
      <c r="AAH91" s="242"/>
      <c r="AAI91" s="242"/>
      <c r="AAJ91" s="242"/>
      <c r="AAK91" s="244"/>
      <c r="AAL91" s="242"/>
      <c r="AAM91" s="242"/>
      <c r="AAN91" s="242"/>
      <c r="AAO91" s="242"/>
      <c r="AAP91" s="242"/>
      <c r="AAQ91" s="245"/>
      <c r="AAR91" s="242"/>
      <c r="AAS91" s="242"/>
      <c r="AAT91" s="242"/>
      <c r="AAU91" s="242"/>
      <c r="AAV91" s="242"/>
      <c r="AAW91" s="246"/>
      <c r="AAX91" s="241"/>
      <c r="AAY91" s="242"/>
      <c r="AAZ91" s="242"/>
      <c r="ABA91" s="242"/>
      <c r="ABB91" s="242"/>
      <c r="ABC91" s="243"/>
      <c r="ABD91" s="242"/>
      <c r="ABE91" s="242"/>
      <c r="ABF91" s="242"/>
      <c r="ABG91" s="242"/>
      <c r="ABH91" s="242"/>
      <c r="ABI91" s="244"/>
      <c r="ABJ91" s="242"/>
      <c r="ABK91" s="242"/>
      <c r="ABL91" s="242"/>
      <c r="ABM91" s="242"/>
      <c r="ABN91" s="242"/>
      <c r="ABO91" s="245"/>
      <c r="ABP91" s="242"/>
      <c r="ABQ91" s="242"/>
      <c r="ABR91" s="242"/>
      <c r="ABS91" s="242"/>
      <c r="ABT91" s="242"/>
      <c r="ABU91" s="244"/>
      <c r="ABV91" s="242"/>
      <c r="ABW91" s="242"/>
      <c r="ABX91" s="242"/>
      <c r="ABY91" s="242"/>
      <c r="ABZ91" s="242"/>
      <c r="ACA91" s="245"/>
      <c r="ACB91" s="242"/>
      <c r="ACC91" s="242"/>
      <c r="ACD91" s="242"/>
      <c r="ACE91" s="242"/>
      <c r="ACF91" s="242"/>
      <c r="ACG91" s="244"/>
      <c r="ACH91" s="242"/>
      <c r="ACI91" s="242"/>
      <c r="ACJ91" s="242"/>
      <c r="ACK91" s="242"/>
      <c r="ACL91" s="242"/>
      <c r="ACM91" s="245"/>
      <c r="ACN91" s="242"/>
      <c r="ACO91" s="242"/>
      <c r="ACP91" s="242"/>
      <c r="ACQ91" s="242"/>
      <c r="ACR91" s="242"/>
      <c r="ACS91" s="244"/>
      <c r="ACT91" s="242"/>
      <c r="ACU91" s="242"/>
      <c r="ACV91" s="242"/>
      <c r="ACW91" s="242"/>
      <c r="ACX91" s="242"/>
      <c r="ACY91" s="245"/>
      <c r="ACZ91" s="242"/>
      <c r="ADA91" s="242"/>
      <c r="ADB91" s="242"/>
      <c r="ADC91" s="242"/>
      <c r="ADD91" s="242"/>
      <c r="ADE91" s="246"/>
      <c r="ADF91" s="241"/>
      <c r="ADG91" s="242"/>
      <c r="ADH91" s="242"/>
      <c r="ADI91" s="242"/>
      <c r="ADJ91" s="242"/>
      <c r="ADK91" s="243"/>
      <c r="ADL91" s="242"/>
      <c r="ADM91" s="242"/>
      <c r="ADN91" s="242"/>
      <c r="ADO91" s="242"/>
      <c r="ADP91" s="242"/>
      <c r="ADQ91" s="244"/>
      <c r="ADR91" s="242"/>
      <c r="ADS91" s="242"/>
      <c r="ADT91" s="242"/>
      <c r="ADU91" s="242"/>
      <c r="ADV91" s="242"/>
      <c r="ADW91" s="245"/>
      <c r="ADX91" s="242"/>
      <c r="ADY91" s="242"/>
      <c r="ADZ91" s="242"/>
      <c r="AEA91" s="242"/>
      <c r="AEB91" s="242"/>
      <c r="AEC91" s="244"/>
      <c r="AED91" s="242"/>
      <c r="AEE91" s="242"/>
      <c r="AEF91" s="242"/>
      <c r="AEG91" s="242"/>
      <c r="AEH91" s="242"/>
      <c r="AEI91" s="245"/>
      <c r="AEJ91" s="242"/>
      <c r="AEK91" s="242"/>
      <c r="AEL91" s="242"/>
      <c r="AEM91" s="242"/>
      <c r="AEN91" s="242"/>
      <c r="AEO91" s="244"/>
      <c r="AEP91" s="242"/>
      <c r="AEQ91" s="242"/>
      <c r="AER91" s="242"/>
      <c r="AES91" s="242"/>
      <c r="AET91" s="242"/>
      <c r="AEU91" s="245"/>
      <c r="AEV91" s="242"/>
      <c r="AEW91" s="242"/>
      <c r="AEX91" s="242"/>
      <c r="AEY91" s="242"/>
      <c r="AEZ91" s="242"/>
      <c r="AFA91" s="244"/>
      <c r="AFB91" s="242"/>
      <c r="AFC91" s="242"/>
      <c r="AFD91" s="242"/>
      <c r="AFE91" s="242"/>
      <c r="AFF91" s="242"/>
      <c r="AFG91" s="245"/>
      <c r="AFH91" s="242"/>
      <c r="AFI91" s="242"/>
      <c r="AFJ91" s="242"/>
      <c r="AFK91" s="242"/>
      <c r="AFL91" s="242"/>
      <c r="AFM91" s="246"/>
      <c r="AFN91" s="241"/>
      <c r="AFO91" s="242"/>
      <c r="AFP91" s="242"/>
      <c r="AFQ91" s="242"/>
      <c r="AFR91" s="242"/>
      <c r="AFS91" s="243"/>
      <c r="AFT91" s="242"/>
      <c r="AFU91" s="242"/>
      <c r="AFV91" s="242"/>
      <c r="AFW91" s="242"/>
      <c r="AFX91" s="242"/>
      <c r="AFY91" s="244"/>
      <c r="AFZ91" s="242"/>
      <c r="AGA91" s="242"/>
      <c r="AGB91" s="242"/>
      <c r="AGC91" s="242"/>
      <c r="AGD91" s="242"/>
      <c r="AGE91" s="245"/>
      <c r="AGF91" s="242"/>
      <c r="AGG91" s="242"/>
      <c r="AGH91" s="242"/>
      <c r="AGI91" s="242"/>
      <c r="AGJ91" s="242"/>
      <c r="AGK91" s="244"/>
      <c r="AGL91" s="242"/>
      <c r="AGM91" s="242"/>
      <c r="AGN91" s="242"/>
      <c r="AGO91" s="242"/>
      <c r="AGP91" s="242"/>
      <c r="AGQ91" s="245"/>
      <c r="AGR91" s="242"/>
      <c r="AGS91" s="242"/>
      <c r="AGT91" s="242"/>
      <c r="AGU91" s="242"/>
      <c r="AGV91" s="242"/>
      <c r="AGW91" s="244"/>
      <c r="AGX91" s="242"/>
      <c r="AGY91" s="242"/>
      <c r="AGZ91" s="242"/>
      <c r="AHA91" s="242"/>
      <c r="AHB91" s="242"/>
      <c r="AHC91" s="245"/>
      <c r="AHD91" s="242"/>
      <c r="AHE91" s="242"/>
      <c r="AHF91" s="242"/>
      <c r="AHG91" s="242"/>
      <c r="AHH91" s="242"/>
      <c r="AHI91" s="244"/>
      <c r="AHJ91" s="242"/>
      <c r="AHK91" s="242"/>
      <c r="AHL91" s="242"/>
      <c r="AHM91" s="242"/>
      <c r="AHN91" s="242"/>
      <c r="AHO91" s="245"/>
      <c r="AHP91" s="242"/>
      <c r="AHQ91" s="242"/>
      <c r="AHR91" s="242"/>
      <c r="AHS91" s="242"/>
      <c r="AHT91" s="242"/>
      <c r="AHU91" s="246"/>
      <c r="AHV91" s="241"/>
      <c r="AHW91" s="242"/>
      <c r="AHX91" s="242"/>
      <c r="AHY91" s="242"/>
      <c r="AHZ91" s="242"/>
      <c r="AIA91" s="243"/>
      <c r="AIB91" s="242"/>
      <c r="AIC91" s="242"/>
      <c r="AID91" s="242"/>
      <c r="AIE91" s="242"/>
      <c r="AIF91" s="242"/>
      <c r="AIG91" s="244"/>
      <c r="AIH91" s="242"/>
      <c r="AII91" s="242"/>
      <c r="AIJ91" s="242"/>
      <c r="AIK91" s="242"/>
      <c r="AIL91" s="242"/>
      <c r="AIM91" s="245"/>
      <c r="AIN91" s="242"/>
      <c r="AIO91" s="242"/>
      <c r="AIP91" s="242"/>
      <c r="AIQ91" s="242"/>
      <c r="AIR91" s="242"/>
      <c r="AIS91" s="244"/>
      <c r="AIT91" s="242"/>
      <c r="AIU91" s="242"/>
      <c r="AIV91" s="242"/>
      <c r="AIW91" s="242"/>
      <c r="AIX91" s="242"/>
      <c r="AIY91" s="245"/>
      <c r="AIZ91" s="242"/>
      <c r="AJA91" s="242"/>
      <c r="AJB91" s="242"/>
      <c r="AJC91" s="242"/>
      <c r="AJD91" s="242"/>
      <c r="AJE91" s="244"/>
      <c r="AJF91" s="242"/>
      <c r="AJG91" s="242"/>
      <c r="AJH91" s="242"/>
      <c r="AJI91" s="242"/>
      <c r="AJJ91" s="242"/>
      <c r="AJK91" s="245"/>
      <c r="AJL91" s="242"/>
      <c r="AJM91" s="242"/>
      <c r="AJN91" s="242"/>
      <c r="AJO91" s="242"/>
      <c r="AJP91" s="242"/>
      <c r="AJQ91" s="244"/>
      <c r="AJR91" s="242"/>
      <c r="AJS91" s="242"/>
      <c r="AJT91" s="242"/>
      <c r="AJU91" s="242"/>
      <c r="AJV91" s="242"/>
      <c r="AJW91" s="245"/>
      <c r="AJX91" s="242"/>
      <c r="AJY91" s="242"/>
      <c r="AJZ91" s="242"/>
      <c r="AKA91" s="242"/>
      <c r="AKB91" s="242"/>
      <c r="AKC91" s="246"/>
      <c r="AKD91" s="241"/>
      <c r="AKE91" s="242"/>
      <c r="AKF91" s="242"/>
      <c r="AKG91" s="242"/>
      <c r="AKH91" s="242"/>
      <c r="AKI91" s="243"/>
      <c r="AKJ91" s="242"/>
      <c r="AKK91" s="242"/>
      <c r="AKL91" s="242"/>
      <c r="AKM91" s="242"/>
      <c r="AKN91" s="242"/>
      <c r="AKO91" s="244"/>
      <c r="AKP91" s="242"/>
      <c r="AKQ91" s="242"/>
      <c r="AKR91" s="242"/>
      <c r="AKS91" s="242"/>
      <c r="AKT91" s="242"/>
      <c r="AKU91" s="245"/>
      <c r="AKV91" s="242"/>
      <c r="AKW91" s="242"/>
      <c r="AKX91" s="242"/>
      <c r="AKY91" s="242"/>
      <c r="AKZ91" s="242"/>
      <c r="ALA91" s="244"/>
      <c r="ALB91" s="242"/>
      <c r="ALC91" s="242"/>
      <c r="ALD91" s="242"/>
      <c r="ALE91" s="242"/>
      <c r="ALF91" s="242"/>
      <c r="ALG91" s="245"/>
      <c r="ALH91" s="242"/>
      <c r="ALI91" s="242"/>
      <c r="ALJ91" s="242"/>
      <c r="ALK91" s="242"/>
      <c r="ALL91" s="242"/>
      <c r="ALM91" s="244"/>
      <c r="ALN91" s="242"/>
      <c r="ALO91" s="242"/>
      <c r="ALP91" s="242"/>
      <c r="ALQ91" s="242"/>
      <c r="ALR91" s="242"/>
      <c r="ALS91" s="245"/>
      <c r="ALT91" s="242"/>
      <c r="ALU91" s="242"/>
      <c r="ALV91" s="242"/>
      <c r="ALW91" s="242"/>
      <c r="ALX91" s="242"/>
      <c r="ALY91" s="244"/>
      <c r="ALZ91" s="242"/>
      <c r="AMA91" s="242"/>
      <c r="AMB91" s="242"/>
      <c r="AMC91" s="242"/>
      <c r="AMD91" s="242"/>
      <c r="AME91" s="245"/>
      <c r="AMF91" s="242"/>
      <c r="AMG91" s="242"/>
      <c r="AMH91" s="242"/>
      <c r="AMI91" s="242"/>
      <c r="AMJ91" s="242"/>
      <c r="AMK91" s="246"/>
      <c r="AML91" s="241"/>
      <c r="AMM91" s="242"/>
      <c r="AMN91" s="242"/>
      <c r="AMO91" s="242"/>
      <c r="AMP91" s="242"/>
      <c r="AMQ91" s="243"/>
      <c r="AMR91" s="242"/>
      <c r="AMS91" s="242"/>
      <c r="AMT91" s="242"/>
      <c r="AMU91" s="242"/>
      <c r="AMV91" s="242"/>
      <c r="AMW91" s="244"/>
      <c r="AMX91" s="242"/>
      <c r="AMY91" s="242"/>
      <c r="AMZ91" s="242"/>
      <c r="ANA91" s="242"/>
      <c r="ANB91" s="242"/>
      <c r="ANC91" s="245"/>
      <c r="AND91" s="242"/>
      <c r="ANE91" s="242"/>
      <c r="ANF91" s="242"/>
      <c r="ANG91" s="242"/>
      <c r="ANH91" s="242"/>
      <c r="ANI91" s="244"/>
      <c r="ANJ91" s="242"/>
      <c r="ANK91" s="242"/>
      <c r="ANL91" s="242"/>
      <c r="ANM91" s="242"/>
      <c r="ANN91" s="242"/>
      <c r="ANO91" s="245"/>
      <c r="ANP91" s="242"/>
      <c r="ANQ91" s="242"/>
      <c r="ANR91" s="242"/>
      <c r="ANS91" s="242"/>
      <c r="ANT91" s="242"/>
      <c r="ANU91" s="244"/>
      <c r="ANV91" s="242"/>
      <c r="ANW91" s="242"/>
      <c r="ANX91" s="242"/>
      <c r="ANY91" s="242"/>
      <c r="ANZ91" s="242"/>
      <c r="AOA91" s="245"/>
      <c r="AOB91" s="242"/>
      <c r="AOC91" s="242"/>
      <c r="AOD91" s="242"/>
      <c r="AOE91" s="242"/>
      <c r="AOF91" s="242"/>
      <c r="AOG91" s="244"/>
      <c r="AOH91" s="242"/>
      <c r="AOI91" s="242"/>
      <c r="AOJ91" s="242"/>
      <c r="AOK91" s="242"/>
      <c r="AOL91" s="242"/>
      <c r="AOM91" s="245"/>
      <c r="AON91" s="242"/>
      <c r="AOO91" s="242"/>
      <c r="AOP91" s="242"/>
      <c r="AOQ91" s="242"/>
      <c r="AOR91" s="242"/>
      <c r="AOS91" s="246"/>
      <c r="AOT91" s="241"/>
      <c r="AOU91" s="242"/>
      <c r="AOV91" s="242"/>
      <c r="AOW91" s="242"/>
      <c r="AOX91" s="242"/>
      <c r="AOY91" s="243"/>
      <c r="AOZ91" s="242"/>
      <c r="APA91" s="242"/>
      <c r="APB91" s="242"/>
      <c r="APC91" s="242"/>
      <c r="APD91" s="242"/>
      <c r="APE91" s="244"/>
      <c r="APF91" s="242"/>
      <c r="APG91" s="242"/>
      <c r="APH91" s="242"/>
      <c r="API91" s="242"/>
      <c r="APJ91" s="242"/>
      <c r="APK91" s="245"/>
      <c r="APL91" s="242"/>
      <c r="APM91" s="242"/>
      <c r="APN91" s="242"/>
      <c r="APO91" s="242"/>
      <c r="APP91" s="242"/>
      <c r="APQ91" s="244"/>
      <c r="APR91" s="242"/>
      <c r="APS91" s="242"/>
      <c r="APT91" s="242"/>
      <c r="APU91" s="242"/>
      <c r="APV91" s="242"/>
      <c r="APW91" s="245"/>
      <c r="APX91" s="242"/>
      <c r="APY91" s="242"/>
      <c r="APZ91" s="242"/>
      <c r="AQA91" s="242"/>
      <c r="AQB91" s="242"/>
      <c r="AQC91" s="244"/>
      <c r="AQD91" s="242"/>
      <c r="AQE91" s="242"/>
      <c r="AQF91" s="242"/>
      <c r="AQG91" s="242"/>
      <c r="AQH91" s="242"/>
      <c r="AQI91" s="245"/>
      <c r="AQJ91" s="242"/>
      <c r="AQK91" s="242"/>
      <c r="AQL91" s="242"/>
      <c r="AQM91" s="242"/>
      <c r="AQN91" s="242"/>
      <c r="AQO91" s="244"/>
      <c r="AQP91" s="242"/>
      <c r="AQQ91" s="242"/>
      <c r="AQR91" s="242"/>
      <c r="AQS91" s="242"/>
      <c r="AQT91" s="242"/>
      <c r="AQU91" s="245"/>
      <c r="AQV91" s="242"/>
      <c r="AQW91" s="242"/>
      <c r="AQX91" s="242"/>
      <c r="AQY91" s="242"/>
      <c r="AQZ91" s="242"/>
      <c r="ARA91" s="246"/>
      <c r="ARB91" s="241"/>
      <c r="ARC91" s="242"/>
      <c r="ARD91" s="242"/>
      <c r="ARE91" s="242"/>
      <c r="ARF91" s="242"/>
      <c r="ARG91" s="243"/>
      <c r="ARH91" s="242"/>
      <c r="ARI91" s="242"/>
      <c r="ARJ91" s="242"/>
      <c r="ARK91" s="242"/>
      <c r="ARL91" s="242"/>
      <c r="ARM91" s="244"/>
      <c r="ARN91" s="242"/>
      <c r="ARO91" s="242"/>
      <c r="ARP91" s="242"/>
      <c r="ARQ91" s="242"/>
      <c r="ARR91" s="242"/>
      <c r="ARS91" s="245"/>
      <c r="ART91" s="242"/>
      <c r="ARU91" s="242"/>
      <c r="ARV91" s="242"/>
      <c r="ARW91" s="242"/>
      <c r="ARX91" s="242"/>
      <c r="ARY91" s="244"/>
      <c r="ARZ91" s="242"/>
      <c r="ASA91" s="242"/>
      <c r="ASB91" s="242"/>
      <c r="ASC91" s="242"/>
      <c r="ASD91" s="242"/>
      <c r="ASE91" s="245"/>
      <c r="ASF91" s="242"/>
      <c r="ASG91" s="242"/>
      <c r="ASH91" s="242"/>
      <c r="ASI91" s="242"/>
      <c r="ASJ91" s="242"/>
      <c r="ASK91" s="244"/>
      <c r="ASL91" s="242"/>
      <c r="ASM91" s="242"/>
      <c r="ASN91" s="242"/>
      <c r="ASO91" s="242"/>
      <c r="ASP91" s="242"/>
      <c r="ASQ91" s="245"/>
      <c r="ASR91" s="242"/>
      <c r="ASS91" s="242"/>
      <c r="AST91" s="242"/>
      <c r="ASU91" s="242"/>
      <c r="ASV91" s="242"/>
      <c r="ASW91" s="244"/>
      <c r="ASX91" s="242"/>
      <c r="ASY91" s="242"/>
      <c r="ASZ91" s="242"/>
      <c r="ATA91" s="242"/>
      <c r="ATB91" s="242"/>
      <c r="ATC91" s="245"/>
      <c r="ATD91" s="242"/>
      <c r="ATE91" s="242"/>
      <c r="ATF91" s="242"/>
      <c r="ATG91" s="242"/>
      <c r="ATH91" s="242"/>
      <c r="ATI91" s="246"/>
      <c r="ATJ91" s="241"/>
      <c r="ATK91" s="242"/>
      <c r="ATL91" s="242"/>
      <c r="ATM91" s="242"/>
      <c r="ATN91" s="242"/>
      <c r="ATO91" s="243"/>
      <c r="ATP91" s="242"/>
      <c r="ATQ91" s="242"/>
      <c r="ATR91" s="242"/>
      <c r="ATS91" s="242"/>
      <c r="ATT91" s="242"/>
      <c r="ATU91" s="244"/>
      <c r="ATV91" s="242"/>
      <c r="ATW91" s="242"/>
      <c r="ATX91" s="242"/>
      <c r="ATY91" s="242"/>
      <c r="ATZ91" s="242"/>
      <c r="AUA91" s="245"/>
      <c r="AUB91" s="242"/>
      <c r="AUC91" s="242"/>
      <c r="AUD91" s="242"/>
      <c r="AUE91" s="242"/>
      <c r="AUF91" s="242"/>
      <c r="AUG91" s="244"/>
      <c r="AUH91" s="242"/>
      <c r="AUI91" s="242"/>
      <c r="AUJ91" s="242"/>
      <c r="AUK91" s="242"/>
      <c r="AUL91" s="242"/>
      <c r="AUM91" s="245"/>
      <c r="AUN91" s="242"/>
      <c r="AUO91" s="242"/>
      <c r="AUP91" s="242"/>
      <c r="AUQ91" s="242"/>
      <c r="AUR91" s="242"/>
      <c r="AUS91" s="244"/>
      <c r="AUT91" s="242"/>
      <c r="AUU91" s="242"/>
      <c r="AUV91" s="242"/>
      <c r="AUW91" s="242"/>
      <c r="AUX91" s="242"/>
      <c r="AUY91" s="245"/>
      <c r="AUZ91" s="242"/>
      <c r="AVA91" s="242"/>
      <c r="AVB91" s="242"/>
      <c r="AVC91" s="242"/>
      <c r="AVD91" s="242"/>
      <c r="AVE91" s="244"/>
      <c r="AVF91" s="242"/>
      <c r="AVG91" s="242"/>
      <c r="AVH91" s="242"/>
      <c r="AVI91" s="242"/>
      <c r="AVJ91" s="242"/>
      <c r="AVK91" s="245"/>
      <c r="AVL91" s="242"/>
      <c r="AVM91" s="242"/>
      <c r="AVN91" s="242"/>
      <c r="AVO91" s="242"/>
      <c r="AVP91" s="242"/>
      <c r="AVQ91" s="246"/>
      <c r="AVR91" s="241"/>
      <c r="AVS91" s="242"/>
      <c r="AVT91" s="242"/>
      <c r="AVU91" s="242"/>
      <c r="AVV91" s="242"/>
      <c r="AVW91" s="243"/>
      <c r="AVX91" s="242"/>
      <c r="AVY91" s="242"/>
      <c r="AVZ91" s="242"/>
      <c r="AWA91" s="242"/>
      <c r="AWB91" s="242"/>
      <c r="AWC91" s="244"/>
      <c r="AWD91" s="242"/>
      <c r="AWE91" s="242"/>
      <c r="AWF91" s="242"/>
      <c r="AWG91" s="242"/>
      <c r="AWH91" s="242"/>
      <c r="AWI91" s="245"/>
      <c r="AWJ91" s="242"/>
      <c r="AWK91" s="242"/>
      <c r="AWL91" s="242"/>
      <c r="AWM91" s="242"/>
      <c r="AWN91" s="242"/>
      <c r="AWO91" s="244"/>
      <c r="AWP91" s="242"/>
      <c r="AWQ91" s="242"/>
      <c r="AWR91" s="242"/>
      <c r="AWS91" s="242"/>
      <c r="AWT91" s="242"/>
      <c r="AWU91" s="245"/>
      <c r="AWV91" s="242"/>
      <c r="AWW91" s="242"/>
      <c r="AWX91" s="242"/>
      <c r="AWY91" s="242"/>
      <c r="AWZ91" s="242"/>
      <c r="AXA91" s="244"/>
      <c r="AXB91" s="242"/>
      <c r="AXC91" s="242"/>
      <c r="AXD91" s="242"/>
      <c r="AXE91" s="242"/>
      <c r="AXF91" s="242"/>
      <c r="AXG91" s="245"/>
      <c r="AXH91" s="242"/>
      <c r="AXI91" s="242"/>
      <c r="AXJ91" s="242"/>
      <c r="AXK91" s="242"/>
      <c r="AXL91" s="242"/>
      <c r="AXM91" s="244"/>
      <c r="AXN91" s="242"/>
      <c r="AXO91" s="242"/>
      <c r="AXP91" s="242"/>
      <c r="AXQ91" s="242"/>
      <c r="AXR91" s="242"/>
      <c r="AXS91" s="245"/>
      <c r="AXT91" s="242"/>
      <c r="AXU91" s="242"/>
      <c r="AXV91" s="242"/>
      <c r="AXW91" s="242"/>
      <c r="AXX91" s="242"/>
      <c r="AXY91" s="246"/>
      <c r="AXZ91" s="241"/>
      <c r="AYA91" s="242"/>
      <c r="AYB91" s="242"/>
      <c r="AYC91" s="242"/>
      <c r="AYD91" s="242"/>
      <c r="AYE91" s="243"/>
      <c r="AYF91" s="242"/>
      <c r="AYG91" s="242"/>
      <c r="AYH91" s="242"/>
      <c r="AYI91" s="242"/>
      <c r="AYJ91" s="242"/>
      <c r="AYK91" s="244"/>
      <c r="AYL91" s="242"/>
      <c r="AYM91" s="242"/>
      <c r="AYN91" s="242"/>
      <c r="AYO91" s="242"/>
      <c r="AYP91" s="242"/>
      <c r="AYQ91" s="245"/>
      <c r="AYR91" s="242"/>
      <c r="AYS91" s="242"/>
      <c r="AYT91" s="242"/>
      <c r="AYU91" s="242"/>
      <c r="AYV91" s="242"/>
      <c r="AYW91" s="244"/>
      <c r="AYX91" s="242"/>
      <c r="AYY91" s="242"/>
      <c r="AYZ91" s="242"/>
      <c r="AZA91" s="242"/>
      <c r="AZB91" s="242"/>
      <c r="AZC91" s="245"/>
      <c r="AZD91" s="242"/>
      <c r="AZE91" s="242"/>
      <c r="AZF91" s="242"/>
      <c r="AZG91" s="242"/>
      <c r="AZH91" s="242"/>
      <c r="AZI91" s="244"/>
      <c r="AZJ91" s="242"/>
      <c r="AZK91" s="242"/>
      <c r="AZL91" s="242"/>
      <c r="AZM91" s="242"/>
      <c r="AZN91" s="242"/>
      <c r="AZO91" s="245"/>
      <c r="AZP91" s="242"/>
      <c r="AZQ91" s="242"/>
      <c r="AZR91" s="242"/>
      <c r="AZS91" s="242"/>
      <c r="AZT91" s="242"/>
      <c r="AZU91" s="244"/>
      <c r="AZV91" s="242"/>
      <c r="AZW91" s="242"/>
      <c r="AZX91" s="242"/>
      <c r="AZY91" s="242"/>
      <c r="AZZ91" s="242"/>
      <c r="BAA91" s="245"/>
      <c r="BAB91" s="242"/>
      <c r="BAC91" s="242"/>
      <c r="BAD91" s="242"/>
      <c r="BAE91" s="242"/>
      <c r="BAF91" s="242"/>
      <c r="BAG91" s="246"/>
      <c r="BAH91" s="241"/>
      <c r="BAI91" s="242"/>
      <c r="BAJ91" s="242"/>
      <c r="BAK91" s="242"/>
      <c r="BAL91" s="242"/>
      <c r="BAM91" s="243"/>
      <c r="BAN91" s="242"/>
      <c r="BAO91" s="242"/>
      <c r="BAP91" s="242"/>
      <c r="BAQ91" s="242"/>
      <c r="BAR91" s="242"/>
      <c r="BAS91" s="244"/>
      <c r="BAT91" s="242"/>
      <c r="BAU91" s="242"/>
      <c r="BAV91" s="242"/>
      <c r="BAW91" s="242"/>
      <c r="BAX91" s="242"/>
      <c r="BAY91" s="245"/>
      <c r="BAZ91" s="242"/>
      <c r="BBA91" s="242"/>
      <c r="BBB91" s="242"/>
      <c r="BBC91" s="242"/>
      <c r="BBD91" s="242"/>
      <c r="BBE91" s="244"/>
      <c r="BBF91" s="242"/>
      <c r="BBG91" s="242"/>
      <c r="BBH91" s="242"/>
      <c r="BBI91" s="242"/>
      <c r="BBJ91" s="242"/>
      <c r="BBK91" s="245"/>
      <c r="BBL91" s="242"/>
      <c r="BBM91" s="242"/>
      <c r="BBN91" s="242"/>
      <c r="BBO91" s="242"/>
      <c r="BBP91" s="242"/>
      <c r="BBQ91" s="244"/>
      <c r="BBR91" s="242"/>
      <c r="BBS91" s="242"/>
      <c r="BBT91" s="242"/>
      <c r="BBU91" s="242"/>
      <c r="BBV91" s="242"/>
      <c r="BBW91" s="245"/>
      <c r="BBX91" s="242"/>
      <c r="BBY91" s="242"/>
      <c r="BBZ91" s="242"/>
      <c r="BCA91" s="242"/>
      <c r="BCB91" s="242"/>
      <c r="BCC91" s="244"/>
      <c r="BCD91" s="242"/>
      <c r="BCE91" s="242"/>
      <c r="BCF91" s="242"/>
      <c r="BCG91" s="242"/>
      <c r="BCH91" s="242"/>
      <c r="BCI91" s="245"/>
      <c r="BCJ91" s="242"/>
      <c r="BCK91" s="242"/>
      <c r="BCL91" s="242"/>
      <c r="BCM91" s="242"/>
      <c r="BCN91" s="242"/>
      <c r="BCO91" s="246"/>
      <c r="BCP91" s="241"/>
      <c r="BCQ91" s="242"/>
      <c r="BCR91" s="242"/>
      <c r="BCS91" s="242"/>
      <c r="BCT91" s="242"/>
      <c r="BCU91" s="243"/>
      <c r="BCV91" s="242"/>
      <c r="BCW91" s="242"/>
      <c r="BCX91" s="242"/>
      <c r="BCY91" s="242"/>
      <c r="BCZ91" s="242"/>
      <c r="BDA91" s="244"/>
      <c r="BDB91" s="242"/>
      <c r="BDC91" s="242"/>
      <c r="BDD91" s="242"/>
      <c r="BDE91" s="242"/>
      <c r="BDF91" s="242"/>
      <c r="BDG91" s="245"/>
      <c r="BDH91" s="242"/>
      <c r="BDI91" s="242"/>
      <c r="BDJ91" s="242"/>
      <c r="BDK91" s="242"/>
      <c r="BDL91" s="242"/>
      <c r="BDM91" s="244"/>
      <c r="BDN91" s="242"/>
      <c r="BDO91" s="242"/>
      <c r="BDP91" s="242"/>
      <c r="BDQ91" s="242"/>
      <c r="BDR91" s="242"/>
      <c r="BDS91" s="245"/>
      <c r="BDT91" s="242"/>
      <c r="BDU91" s="242"/>
      <c r="BDV91" s="242"/>
      <c r="BDW91" s="242"/>
      <c r="BDX91" s="242"/>
      <c r="BDY91" s="244"/>
      <c r="BDZ91" s="242"/>
      <c r="BEA91" s="242"/>
      <c r="BEB91" s="242"/>
      <c r="BEC91" s="242"/>
      <c r="BED91" s="242"/>
      <c r="BEE91" s="245"/>
      <c r="BEF91" s="242"/>
      <c r="BEG91" s="242"/>
      <c r="BEH91" s="242"/>
      <c r="BEI91" s="242"/>
      <c r="BEJ91" s="242"/>
      <c r="BEK91" s="244"/>
      <c r="BEL91" s="242"/>
      <c r="BEM91" s="242"/>
      <c r="BEN91" s="242"/>
      <c r="BEO91" s="242"/>
      <c r="BEP91" s="242"/>
      <c r="BEQ91" s="245"/>
      <c r="BER91" s="242"/>
      <c r="BES91" s="242"/>
      <c r="BET91" s="242"/>
      <c r="BEU91" s="242"/>
      <c r="BEV91" s="242"/>
      <c r="BEW91" s="246"/>
      <c r="BEX91" s="241"/>
      <c r="BEY91" s="242"/>
      <c r="BEZ91" s="242"/>
      <c r="BFA91" s="242"/>
      <c r="BFB91" s="242"/>
      <c r="BFC91" s="243"/>
      <c r="BFD91" s="242"/>
      <c r="BFE91" s="242"/>
      <c r="BFF91" s="242"/>
      <c r="BFG91" s="242"/>
      <c r="BFH91" s="242"/>
      <c r="BFI91" s="244"/>
      <c r="BFJ91" s="242"/>
      <c r="BFK91" s="242"/>
      <c r="BFL91" s="242"/>
      <c r="BFM91" s="242"/>
      <c r="BFN91" s="242"/>
      <c r="BFO91" s="245"/>
      <c r="BFP91" s="242"/>
      <c r="BFQ91" s="242"/>
      <c r="BFR91" s="242"/>
      <c r="BFS91" s="242"/>
      <c r="BFT91" s="242"/>
      <c r="BFU91" s="244"/>
      <c r="BFV91" s="242"/>
      <c r="BFW91" s="242"/>
      <c r="BFX91" s="242"/>
      <c r="BFY91" s="242"/>
      <c r="BFZ91" s="242"/>
      <c r="BGA91" s="245"/>
      <c r="BGB91" s="242"/>
      <c r="BGC91" s="242"/>
      <c r="BGD91" s="242"/>
      <c r="BGE91" s="242"/>
      <c r="BGF91" s="242"/>
      <c r="BGG91" s="244"/>
      <c r="BGH91" s="242"/>
      <c r="BGI91" s="242"/>
      <c r="BGJ91" s="242"/>
      <c r="BGK91" s="242"/>
      <c r="BGL91" s="242"/>
      <c r="BGM91" s="245"/>
      <c r="BGN91" s="242"/>
      <c r="BGO91" s="242"/>
      <c r="BGP91" s="242"/>
      <c r="BGQ91" s="242"/>
      <c r="BGR91" s="242"/>
      <c r="BGS91" s="244"/>
      <c r="BGT91" s="242"/>
      <c r="BGU91" s="242"/>
      <c r="BGV91" s="242"/>
      <c r="BGW91" s="242"/>
      <c r="BGX91" s="242"/>
      <c r="BGY91" s="245"/>
      <c r="BGZ91" s="242"/>
      <c r="BHA91" s="242"/>
      <c r="BHB91" s="242"/>
      <c r="BHC91" s="242"/>
      <c r="BHD91" s="242"/>
      <c r="BHE91" s="246"/>
      <c r="BHF91" s="241"/>
      <c r="BHG91" s="242"/>
      <c r="BHH91" s="242"/>
      <c r="BHI91" s="242"/>
      <c r="BHJ91" s="242"/>
      <c r="BHK91" s="243"/>
      <c r="BHL91" s="242"/>
      <c r="BHM91" s="242"/>
      <c r="BHN91" s="242"/>
      <c r="BHO91" s="242"/>
      <c r="BHP91" s="242"/>
      <c r="BHQ91" s="244"/>
      <c r="BHR91" s="242"/>
      <c r="BHS91" s="242"/>
      <c r="BHT91" s="242"/>
      <c r="BHU91" s="242"/>
      <c r="BHV91" s="242"/>
      <c r="BHW91" s="245"/>
      <c r="BHX91" s="242"/>
      <c r="BHY91" s="242"/>
      <c r="BHZ91" s="242"/>
      <c r="BIA91" s="242"/>
      <c r="BIB91" s="242"/>
      <c r="BIC91" s="244"/>
      <c r="BID91" s="242"/>
      <c r="BIE91" s="242"/>
      <c r="BIF91" s="242"/>
      <c r="BIG91" s="242"/>
      <c r="BIH91" s="242"/>
      <c r="BII91" s="245"/>
      <c r="BIJ91" s="242"/>
      <c r="BIK91" s="242"/>
      <c r="BIL91" s="242"/>
      <c r="BIM91" s="242"/>
      <c r="BIN91" s="242"/>
      <c r="BIO91" s="244"/>
      <c r="BIP91" s="242"/>
      <c r="BIQ91" s="242"/>
      <c r="BIR91" s="242"/>
      <c r="BIS91" s="242"/>
      <c r="BIT91" s="242"/>
      <c r="BIU91" s="245"/>
      <c r="BIV91" s="242"/>
      <c r="BIW91" s="242"/>
      <c r="BIX91" s="242"/>
      <c r="BIY91" s="242"/>
      <c r="BIZ91" s="242"/>
      <c r="BJA91" s="244"/>
      <c r="BJB91" s="242"/>
      <c r="BJC91" s="242"/>
      <c r="BJD91" s="242"/>
      <c r="BJE91" s="242"/>
      <c r="BJF91" s="242"/>
      <c r="BJG91" s="245"/>
      <c r="BJH91" s="242"/>
      <c r="BJI91" s="242"/>
      <c r="BJJ91" s="242"/>
      <c r="BJK91" s="242"/>
      <c r="BJL91" s="242"/>
      <c r="BJM91" s="246"/>
      <c r="BJN91" s="233"/>
      <c r="BJO91" s="234"/>
      <c r="BJP91" s="234"/>
      <c r="BJQ91" s="234"/>
      <c r="BJR91" s="234"/>
      <c r="BJS91" s="234"/>
      <c r="BJT91" s="234"/>
      <c r="BJU91" s="234"/>
      <c r="BJV91" s="234"/>
      <c r="BJW91" s="234"/>
      <c r="BJX91" s="234"/>
      <c r="BJY91" s="234"/>
      <c r="BJZ91" s="234"/>
      <c r="BKA91" s="234"/>
      <c r="BKB91" s="234"/>
      <c r="BKC91" s="234"/>
      <c r="BKD91" s="234"/>
      <c r="BKE91" s="234"/>
      <c r="BKF91" s="234"/>
      <c r="BKG91" s="234"/>
      <c r="BKH91" s="234"/>
      <c r="BKI91" s="234"/>
      <c r="BKJ91" s="234"/>
      <c r="BKK91" s="234"/>
      <c r="BKL91" s="234"/>
      <c r="BKM91" s="234"/>
      <c r="BKN91" s="234"/>
    </row>
    <row r="92" spans="1:1652" ht="20.100000000000001" customHeight="1" x14ac:dyDescent="0.3">
      <c r="A92" s="84" t="s">
        <v>20</v>
      </c>
      <c r="B92" s="53"/>
      <c r="C92" s="189"/>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174"/>
      <c r="BJO92" s="4"/>
      <c r="BJP92" s="4"/>
      <c r="BJQ92" s="4"/>
      <c r="BJR92" s="4"/>
      <c r="BJS92" s="4"/>
      <c r="BJT92" s="4"/>
      <c r="BJU92" s="4"/>
      <c r="BJV92" s="4"/>
      <c r="BJW92" s="4"/>
      <c r="BJX92" s="4"/>
      <c r="BJY92" s="4"/>
      <c r="BJZ92" s="4"/>
      <c r="BKA92" s="4"/>
      <c r="BKB92" s="4"/>
      <c r="BKC92" s="4"/>
      <c r="BKD92" s="4"/>
      <c r="BKE92" s="4"/>
      <c r="BKF92" s="4"/>
      <c r="BKG92" s="4"/>
      <c r="BKH92" s="4"/>
      <c r="BKI92" s="4"/>
      <c r="BKJ92" s="4"/>
      <c r="BKK92" s="4"/>
      <c r="BKL92" s="4"/>
      <c r="BKM92" s="4"/>
      <c r="BKN92" s="4"/>
    </row>
    <row r="93" spans="1:1652" ht="20.100000000000001" customHeight="1" x14ac:dyDescent="0.25">
      <c r="A93" s="84" t="s">
        <v>19</v>
      </c>
      <c r="B93" s="53"/>
      <c r="C93" s="177"/>
      <c r="D93" s="129" t="str">
        <f t="shared" si="1"/>
        <v>0h</v>
      </c>
      <c r="E93" s="34">
        <v>0</v>
      </c>
      <c r="F93" s="235"/>
      <c r="G93" s="236"/>
      <c r="H93" s="236"/>
      <c r="I93" s="236"/>
      <c r="J93" s="236"/>
      <c r="K93" s="237"/>
      <c r="L93" s="236"/>
      <c r="M93" s="236"/>
      <c r="N93" s="236"/>
      <c r="O93" s="236"/>
      <c r="P93" s="236"/>
      <c r="Q93" s="238"/>
      <c r="R93" s="236"/>
      <c r="S93" s="236"/>
      <c r="T93" s="236"/>
      <c r="U93" s="236"/>
      <c r="V93" s="236"/>
      <c r="W93" s="239"/>
      <c r="X93" s="236"/>
      <c r="Y93" s="236"/>
      <c r="Z93" s="236"/>
      <c r="AA93" s="236"/>
      <c r="AB93" s="236"/>
      <c r="AC93" s="238"/>
      <c r="AD93" s="236"/>
      <c r="AE93" s="236"/>
      <c r="AF93" s="236"/>
      <c r="AG93" s="236"/>
      <c r="AH93" s="236"/>
      <c r="AI93" s="239"/>
      <c r="AJ93" s="236"/>
      <c r="AK93" s="236"/>
      <c r="AL93" s="236"/>
      <c r="AM93" s="236"/>
      <c r="AN93" s="236"/>
      <c r="AO93" s="238"/>
      <c r="AP93" s="236"/>
      <c r="AQ93" s="236"/>
      <c r="AR93" s="236"/>
      <c r="AS93" s="236"/>
      <c r="AT93" s="236"/>
      <c r="AU93" s="239"/>
      <c r="AV93" s="236"/>
      <c r="AW93" s="236"/>
      <c r="AX93" s="236"/>
      <c r="AY93" s="236"/>
      <c r="AZ93" s="236"/>
      <c r="BA93" s="238"/>
      <c r="BB93" s="236"/>
      <c r="BC93" s="236"/>
      <c r="BD93" s="236"/>
      <c r="BE93" s="236"/>
      <c r="BF93" s="236"/>
      <c r="BG93" s="239"/>
      <c r="BH93" s="236"/>
      <c r="BI93" s="236"/>
      <c r="BJ93" s="236"/>
      <c r="BK93" s="236"/>
      <c r="BL93" s="236"/>
      <c r="BM93" s="240"/>
      <c r="BN93" s="235"/>
      <c r="BO93" s="236"/>
      <c r="BP93" s="236"/>
      <c r="BQ93" s="236"/>
      <c r="BR93" s="236"/>
      <c r="BS93" s="237"/>
      <c r="BT93" s="236"/>
      <c r="BU93" s="236"/>
      <c r="BV93" s="236"/>
      <c r="BW93" s="236"/>
      <c r="BX93" s="236"/>
      <c r="BY93" s="238"/>
      <c r="BZ93" s="236"/>
      <c r="CA93" s="236"/>
      <c r="CB93" s="236"/>
      <c r="CC93" s="236"/>
      <c r="CD93" s="236"/>
      <c r="CE93" s="239"/>
      <c r="CF93" s="236"/>
      <c r="CG93" s="236"/>
      <c r="CH93" s="236"/>
      <c r="CI93" s="236"/>
      <c r="CJ93" s="236"/>
      <c r="CK93" s="238"/>
      <c r="CL93" s="236"/>
      <c r="CM93" s="236"/>
      <c r="CN93" s="236"/>
      <c r="CO93" s="236"/>
      <c r="CP93" s="236"/>
      <c r="CQ93" s="239"/>
      <c r="CR93" s="236"/>
      <c r="CS93" s="236"/>
      <c r="CT93" s="236"/>
      <c r="CU93" s="236"/>
      <c r="CV93" s="236"/>
      <c r="CW93" s="238"/>
      <c r="CX93" s="236"/>
      <c r="CY93" s="236"/>
      <c r="CZ93" s="236"/>
      <c r="DA93" s="236"/>
      <c r="DB93" s="236"/>
      <c r="DC93" s="239"/>
      <c r="DD93" s="236"/>
      <c r="DE93" s="236"/>
      <c r="DF93" s="236"/>
      <c r="DG93" s="236"/>
      <c r="DH93" s="236"/>
      <c r="DI93" s="238"/>
      <c r="DJ93" s="236"/>
      <c r="DK93" s="236"/>
      <c r="DL93" s="236"/>
      <c r="DM93" s="236"/>
      <c r="DN93" s="236"/>
      <c r="DO93" s="239"/>
      <c r="DP93" s="236"/>
      <c r="DQ93" s="236"/>
      <c r="DR93" s="236"/>
      <c r="DS93" s="236"/>
      <c r="DT93" s="236"/>
      <c r="DU93" s="240"/>
      <c r="DV93" s="235"/>
      <c r="DW93" s="236"/>
      <c r="DX93" s="236"/>
      <c r="DY93" s="236"/>
      <c r="DZ93" s="236"/>
      <c r="EA93" s="237"/>
      <c r="EB93" s="236"/>
      <c r="EC93" s="236"/>
      <c r="ED93" s="236"/>
      <c r="EE93" s="236"/>
      <c r="EF93" s="236"/>
      <c r="EG93" s="238"/>
      <c r="EH93" s="236"/>
      <c r="EI93" s="236"/>
      <c r="EJ93" s="236"/>
      <c r="EK93" s="236"/>
      <c r="EL93" s="236"/>
      <c r="EM93" s="239"/>
      <c r="EN93" s="236"/>
      <c r="EO93" s="236"/>
      <c r="EP93" s="236"/>
      <c r="EQ93" s="236"/>
      <c r="ER93" s="236"/>
      <c r="ES93" s="238"/>
      <c r="ET93" s="236"/>
      <c r="EU93" s="236"/>
      <c r="EV93" s="236"/>
      <c r="EW93" s="236"/>
      <c r="EX93" s="236"/>
      <c r="EY93" s="239"/>
      <c r="EZ93" s="236"/>
      <c r="FA93" s="236"/>
      <c r="FB93" s="236"/>
      <c r="FC93" s="236"/>
      <c r="FD93" s="236"/>
      <c r="FE93" s="238"/>
      <c r="FF93" s="236"/>
      <c r="FG93" s="236"/>
      <c r="FH93" s="236"/>
      <c r="FI93" s="236"/>
      <c r="FJ93" s="236"/>
      <c r="FK93" s="239"/>
      <c r="FL93" s="236"/>
      <c r="FM93" s="236"/>
      <c r="FN93" s="236"/>
      <c r="FO93" s="236"/>
      <c r="FP93" s="236"/>
      <c r="FQ93" s="238"/>
      <c r="FR93" s="236"/>
      <c r="FS93" s="236"/>
      <c r="FT93" s="236"/>
      <c r="FU93" s="236"/>
      <c r="FV93" s="236"/>
      <c r="FW93" s="239"/>
      <c r="FX93" s="236"/>
      <c r="FY93" s="236"/>
      <c r="FZ93" s="236"/>
      <c r="GA93" s="236"/>
      <c r="GB93" s="236"/>
      <c r="GC93" s="240"/>
      <c r="GD93" s="235"/>
      <c r="GE93" s="236"/>
      <c r="GF93" s="236"/>
      <c r="GG93" s="236"/>
      <c r="GH93" s="236"/>
      <c r="GI93" s="237"/>
      <c r="GJ93" s="236"/>
      <c r="GK93" s="236"/>
      <c r="GL93" s="236"/>
      <c r="GM93" s="236"/>
      <c r="GN93" s="236"/>
      <c r="GO93" s="238"/>
      <c r="GP93" s="236"/>
      <c r="GQ93" s="236"/>
      <c r="GR93" s="236"/>
      <c r="GS93" s="236"/>
      <c r="GT93" s="236"/>
      <c r="GU93" s="239"/>
      <c r="GV93" s="236"/>
      <c r="GW93" s="236"/>
      <c r="GX93" s="236"/>
      <c r="GY93" s="236"/>
      <c r="GZ93" s="236"/>
      <c r="HA93" s="238"/>
      <c r="HB93" s="236"/>
      <c r="HC93" s="236"/>
      <c r="HD93" s="236"/>
      <c r="HE93" s="236"/>
      <c r="HF93" s="236"/>
      <c r="HG93" s="239"/>
      <c r="HH93" s="236"/>
      <c r="HI93" s="236"/>
      <c r="HJ93" s="236"/>
      <c r="HK93" s="236"/>
      <c r="HL93" s="236"/>
      <c r="HM93" s="238"/>
      <c r="HN93" s="236"/>
      <c r="HO93" s="236"/>
      <c r="HP93" s="236"/>
      <c r="HQ93" s="236"/>
      <c r="HR93" s="236"/>
      <c r="HS93" s="239"/>
      <c r="HT93" s="236"/>
      <c r="HU93" s="236"/>
      <c r="HV93" s="236"/>
      <c r="HW93" s="236"/>
      <c r="HX93" s="236"/>
      <c r="HY93" s="238"/>
      <c r="HZ93" s="236"/>
      <c r="IA93" s="236"/>
      <c r="IB93" s="236"/>
      <c r="IC93" s="236"/>
      <c r="ID93" s="236"/>
      <c r="IE93" s="239"/>
      <c r="IF93" s="236"/>
      <c r="IG93" s="236"/>
      <c r="IH93" s="236"/>
      <c r="II93" s="236"/>
      <c r="IJ93" s="236"/>
      <c r="IK93" s="240"/>
      <c r="IL93" s="235"/>
      <c r="IM93" s="236"/>
      <c r="IN93" s="236"/>
      <c r="IO93" s="236"/>
      <c r="IP93" s="236"/>
      <c r="IQ93" s="237"/>
      <c r="IR93" s="236"/>
      <c r="IS93" s="236"/>
      <c r="IT93" s="236"/>
      <c r="IU93" s="236"/>
      <c r="IV93" s="236"/>
      <c r="IW93" s="238"/>
      <c r="IX93" s="236"/>
      <c r="IY93" s="236"/>
      <c r="IZ93" s="236"/>
      <c r="JA93" s="236"/>
      <c r="JB93" s="236"/>
      <c r="JC93" s="239"/>
      <c r="JD93" s="236"/>
      <c r="JE93" s="236"/>
      <c r="JF93" s="236"/>
      <c r="JG93" s="236"/>
      <c r="JH93" s="236"/>
      <c r="JI93" s="238"/>
      <c r="JJ93" s="236"/>
      <c r="JK93" s="236"/>
      <c r="JL93" s="236"/>
      <c r="JM93" s="236"/>
      <c r="JN93" s="236"/>
      <c r="JO93" s="239"/>
      <c r="JP93" s="236"/>
      <c r="JQ93" s="236"/>
      <c r="JR93" s="236"/>
      <c r="JS93" s="236"/>
      <c r="JT93" s="236"/>
      <c r="JU93" s="238"/>
      <c r="JV93" s="236"/>
      <c r="JW93" s="236"/>
      <c r="JX93" s="236"/>
      <c r="JY93" s="236"/>
      <c r="JZ93" s="236"/>
      <c r="KA93" s="239"/>
      <c r="KB93" s="236"/>
      <c r="KC93" s="236"/>
      <c r="KD93" s="236"/>
      <c r="KE93" s="236"/>
      <c r="KF93" s="236"/>
      <c r="KG93" s="238"/>
      <c r="KH93" s="236"/>
      <c r="KI93" s="236"/>
      <c r="KJ93" s="236"/>
      <c r="KK93" s="236"/>
      <c r="KL93" s="236"/>
      <c r="KM93" s="239"/>
      <c r="KN93" s="236"/>
      <c r="KO93" s="236"/>
      <c r="KP93" s="236"/>
      <c r="KQ93" s="236"/>
      <c r="KR93" s="236"/>
      <c r="KS93" s="240"/>
      <c r="KT93" s="235"/>
      <c r="KU93" s="236"/>
      <c r="KV93" s="236"/>
      <c r="KW93" s="236"/>
      <c r="KX93" s="236"/>
      <c r="KY93" s="237"/>
      <c r="KZ93" s="236"/>
      <c r="LA93" s="236"/>
      <c r="LB93" s="236"/>
      <c r="LC93" s="236"/>
      <c r="LD93" s="236"/>
      <c r="LE93" s="238"/>
      <c r="LF93" s="236"/>
      <c r="LG93" s="236"/>
      <c r="LH93" s="236"/>
      <c r="LI93" s="236"/>
      <c r="LJ93" s="236"/>
      <c r="LK93" s="239"/>
      <c r="LL93" s="236"/>
      <c r="LM93" s="236"/>
      <c r="LN93" s="236"/>
      <c r="LO93" s="236"/>
      <c r="LP93" s="236"/>
      <c r="LQ93" s="238"/>
      <c r="LR93" s="236"/>
      <c r="LS93" s="236"/>
      <c r="LT93" s="236"/>
      <c r="LU93" s="236"/>
      <c r="LV93" s="236"/>
      <c r="LW93" s="239"/>
      <c r="LX93" s="236"/>
      <c r="LY93" s="236"/>
      <c r="LZ93" s="236"/>
      <c r="MA93" s="236"/>
      <c r="MB93" s="236"/>
      <c r="MC93" s="238"/>
      <c r="MD93" s="236"/>
      <c r="ME93" s="236"/>
      <c r="MF93" s="236"/>
      <c r="MG93" s="236"/>
      <c r="MH93" s="236"/>
      <c r="MI93" s="239"/>
      <c r="MJ93" s="236"/>
      <c r="MK93" s="236"/>
      <c r="ML93" s="236"/>
      <c r="MM93" s="236"/>
      <c r="MN93" s="236"/>
      <c r="MO93" s="238"/>
      <c r="MP93" s="236"/>
      <c r="MQ93" s="236"/>
      <c r="MR93" s="236"/>
      <c r="MS93" s="236"/>
      <c r="MT93" s="236"/>
      <c r="MU93" s="239"/>
      <c r="MV93" s="236"/>
      <c r="MW93" s="236"/>
      <c r="MX93" s="236"/>
      <c r="MY93" s="236"/>
      <c r="MZ93" s="236"/>
      <c r="NA93" s="240"/>
      <c r="NB93" s="235"/>
      <c r="NC93" s="236"/>
      <c r="ND93" s="236"/>
      <c r="NE93" s="236"/>
      <c r="NF93" s="236"/>
      <c r="NG93" s="237"/>
      <c r="NH93" s="236"/>
      <c r="NI93" s="236"/>
      <c r="NJ93" s="236"/>
      <c r="NK93" s="236"/>
      <c r="NL93" s="236"/>
      <c r="NM93" s="238"/>
      <c r="NN93" s="236"/>
      <c r="NO93" s="236"/>
      <c r="NP93" s="236"/>
      <c r="NQ93" s="236"/>
      <c r="NR93" s="236"/>
      <c r="NS93" s="239"/>
      <c r="NT93" s="236"/>
      <c r="NU93" s="236"/>
      <c r="NV93" s="236"/>
      <c r="NW93" s="236"/>
      <c r="NX93" s="236"/>
      <c r="NY93" s="238"/>
      <c r="NZ93" s="236"/>
      <c r="OA93" s="236"/>
      <c r="OB93" s="236"/>
      <c r="OC93" s="236"/>
      <c r="OD93" s="236"/>
      <c r="OE93" s="239"/>
      <c r="OF93" s="236"/>
      <c r="OG93" s="236"/>
      <c r="OH93" s="236"/>
      <c r="OI93" s="236"/>
      <c r="OJ93" s="236"/>
      <c r="OK93" s="238"/>
      <c r="OL93" s="236"/>
      <c r="OM93" s="236"/>
      <c r="ON93" s="236"/>
      <c r="OO93" s="236"/>
      <c r="OP93" s="236"/>
      <c r="OQ93" s="239"/>
      <c r="OR93" s="236"/>
      <c r="OS93" s="236"/>
      <c r="OT93" s="236"/>
      <c r="OU93" s="236"/>
      <c r="OV93" s="236"/>
      <c r="OW93" s="238"/>
      <c r="OX93" s="236"/>
      <c r="OY93" s="236"/>
      <c r="OZ93" s="236"/>
      <c r="PA93" s="236"/>
      <c r="PB93" s="236"/>
      <c r="PC93" s="239"/>
      <c r="PD93" s="236"/>
      <c r="PE93" s="236"/>
      <c r="PF93" s="236"/>
      <c r="PG93" s="236"/>
      <c r="PH93" s="236"/>
      <c r="PI93" s="240"/>
      <c r="PJ93" s="235"/>
      <c r="PK93" s="236"/>
      <c r="PL93" s="236"/>
      <c r="PM93" s="236"/>
      <c r="PN93" s="236"/>
      <c r="PO93" s="237"/>
      <c r="PP93" s="236"/>
      <c r="PQ93" s="236"/>
      <c r="PR93" s="236"/>
      <c r="PS93" s="236"/>
      <c r="PT93" s="236"/>
      <c r="PU93" s="238"/>
      <c r="PV93" s="236"/>
      <c r="PW93" s="236"/>
      <c r="PX93" s="236"/>
      <c r="PY93" s="236"/>
      <c r="PZ93" s="236"/>
      <c r="QA93" s="239"/>
      <c r="QB93" s="236"/>
      <c r="QC93" s="236"/>
      <c r="QD93" s="236"/>
      <c r="QE93" s="236"/>
      <c r="QF93" s="236"/>
      <c r="QG93" s="238"/>
      <c r="QH93" s="236"/>
      <c r="QI93" s="236"/>
      <c r="QJ93" s="236"/>
      <c r="QK93" s="236"/>
      <c r="QL93" s="236"/>
      <c r="QM93" s="239"/>
      <c r="QN93" s="236"/>
      <c r="QO93" s="236"/>
      <c r="QP93" s="236"/>
      <c r="QQ93" s="236"/>
      <c r="QR93" s="236"/>
      <c r="QS93" s="238"/>
      <c r="QT93" s="236"/>
      <c r="QU93" s="236"/>
      <c r="QV93" s="236"/>
      <c r="QW93" s="236"/>
      <c r="QX93" s="236"/>
      <c r="QY93" s="239"/>
      <c r="QZ93" s="236"/>
      <c r="RA93" s="236"/>
      <c r="RB93" s="236"/>
      <c r="RC93" s="236"/>
      <c r="RD93" s="236"/>
      <c r="RE93" s="238"/>
      <c r="RF93" s="236"/>
      <c r="RG93" s="236"/>
      <c r="RH93" s="236"/>
      <c r="RI93" s="236"/>
      <c r="RJ93" s="236"/>
      <c r="RK93" s="239"/>
      <c r="RL93" s="236"/>
      <c r="RM93" s="236"/>
      <c r="RN93" s="236"/>
      <c r="RO93" s="236"/>
      <c r="RP93" s="236"/>
      <c r="RQ93" s="240"/>
      <c r="RR93" s="235"/>
      <c r="RS93" s="236"/>
      <c r="RT93" s="236"/>
      <c r="RU93" s="236"/>
      <c r="RV93" s="236"/>
      <c r="RW93" s="237"/>
      <c r="RX93" s="236"/>
      <c r="RY93" s="236"/>
      <c r="RZ93" s="236"/>
      <c r="SA93" s="236"/>
      <c r="SB93" s="236"/>
      <c r="SC93" s="238"/>
      <c r="SD93" s="236"/>
      <c r="SE93" s="236"/>
      <c r="SF93" s="236"/>
      <c r="SG93" s="236"/>
      <c r="SH93" s="236"/>
      <c r="SI93" s="239"/>
      <c r="SJ93" s="236"/>
      <c r="SK93" s="236"/>
      <c r="SL93" s="236"/>
      <c r="SM93" s="236"/>
      <c r="SN93" s="236"/>
      <c r="SO93" s="238"/>
      <c r="SP93" s="236"/>
      <c r="SQ93" s="236"/>
      <c r="SR93" s="236"/>
      <c r="SS93" s="236"/>
      <c r="ST93" s="236"/>
      <c r="SU93" s="239"/>
      <c r="SV93" s="236"/>
      <c r="SW93" s="236"/>
      <c r="SX93" s="236"/>
      <c r="SY93" s="236"/>
      <c r="SZ93" s="236"/>
      <c r="TA93" s="238"/>
      <c r="TB93" s="236"/>
      <c r="TC93" s="236"/>
      <c r="TD93" s="236"/>
      <c r="TE93" s="236"/>
      <c r="TF93" s="236"/>
      <c r="TG93" s="239"/>
      <c r="TH93" s="236"/>
      <c r="TI93" s="236"/>
      <c r="TJ93" s="236"/>
      <c r="TK93" s="236"/>
      <c r="TL93" s="236"/>
      <c r="TM93" s="238"/>
      <c r="TN93" s="236"/>
      <c r="TO93" s="236"/>
      <c r="TP93" s="236"/>
      <c r="TQ93" s="236"/>
      <c r="TR93" s="236"/>
      <c r="TS93" s="239"/>
      <c r="TT93" s="236"/>
      <c r="TU93" s="236"/>
      <c r="TV93" s="236"/>
      <c r="TW93" s="236"/>
      <c r="TX93" s="236"/>
      <c r="TY93" s="240"/>
      <c r="TZ93" s="235"/>
      <c r="UA93" s="236"/>
      <c r="UB93" s="236"/>
      <c r="UC93" s="236"/>
      <c r="UD93" s="236"/>
      <c r="UE93" s="237"/>
      <c r="UF93" s="236"/>
      <c r="UG93" s="236"/>
      <c r="UH93" s="236"/>
      <c r="UI93" s="236"/>
      <c r="UJ93" s="236"/>
      <c r="UK93" s="238"/>
      <c r="UL93" s="236"/>
      <c r="UM93" s="236"/>
      <c r="UN93" s="236"/>
      <c r="UO93" s="236"/>
      <c r="UP93" s="236"/>
      <c r="UQ93" s="239"/>
      <c r="UR93" s="236"/>
      <c r="US93" s="236"/>
      <c r="UT93" s="236"/>
      <c r="UU93" s="236"/>
      <c r="UV93" s="236"/>
      <c r="UW93" s="238"/>
      <c r="UX93" s="236"/>
      <c r="UY93" s="236"/>
      <c r="UZ93" s="236"/>
      <c r="VA93" s="236"/>
      <c r="VB93" s="236"/>
      <c r="VC93" s="239"/>
      <c r="VD93" s="236"/>
      <c r="VE93" s="236"/>
      <c r="VF93" s="236"/>
      <c r="VG93" s="236"/>
      <c r="VH93" s="236"/>
      <c r="VI93" s="238"/>
      <c r="VJ93" s="236"/>
      <c r="VK93" s="236"/>
      <c r="VL93" s="236"/>
      <c r="VM93" s="236"/>
      <c r="VN93" s="236"/>
      <c r="VO93" s="239"/>
      <c r="VP93" s="236"/>
      <c r="VQ93" s="236"/>
      <c r="VR93" s="236"/>
      <c r="VS93" s="236"/>
      <c r="VT93" s="236"/>
      <c r="VU93" s="238"/>
      <c r="VV93" s="236"/>
      <c r="VW93" s="236"/>
      <c r="VX93" s="236"/>
      <c r="VY93" s="236"/>
      <c r="VZ93" s="236"/>
      <c r="WA93" s="239"/>
      <c r="WB93" s="236"/>
      <c r="WC93" s="236"/>
      <c r="WD93" s="236"/>
      <c r="WE93" s="236"/>
      <c r="WF93" s="236"/>
      <c r="WG93" s="240"/>
      <c r="WH93" s="235"/>
      <c r="WI93" s="236"/>
      <c r="WJ93" s="236"/>
      <c r="WK93" s="236"/>
      <c r="WL93" s="236"/>
      <c r="WM93" s="237"/>
      <c r="WN93" s="236"/>
      <c r="WO93" s="236"/>
      <c r="WP93" s="236"/>
      <c r="WQ93" s="236"/>
      <c r="WR93" s="236"/>
      <c r="WS93" s="238"/>
      <c r="WT93" s="236"/>
      <c r="WU93" s="236"/>
      <c r="WV93" s="236"/>
      <c r="WW93" s="236"/>
      <c r="WX93" s="236"/>
      <c r="WY93" s="239"/>
      <c r="WZ93" s="236"/>
      <c r="XA93" s="236"/>
      <c r="XB93" s="236"/>
      <c r="XC93" s="236"/>
      <c r="XD93" s="236"/>
      <c r="XE93" s="238"/>
      <c r="XF93" s="236"/>
      <c r="XG93" s="236"/>
      <c r="XH93" s="236"/>
      <c r="XI93" s="236"/>
      <c r="XJ93" s="236"/>
      <c r="XK93" s="239"/>
      <c r="XL93" s="236"/>
      <c r="XM93" s="236"/>
      <c r="XN93" s="236"/>
      <c r="XO93" s="236"/>
      <c r="XP93" s="236"/>
      <c r="XQ93" s="238"/>
      <c r="XR93" s="236"/>
      <c r="XS93" s="236"/>
      <c r="XT93" s="236"/>
      <c r="XU93" s="236"/>
      <c r="XV93" s="236"/>
      <c r="XW93" s="239"/>
      <c r="XX93" s="236"/>
      <c r="XY93" s="236"/>
      <c r="XZ93" s="236"/>
      <c r="YA93" s="236"/>
      <c r="YB93" s="236"/>
      <c r="YC93" s="238"/>
      <c r="YD93" s="236"/>
      <c r="YE93" s="236"/>
      <c r="YF93" s="236"/>
      <c r="YG93" s="236"/>
      <c r="YH93" s="236"/>
      <c r="YI93" s="239"/>
      <c r="YJ93" s="236"/>
      <c r="YK93" s="236"/>
      <c r="YL93" s="236"/>
      <c r="YM93" s="236"/>
      <c r="YN93" s="236"/>
      <c r="YO93" s="240"/>
      <c r="YP93" s="235"/>
      <c r="YQ93" s="236"/>
      <c r="YR93" s="236"/>
      <c r="YS93" s="236"/>
      <c r="YT93" s="236"/>
      <c r="YU93" s="237"/>
      <c r="YV93" s="236"/>
      <c r="YW93" s="236"/>
      <c r="YX93" s="236"/>
      <c r="YY93" s="236"/>
      <c r="YZ93" s="236"/>
      <c r="ZA93" s="238"/>
      <c r="ZB93" s="236"/>
      <c r="ZC93" s="236"/>
      <c r="ZD93" s="236"/>
      <c r="ZE93" s="236"/>
      <c r="ZF93" s="236"/>
      <c r="ZG93" s="239"/>
      <c r="ZH93" s="236"/>
      <c r="ZI93" s="236"/>
      <c r="ZJ93" s="236"/>
      <c r="ZK93" s="236"/>
      <c r="ZL93" s="236"/>
      <c r="ZM93" s="238"/>
      <c r="ZN93" s="236"/>
      <c r="ZO93" s="236"/>
      <c r="ZP93" s="236"/>
      <c r="ZQ93" s="236"/>
      <c r="ZR93" s="236"/>
      <c r="ZS93" s="239"/>
      <c r="ZT93" s="236"/>
      <c r="ZU93" s="236"/>
      <c r="ZV93" s="236"/>
      <c r="ZW93" s="236"/>
      <c r="ZX93" s="236"/>
      <c r="ZY93" s="238"/>
      <c r="ZZ93" s="236"/>
      <c r="AAA93" s="236"/>
      <c r="AAB93" s="236"/>
      <c r="AAC93" s="236"/>
      <c r="AAD93" s="236"/>
      <c r="AAE93" s="239"/>
      <c r="AAF93" s="236"/>
      <c r="AAG93" s="236"/>
      <c r="AAH93" s="236"/>
      <c r="AAI93" s="236"/>
      <c r="AAJ93" s="236"/>
      <c r="AAK93" s="238"/>
      <c r="AAL93" s="236"/>
      <c r="AAM93" s="236"/>
      <c r="AAN93" s="236"/>
      <c r="AAO93" s="236"/>
      <c r="AAP93" s="236"/>
      <c r="AAQ93" s="239"/>
      <c r="AAR93" s="236"/>
      <c r="AAS93" s="236"/>
      <c r="AAT93" s="236"/>
      <c r="AAU93" s="236"/>
      <c r="AAV93" s="236"/>
      <c r="AAW93" s="240"/>
      <c r="AAX93" s="235"/>
      <c r="AAY93" s="236"/>
      <c r="AAZ93" s="236"/>
      <c r="ABA93" s="236"/>
      <c r="ABB93" s="236"/>
      <c r="ABC93" s="237"/>
      <c r="ABD93" s="236"/>
      <c r="ABE93" s="236"/>
      <c r="ABF93" s="236"/>
      <c r="ABG93" s="236"/>
      <c r="ABH93" s="236"/>
      <c r="ABI93" s="238"/>
      <c r="ABJ93" s="236"/>
      <c r="ABK93" s="236"/>
      <c r="ABL93" s="236"/>
      <c r="ABM93" s="236"/>
      <c r="ABN93" s="236"/>
      <c r="ABO93" s="239"/>
      <c r="ABP93" s="236"/>
      <c r="ABQ93" s="236"/>
      <c r="ABR93" s="236"/>
      <c r="ABS93" s="236"/>
      <c r="ABT93" s="236"/>
      <c r="ABU93" s="238"/>
      <c r="ABV93" s="236"/>
      <c r="ABW93" s="236"/>
      <c r="ABX93" s="236"/>
      <c r="ABY93" s="236"/>
      <c r="ABZ93" s="236"/>
      <c r="ACA93" s="239"/>
      <c r="ACB93" s="236"/>
      <c r="ACC93" s="236"/>
      <c r="ACD93" s="236"/>
      <c r="ACE93" s="236"/>
      <c r="ACF93" s="236"/>
      <c r="ACG93" s="238"/>
      <c r="ACH93" s="236"/>
      <c r="ACI93" s="236"/>
      <c r="ACJ93" s="236"/>
      <c r="ACK93" s="236"/>
      <c r="ACL93" s="236"/>
      <c r="ACM93" s="239"/>
      <c r="ACN93" s="236"/>
      <c r="ACO93" s="236"/>
      <c r="ACP93" s="236"/>
      <c r="ACQ93" s="236"/>
      <c r="ACR93" s="236"/>
      <c r="ACS93" s="238"/>
      <c r="ACT93" s="236"/>
      <c r="ACU93" s="236"/>
      <c r="ACV93" s="236"/>
      <c r="ACW93" s="236"/>
      <c r="ACX93" s="236"/>
      <c r="ACY93" s="239"/>
      <c r="ACZ93" s="236"/>
      <c r="ADA93" s="236"/>
      <c r="ADB93" s="236"/>
      <c r="ADC93" s="236"/>
      <c r="ADD93" s="236"/>
      <c r="ADE93" s="240"/>
      <c r="ADF93" s="235"/>
      <c r="ADG93" s="236"/>
      <c r="ADH93" s="236"/>
      <c r="ADI93" s="236"/>
      <c r="ADJ93" s="236"/>
      <c r="ADK93" s="237"/>
      <c r="ADL93" s="236"/>
      <c r="ADM93" s="236"/>
      <c r="ADN93" s="236"/>
      <c r="ADO93" s="236"/>
      <c r="ADP93" s="236"/>
      <c r="ADQ93" s="238"/>
      <c r="ADR93" s="236"/>
      <c r="ADS93" s="236"/>
      <c r="ADT93" s="236"/>
      <c r="ADU93" s="236"/>
      <c r="ADV93" s="236"/>
      <c r="ADW93" s="239"/>
      <c r="ADX93" s="236"/>
      <c r="ADY93" s="236"/>
      <c r="ADZ93" s="236"/>
      <c r="AEA93" s="236"/>
      <c r="AEB93" s="236"/>
      <c r="AEC93" s="238"/>
      <c r="AED93" s="236"/>
      <c r="AEE93" s="236"/>
      <c r="AEF93" s="236"/>
      <c r="AEG93" s="236"/>
      <c r="AEH93" s="236"/>
      <c r="AEI93" s="239"/>
      <c r="AEJ93" s="236"/>
      <c r="AEK93" s="236"/>
      <c r="AEL93" s="236"/>
      <c r="AEM93" s="236"/>
      <c r="AEN93" s="236"/>
      <c r="AEO93" s="238"/>
      <c r="AEP93" s="236"/>
      <c r="AEQ93" s="236"/>
      <c r="AER93" s="236"/>
      <c r="AES93" s="236"/>
      <c r="AET93" s="236"/>
      <c r="AEU93" s="239"/>
      <c r="AEV93" s="236"/>
      <c r="AEW93" s="236"/>
      <c r="AEX93" s="236"/>
      <c r="AEY93" s="236"/>
      <c r="AEZ93" s="236"/>
      <c r="AFA93" s="238"/>
      <c r="AFB93" s="236"/>
      <c r="AFC93" s="236"/>
      <c r="AFD93" s="236"/>
      <c r="AFE93" s="236"/>
      <c r="AFF93" s="236"/>
      <c r="AFG93" s="239"/>
      <c r="AFH93" s="236"/>
      <c r="AFI93" s="236"/>
      <c r="AFJ93" s="236"/>
      <c r="AFK93" s="236"/>
      <c r="AFL93" s="236"/>
      <c r="AFM93" s="240"/>
      <c r="AFN93" s="235"/>
      <c r="AFO93" s="236"/>
      <c r="AFP93" s="236"/>
      <c r="AFQ93" s="236"/>
      <c r="AFR93" s="236"/>
      <c r="AFS93" s="237"/>
      <c r="AFT93" s="236"/>
      <c r="AFU93" s="236"/>
      <c r="AFV93" s="236"/>
      <c r="AFW93" s="236"/>
      <c r="AFX93" s="236"/>
      <c r="AFY93" s="238"/>
      <c r="AFZ93" s="236"/>
      <c r="AGA93" s="236"/>
      <c r="AGB93" s="236"/>
      <c r="AGC93" s="236"/>
      <c r="AGD93" s="236"/>
      <c r="AGE93" s="239"/>
      <c r="AGF93" s="236"/>
      <c r="AGG93" s="236"/>
      <c r="AGH93" s="236"/>
      <c r="AGI93" s="236"/>
      <c r="AGJ93" s="236"/>
      <c r="AGK93" s="238"/>
      <c r="AGL93" s="236"/>
      <c r="AGM93" s="236"/>
      <c r="AGN93" s="236"/>
      <c r="AGO93" s="236"/>
      <c r="AGP93" s="236"/>
      <c r="AGQ93" s="239"/>
      <c r="AGR93" s="236"/>
      <c r="AGS93" s="236"/>
      <c r="AGT93" s="236"/>
      <c r="AGU93" s="236"/>
      <c r="AGV93" s="236"/>
      <c r="AGW93" s="238"/>
      <c r="AGX93" s="236"/>
      <c r="AGY93" s="236"/>
      <c r="AGZ93" s="236"/>
      <c r="AHA93" s="236"/>
      <c r="AHB93" s="236"/>
      <c r="AHC93" s="239"/>
      <c r="AHD93" s="236"/>
      <c r="AHE93" s="236"/>
      <c r="AHF93" s="236"/>
      <c r="AHG93" s="236"/>
      <c r="AHH93" s="236"/>
      <c r="AHI93" s="238"/>
      <c r="AHJ93" s="236"/>
      <c r="AHK93" s="236"/>
      <c r="AHL93" s="236"/>
      <c r="AHM93" s="236"/>
      <c r="AHN93" s="236"/>
      <c r="AHO93" s="239"/>
      <c r="AHP93" s="236"/>
      <c r="AHQ93" s="236"/>
      <c r="AHR93" s="236"/>
      <c r="AHS93" s="236"/>
      <c r="AHT93" s="236"/>
      <c r="AHU93" s="240"/>
      <c r="AHV93" s="235"/>
      <c r="AHW93" s="236"/>
      <c r="AHX93" s="236"/>
      <c r="AHY93" s="236"/>
      <c r="AHZ93" s="236"/>
      <c r="AIA93" s="237"/>
      <c r="AIB93" s="236"/>
      <c r="AIC93" s="236"/>
      <c r="AID93" s="236"/>
      <c r="AIE93" s="236"/>
      <c r="AIF93" s="236"/>
      <c r="AIG93" s="238"/>
      <c r="AIH93" s="236"/>
      <c r="AII93" s="236"/>
      <c r="AIJ93" s="236"/>
      <c r="AIK93" s="236"/>
      <c r="AIL93" s="236"/>
      <c r="AIM93" s="239"/>
      <c r="AIN93" s="236"/>
      <c r="AIO93" s="236"/>
      <c r="AIP93" s="236"/>
      <c r="AIQ93" s="236"/>
      <c r="AIR93" s="236"/>
      <c r="AIS93" s="238"/>
      <c r="AIT93" s="236"/>
      <c r="AIU93" s="236"/>
      <c r="AIV93" s="236"/>
      <c r="AIW93" s="236"/>
      <c r="AIX93" s="236"/>
      <c r="AIY93" s="239"/>
      <c r="AIZ93" s="236"/>
      <c r="AJA93" s="236"/>
      <c r="AJB93" s="236"/>
      <c r="AJC93" s="236"/>
      <c r="AJD93" s="236"/>
      <c r="AJE93" s="238"/>
      <c r="AJF93" s="236"/>
      <c r="AJG93" s="236"/>
      <c r="AJH93" s="236"/>
      <c r="AJI93" s="236"/>
      <c r="AJJ93" s="236"/>
      <c r="AJK93" s="239"/>
      <c r="AJL93" s="236"/>
      <c r="AJM93" s="236"/>
      <c r="AJN93" s="236"/>
      <c r="AJO93" s="236"/>
      <c r="AJP93" s="236"/>
      <c r="AJQ93" s="238"/>
      <c r="AJR93" s="236"/>
      <c r="AJS93" s="236"/>
      <c r="AJT93" s="236"/>
      <c r="AJU93" s="236"/>
      <c r="AJV93" s="236"/>
      <c r="AJW93" s="239"/>
      <c r="AJX93" s="236"/>
      <c r="AJY93" s="236"/>
      <c r="AJZ93" s="236"/>
      <c r="AKA93" s="236"/>
      <c r="AKB93" s="236"/>
      <c r="AKC93" s="240"/>
      <c r="AKD93" s="235"/>
      <c r="AKE93" s="236"/>
      <c r="AKF93" s="236"/>
      <c r="AKG93" s="236"/>
      <c r="AKH93" s="236"/>
      <c r="AKI93" s="237"/>
      <c r="AKJ93" s="236"/>
      <c r="AKK93" s="236"/>
      <c r="AKL93" s="236"/>
      <c r="AKM93" s="236"/>
      <c r="AKN93" s="236"/>
      <c r="AKO93" s="238"/>
      <c r="AKP93" s="236"/>
      <c r="AKQ93" s="236"/>
      <c r="AKR93" s="236"/>
      <c r="AKS93" s="236"/>
      <c r="AKT93" s="236"/>
      <c r="AKU93" s="239"/>
      <c r="AKV93" s="236"/>
      <c r="AKW93" s="236"/>
      <c r="AKX93" s="236"/>
      <c r="AKY93" s="236"/>
      <c r="AKZ93" s="236"/>
      <c r="ALA93" s="238"/>
      <c r="ALB93" s="236"/>
      <c r="ALC93" s="236"/>
      <c r="ALD93" s="236"/>
      <c r="ALE93" s="236"/>
      <c r="ALF93" s="236"/>
      <c r="ALG93" s="239"/>
      <c r="ALH93" s="236"/>
      <c r="ALI93" s="236"/>
      <c r="ALJ93" s="236"/>
      <c r="ALK93" s="236"/>
      <c r="ALL93" s="236"/>
      <c r="ALM93" s="238"/>
      <c r="ALN93" s="236"/>
      <c r="ALO93" s="236"/>
      <c r="ALP93" s="236"/>
      <c r="ALQ93" s="236"/>
      <c r="ALR93" s="236"/>
      <c r="ALS93" s="239"/>
      <c r="ALT93" s="236"/>
      <c r="ALU93" s="236"/>
      <c r="ALV93" s="236"/>
      <c r="ALW93" s="236"/>
      <c r="ALX93" s="236"/>
      <c r="ALY93" s="238"/>
      <c r="ALZ93" s="236"/>
      <c r="AMA93" s="236"/>
      <c r="AMB93" s="236"/>
      <c r="AMC93" s="236"/>
      <c r="AMD93" s="236"/>
      <c r="AME93" s="239"/>
      <c r="AMF93" s="236"/>
      <c r="AMG93" s="236"/>
      <c r="AMH93" s="236"/>
      <c r="AMI93" s="236"/>
      <c r="AMJ93" s="236"/>
      <c r="AMK93" s="240"/>
      <c r="AML93" s="235"/>
      <c r="AMM93" s="236"/>
      <c r="AMN93" s="236"/>
      <c r="AMO93" s="236"/>
      <c r="AMP93" s="236"/>
      <c r="AMQ93" s="237"/>
      <c r="AMR93" s="236"/>
      <c r="AMS93" s="236"/>
      <c r="AMT93" s="236"/>
      <c r="AMU93" s="236"/>
      <c r="AMV93" s="236"/>
      <c r="AMW93" s="238"/>
      <c r="AMX93" s="236"/>
      <c r="AMY93" s="236"/>
      <c r="AMZ93" s="236"/>
      <c r="ANA93" s="236"/>
      <c r="ANB93" s="236"/>
      <c r="ANC93" s="239"/>
      <c r="AND93" s="236"/>
      <c r="ANE93" s="236"/>
      <c r="ANF93" s="236"/>
      <c r="ANG93" s="236"/>
      <c r="ANH93" s="236"/>
      <c r="ANI93" s="238"/>
      <c r="ANJ93" s="236"/>
      <c r="ANK93" s="236"/>
      <c r="ANL93" s="236"/>
      <c r="ANM93" s="236"/>
      <c r="ANN93" s="236"/>
      <c r="ANO93" s="239"/>
      <c r="ANP93" s="236"/>
      <c r="ANQ93" s="236"/>
      <c r="ANR93" s="236"/>
      <c r="ANS93" s="236"/>
      <c r="ANT93" s="236"/>
      <c r="ANU93" s="238"/>
      <c r="ANV93" s="236"/>
      <c r="ANW93" s="236"/>
      <c r="ANX93" s="236"/>
      <c r="ANY93" s="236"/>
      <c r="ANZ93" s="236"/>
      <c r="AOA93" s="239"/>
      <c r="AOB93" s="236"/>
      <c r="AOC93" s="236"/>
      <c r="AOD93" s="236"/>
      <c r="AOE93" s="236"/>
      <c r="AOF93" s="236"/>
      <c r="AOG93" s="238"/>
      <c r="AOH93" s="236"/>
      <c r="AOI93" s="236"/>
      <c r="AOJ93" s="236"/>
      <c r="AOK93" s="236"/>
      <c r="AOL93" s="236"/>
      <c r="AOM93" s="239"/>
      <c r="AON93" s="236"/>
      <c r="AOO93" s="236"/>
      <c r="AOP93" s="236"/>
      <c r="AOQ93" s="236"/>
      <c r="AOR93" s="236"/>
      <c r="AOS93" s="240"/>
      <c r="AOT93" s="235"/>
      <c r="AOU93" s="236"/>
      <c r="AOV93" s="236"/>
      <c r="AOW93" s="236"/>
      <c r="AOX93" s="236"/>
      <c r="AOY93" s="237"/>
      <c r="AOZ93" s="236"/>
      <c r="APA93" s="236"/>
      <c r="APB93" s="236"/>
      <c r="APC93" s="236"/>
      <c r="APD93" s="236"/>
      <c r="APE93" s="238"/>
      <c r="APF93" s="236"/>
      <c r="APG93" s="236"/>
      <c r="APH93" s="236"/>
      <c r="API93" s="236"/>
      <c r="APJ93" s="236"/>
      <c r="APK93" s="239"/>
      <c r="APL93" s="236"/>
      <c r="APM93" s="236"/>
      <c r="APN93" s="236"/>
      <c r="APO93" s="236"/>
      <c r="APP93" s="236"/>
      <c r="APQ93" s="238"/>
      <c r="APR93" s="236"/>
      <c r="APS93" s="236"/>
      <c r="APT93" s="236"/>
      <c r="APU93" s="236"/>
      <c r="APV93" s="236"/>
      <c r="APW93" s="239"/>
      <c r="APX93" s="236"/>
      <c r="APY93" s="236"/>
      <c r="APZ93" s="236"/>
      <c r="AQA93" s="236"/>
      <c r="AQB93" s="236"/>
      <c r="AQC93" s="238"/>
      <c r="AQD93" s="236"/>
      <c r="AQE93" s="236"/>
      <c r="AQF93" s="236"/>
      <c r="AQG93" s="236"/>
      <c r="AQH93" s="236"/>
      <c r="AQI93" s="239"/>
      <c r="AQJ93" s="236"/>
      <c r="AQK93" s="236"/>
      <c r="AQL93" s="236"/>
      <c r="AQM93" s="236"/>
      <c r="AQN93" s="236"/>
      <c r="AQO93" s="238"/>
      <c r="AQP93" s="236"/>
      <c r="AQQ93" s="236"/>
      <c r="AQR93" s="236"/>
      <c r="AQS93" s="236"/>
      <c r="AQT93" s="236"/>
      <c r="AQU93" s="239"/>
      <c r="AQV93" s="236"/>
      <c r="AQW93" s="236"/>
      <c r="AQX93" s="236"/>
      <c r="AQY93" s="236"/>
      <c r="AQZ93" s="236"/>
      <c r="ARA93" s="240"/>
      <c r="ARB93" s="235"/>
      <c r="ARC93" s="236"/>
      <c r="ARD93" s="236"/>
      <c r="ARE93" s="236"/>
      <c r="ARF93" s="236"/>
      <c r="ARG93" s="237"/>
      <c r="ARH93" s="236"/>
      <c r="ARI93" s="236"/>
      <c r="ARJ93" s="236"/>
      <c r="ARK93" s="236"/>
      <c r="ARL93" s="236"/>
      <c r="ARM93" s="238"/>
      <c r="ARN93" s="236"/>
      <c r="ARO93" s="236"/>
      <c r="ARP93" s="236"/>
      <c r="ARQ93" s="236"/>
      <c r="ARR93" s="236"/>
      <c r="ARS93" s="239"/>
      <c r="ART93" s="236"/>
      <c r="ARU93" s="236"/>
      <c r="ARV93" s="236"/>
      <c r="ARW93" s="236"/>
      <c r="ARX93" s="236"/>
      <c r="ARY93" s="238"/>
      <c r="ARZ93" s="236"/>
      <c r="ASA93" s="236"/>
      <c r="ASB93" s="236"/>
      <c r="ASC93" s="236"/>
      <c r="ASD93" s="236"/>
      <c r="ASE93" s="239"/>
      <c r="ASF93" s="236"/>
      <c r="ASG93" s="236"/>
      <c r="ASH93" s="236"/>
      <c r="ASI93" s="236"/>
      <c r="ASJ93" s="236"/>
      <c r="ASK93" s="238"/>
      <c r="ASL93" s="236"/>
      <c r="ASM93" s="236"/>
      <c r="ASN93" s="236"/>
      <c r="ASO93" s="236"/>
      <c r="ASP93" s="236"/>
      <c r="ASQ93" s="239"/>
      <c r="ASR93" s="236"/>
      <c r="ASS93" s="236"/>
      <c r="AST93" s="236"/>
      <c r="ASU93" s="236"/>
      <c r="ASV93" s="236"/>
      <c r="ASW93" s="238"/>
      <c r="ASX93" s="236"/>
      <c r="ASY93" s="236"/>
      <c r="ASZ93" s="236"/>
      <c r="ATA93" s="236"/>
      <c r="ATB93" s="236"/>
      <c r="ATC93" s="239"/>
      <c r="ATD93" s="236"/>
      <c r="ATE93" s="236"/>
      <c r="ATF93" s="236"/>
      <c r="ATG93" s="236"/>
      <c r="ATH93" s="236"/>
      <c r="ATI93" s="240"/>
      <c r="ATJ93" s="235"/>
      <c r="ATK93" s="236"/>
      <c r="ATL93" s="236"/>
      <c r="ATM93" s="236"/>
      <c r="ATN93" s="236"/>
      <c r="ATO93" s="237"/>
      <c r="ATP93" s="236"/>
      <c r="ATQ93" s="236"/>
      <c r="ATR93" s="236"/>
      <c r="ATS93" s="236"/>
      <c r="ATT93" s="236"/>
      <c r="ATU93" s="238"/>
      <c r="ATV93" s="236"/>
      <c r="ATW93" s="236"/>
      <c r="ATX93" s="236"/>
      <c r="ATY93" s="236"/>
      <c r="ATZ93" s="236"/>
      <c r="AUA93" s="239"/>
      <c r="AUB93" s="236"/>
      <c r="AUC93" s="236"/>
      <c r="AUD93" s="236"/>
      <c r="AUE93" s="236"/>
      <c r="AUF93" s="236"/>
      <c r="AUG93" s="238"/>
      <c r="AUH93" s="236"/>
      <c r="AUI93" s="236"/>
      <c r="AUJ93" s="236"/>
      <c r="AUK93" s="236"/>
      <c r="AUL93" s="236"/>
      <c r="AUM93" s="239"/>
      <c r="AUN93" s="236"/>
      <c r="AUO93" s="236"/>
      <c r="AUP93" s="236"/>
      <c r="AUQ93" s="236"/>
      <c r="AUR93" s="236"/>
      <c r="AUS93" s="238"/>
      <c r="AUT93" s="236"/>
      <c r="AUU93" s="236"/>
      <c r="AUV93" s="236"/>
      <c r="AUW93" s="236"/>
      <c r="AUX93" s="236"/>
      <c r="AUY93" s="239"/>
      <c r="AUZ93" s="236"/>
      <c r="AVA93" s="236"/>
      <c r="AVB93" s="236"/>
      <c r="AVC93" s="236"/>
      <c r="AVD93" s="236"/>
      <c r="AVE93" s="238"/>
      <c r="AVF93" s="236"/>
      <c r="AVG93" s="236"/>
      <c r="AVH93" s="236"/>
      <c r="AVI93" s="236"/>
      <c r="AVJ93" s="236"/>
      <c r="AVK93" s="239"/>
      <c r="AVL93" s="236"/>
      <c r="AVM93" s="236"/>
      <c r="AVN93" s="236"/>
      <c r="AVO93" s="236"/>
      <c r="AVP93" s="236"/>
      <c r="AVQ93" s="240"/>
      <c r="AVR93" s="235"/>
      <c r="AVS93" s="236"/>
      <c r="AVT93" s="236"/>
      <c r="AVU93" s="236"/>
      <c r="AVV93" s="236"/>
      <c r="AVW93" s="237"/>
      <c r="AVX93" s="236"/>
      <c r="AVY93" s="236"/>
      <c r="AVZ93" s="236"/>
      <c r="AWA93" s="236"/>
      <c r="AWB93" s="236"/>
      <c r="AWC93" s="238"/>
      <c r="AWD93" s="236"/>
      <c r="AWE93" s="236"/>
      <c r="AWF93" s="236"/>
      <c r="AWG93" s="236"/>
      <c r="AWH93" s="236"/>
      <c r="AWI93" s="239"/>
      <c r="AWJ93" s="236"/>
      <c r="AWK93" s="236"/>
      <c r="AWL93" s="236"/>
      <c r="AWM93" s="236"/>
      <c r="AWN93" s="236"/>
      <c r="AWO93" s="238"/>
      <c r="AWP93" s="236"/>
      <c r="AWQ93" s="236"/>
      <c r="AWR93" s="236"/>
      <c r="AWS93" s="236"/>
      <c r="AWT93" s="236"/>
      <c r="AWU93" s="239"/>
      <c r="AWV93" s="236"/>
      <c r="AWW93" s="236"/>
      <c r="AWX93" s="236"/>
      <c r="AWY93" s="236"/>
      <c r="AWZ93" s="236"/>
      <c r="AXA93" s="238"/>
      <c r="AXB93" s="236"/>
      <c r="AXC93" s="236"/>
      <c r="AXD93" s="236"/>
      <c r="AXE93" s="236"/>
      <c r="AXF93" s="236"/>
      <c r="AXG93" s="239"/>
      <c r="AXH93" s="236"/>
      <c r="AXI93" s="236"/>
      <c r="AXJ93" s="236"/>
      <c r="AXK93" s="236"/>
      <c r="AXL93" s="236"/>
      <c r="AXM93" s="238"/>
      <c r="AXN93" s="236"/>
      <c r="AXO93" s="236"/>
      <c r="AXP93" s="236"/>
      <c r="AXQ93" s="236"/>
      <c r="AXR93" s="236"/>
      <c r="AXS93" s="239"/>
      <c r="AXT93" s="236"/>
      <c r="AXU93" s="236"/>
      <c r="AXV93" s="236"/>
      <c r="AXW93" s="236"/>
      <c r="AXX93" s="236"/>
      <c r="AXY93" s="240"/>
      <c r="AXZ93" s="235"/>
      <c r="AYA93" s="236"/>
      <c r="AYB93" s="236"/>
      <c r="AYC93" s="236"/>
      <c r="AYD93" s="236"/>
      <c r="AYE93" s="237"/>
      <c r="AYF93" s="236"/>
      <c r="AYG93" s="236"/>
      <c r="AYH93" s="236"/>
      <c r="AYI93" s="236"/>
      <c r="AYJ93" s="236"/>
      <c r="AYK93" s="238"/>
      <c r="AYL93" s="236"/>
      <c r="AYM93" s="236"/>
      <c r="AYN93" s="236"/>
      <c r="AYO93" s="236"/>
      <c r="AYP93" s="236"/>
      <c r="AYQ93" s="239"/>
      <c r="AYR93" s="236"/>
      <c r="AYS93" s="236"/>
      <c r="AYT93" s="236"/>
      <c r="AYU93" s="236"/>
      <c r="AYV93" s="236"/>
      <c r="AYW93" s="238"/>
      <c r="AYX93" s="236"/>
      <c r="AYY93" s="236"/>
      <c r="AYZ93" s="236"/>
      <c r="AZA93" s="236"/>
      <c r="AZB93" s="236"/>
      <c r="AZC93" s="239"/>
      <c r="AZD93" s="236"/>
      <c r="AZE93" s="236"/>
      <c r="AZF93" s="236"/>
      <c r="AZG93" s="236"/>
      <c r="AZH93" s="236"/>
      <c r="AZI93" s="238"/>
      <c r="AZJ93" s="236"/>
      <c r="AZK93" s="236"/>
      <c r="AZL93" s="236"/>
      <c r="AZM93" s="236"/>
      <c r="AZN93" s="236"/>
      <c r="AZO93" s="239"/>
      <c r="AZP93" s="236"/>
      <c r="AZQ93" s="236"/>
      <c r="AZR93" s="236"/>
      <c r="AZS93" s="236"/>
      <c r="AZT93" s="236"/>
      <c r="AZU93" s="238"/>
      <c r="AZV93" s="236"/>
      <c r="AZW93" s="236"/>
      <c r="AZX93" s="236"/>
      <c r="AZY93" s="236"/>
      <c r="AZZ93" s="236"/>
      <c r="BAA93" s="239"/>
      <c r="BAB93" s="236"/>
      <c r="BAC93" s="236"/>
      <c r="BAD93" s="236"/>
      <c r="BAE93" s="236"/>
      <c r="BAF93" s="236"/>
      <c r="BAG93" s="240"/>
      <c r="BAH93" s="235"/>
      <c r="BAI93" s="236"/>
      <c r="BAJ93" s="236"/>
      <c r="BAK93" s="236"/>
      <c r="BAL93" s="236"/>
      <c r="BAM93" s="237"/>
      <c r="BAN93" s="236"/>
      <c r="BAO93" s="236"/>
      <c r="BAP93" s="236"/>
      <c r="BAQ93" s="236"/>
      <c r="BAR93" s="236"/>
      <c r="BAS93" s="238"/>
      <c r="BAT93" s="236"/>
      <c r="BAU93" s="236"/>
      <c r="BAV93" s="236"/>
      <c r="BAW93" s="236"/>
      <c r="BAX93" s="236"/>
      <c r="BAY93" s="239"/>
      <c r="BAZ93" s="236"/>
      <c r="BBA93" s="236"/>
      <c r="BBB93" s="236"/>
      <c r="BBC93" s="236"/>
      <c r="BBD93" s="236"/>
      <c r="BBE93" s="238"/>
      <c r="BBF93" s="236"/>
      <c r="BBG93" s="236"/>
      <c r="BBH93" s="236"/>
      <c r="BBI93" s="236"/>
      <c r="BBJ93" s="236"/>
      <c r="BBK93" s="239"/>
      <c r="BBL93" s="236"/>
      <c r="BBM93" s="236"/>
      <c r="BBN93" s="236"/>
      <c r="BBO93" s="236"/>
      <c r="BBP93" s="236"/>
      <c r="BBQ93" s="238"/>
      <c r="BBR93" s="236"/>
      <c r="BBS93" s="236"/>
      <c r="BBT93" s="236"/>
      <c r="BBU93" s="236"/>
      <c r="BBV93" s="236"/>
      <c r="BBW93" s="239"/>
      <c r="BBX93" s="236"/>
      <c r="BBY93" s="236"/>
      <c r="BBZ93" s="236"/>
      <c r="BCA93" s="236"/>
      <c r="BCB93" s="236"/>
      <c r="BCC93" s="238"/>
      <c r="BCD93" s="236"/>
      <c r="BCE93" s="236"/>
      <c r="BCF93" s="236"/>
      <c r="BCG93" s="236"/>
      <c r="BCH93" s="236"/>
      <c r="BCI93" s="239"/>
      <c r="BCJ93" s="236"/>
      <c r="BCK93" s="236"/>
      <c r="BCL93" s="236"/>
      <c r="BCM93" s="236"/>
      <c r="BCN93" s="236"/>
      <c r="BCO93" s="240"/>
      <c r="BCP93" s="235"/>
      <c r="BCQ93" s="236"/>
      <c r="BCR93" s="236"/>
      <c r="BCS93" s="236"/>
      <c r="BCT93" s="236"/>
      <c r="BCU93" s="237"/>
      <c r="BCV93" s="236"/>
      <c r="BCW93" s="236"/>
      <c r="BCX93" s="236"/>
      <c r="BCY93" s="236"/>
      <c r="BCZ93" s="236"/>
      <c r="BDA93" s="238"/>
      <c r="BDB93" s="236"/>
      <c r="BDC93" s="236"/>
      <c r="BDD93" s="236"/>
      <c r="BDE93" s="236"/>
      <c r="BDF93" s="236"/>
      <c r="BDG93" s="239"/>
      <c r="BDH93" s="236"/>
      <c r="BDI93" s="236"/>
      <c r="BDJ93" s="236"/>
      <c r="BDK93" s="236"/>
      <c r="BDL93" s="236"/>
      <c r="BDM93" s="238"/>
      <c r="BDN93" s="236"/>
      <c r="BDO93" s="236"/>
      <c r="BDP93" s="236"/>
      <c r="BDQ93" s="236"/>
      <c r="BDR93" s="236"/>
      <c r="BDS93" s="239"/>
      <c r="BDT93" s="236"/>
      <c r="BDU93" s="236"/>
      <c r="BDV93" s="236"/>
      <c r="BDW93" s="236"/>
      <c r="BDX93" s="236"/>
      <c r="BDY93" s="238"/>
      <c r="BDZ93" s="236"/>
      <c r="BEA93" s="236"/>
      <c r="BEB93" s="236"/>
      <c r="BEC93" s="236"/>
      <c r="BED93" s="236"/>
      <c r="BEE93" s="239"/>
      <c r="BEF93" s="236"/>
      <c r="BEG93" s="236"/>
      <c r="BEH93" s="236"/>
      <c r="BEI93" s="236"/>
      <c r="BEJ93" s="236"/>
      <c r="BEK93" s="238"/>
      <c r="BEL93" s="236"/>
      <c r="BEM93" s="236"/>
      <c r="BEN93" s="236"/>
      <c r="BEO93" s="236"/>
      <c r="BEP93" s="236"/>
      <c r="BEQ93" s="239"/>
      <c r="BER93" s="236"/>
      <c r="BES93" s="236"/>
      <c r="BET93" s="236"/>
      <c r="BEU93" s="236"/>
      <c r="BEV93" s="236"/>
      <c r="BEW93" s="240"/>
      <c r="BEX93" s="235"/>
      <c r="BEY93" s="236"/>
      <c r="BEZ93" s="236"/>
      <c r="BFA93" s="236"/>
      <c r="BFB93" s="236"/>
      <c r="BFC93" s="237"/>
      <c r="BFD93" s="236"/>
      <c r="BFE93" s="236"/>
      <c r="BFF93" s="236"/>
      <c r="BFG93" s="236"/>
      <c r="BFH93" s="236"/>
      <c r="BFI93" s="238"/>
      <c r="BFJ93" s="236"/>
      <c r="BFK93" s="236"/>
      <c r="BFL93" s="236"/>
      <c r="BFM93" s="236"/>
      <c r="BFN93" s="236"/>
      <c r="BFO93" s="239"/>
      <c r="BFP93" s="236"/>
      <c r="BFQ93" s="236"/>
      <c r="BFR93" s="236"/>
      <c r="BFS93" s="236"/>
      <c r="BFT93" s="236"/>
      <c r="BFU93" s="238"/>
      <c r="BFV93" s="236"/>
      <c r="BFW93" s="236"/>
      <c r="BFX93" s="236"/>
      <c r="BFY93" s="236"/>
      <c r="BFZ93" s="236"/>
      <c r="BGA93" s="239"/>
      <c r="BGB93" s="236"/>
      <c r="BGC93" s="236"/>
      <c r="BGD93" s="236"/>
      <c r="BGE93" s="236"/>
      <c r="BGF93" s="236"/>
      <c r="BGG93" s="238"/>
      <c r="BGH93" s="236"/>
      <c r="BGI93" s="236"/>
      <c r="BGJ93" s="236"/>
      <c r="BGK93" s="236"/>
      <c r="BGL93" s="236"/>
      <c r="BGM93" s="239"/>
      <c r="BGN93" s="236"/>
      <c r="BGO93" s="236"/>
      <c r="BGP93" s="236"/>
      <c r="BGQ93" s="236"/>
      <c r="BGR93" s="236"/>
      <c r="BGS93" s="238"/>
      <c r="BGT93" s="236"/>
      <c r="BGU93" s="236"/>
      <c r="BGV93" s="236"/>
      <c r="BGW93" s="236"/>
      <c r="BGX93" s="236"/>
      <c r="BGY93" s="239"/>
      <c r="BGZ93" s="236"/>
      <c r="BHA93" s="236"/>
      <c r="BHB93" s="236"/>
      <c r="BHC93" s="236"/>
      <c r="BHD93" s="236"/>
      <c r="BHE93" s="240"/>
      <c r="BHF93" s="235"/>
      <c r="BHG93" s="236"/>
      <c r="BHH93" s="236"/>
      <c r="BHI93" s="236"/>
      <c r="BHJ93" s="236"/>
      <c r="BHK93" s="237"/>
      <c r="BHL93" s="236"/>
      <c r="BHM93" s="236"/>
      <c r="BHN93" s="236"/>
      <c r="BHO93" s="236"/>
      <c r="BHP93" s="236"/>
      <c r="BHQ93" s="238"/>
      <c r="BHR93" s="236"/>
      <c r="BHS93" s="236"/>
      <c r="BHT93" s="236"/>
      <c r="BHU93" s="236"/>
      <c r="BHV93" s="236"/>
      <c r="BHW93" s="239"/>
      <c r="BHX93" s="236"/>
      <c r="BHY93" s="236"/>
      <c r="BHZ93" s="236"/>
      <c r="BIA93" s="236"/>
      <c r="BIB93" s="236"/>
      <c r="BIC93" s="238"/>
      <c r="BID93" s="236"/>
      <c r="BIE93" s="236"/>
      <c r="BIF93" s="236"/>
      <c r="BIG93" s="236"/>
      <c r="BIH93" s="236"/>
      <c r="BII93" s="239"/>
      <c r="BIJ93" s="236"/>
      <c r="BIK93" s="236"/>
      <c r="BIL93" s="236"/>
      <c r="BIM93" s="236"/>
      <c r="BIN93" s="236"/>
      <c r="BIO93" s="238"/>
      <c r="BIP93" s="236"/>
      <c r="BIQ93" s="236"/>
      <c r="BIR93" s="236"/>
      <c r="BIS93" s="236"/>
      <c r="BIT93" s="236"/>
      <c r="BIU93" s="239"/>
      <c r="BIV93" s="236"/>
      <c r="BIW93" s="236"/>
      <c r="BIX93" s="236"/>
      <c r="BIY93" s="236"/>
      <c r="BIZ93" s="236"/>
      <c r="BJA93" s="238"/>
      <c r="BJB93" s="236"/>
      <c r="BJC93" s="236"/>
      <c r="BJD93" s="236"/>
      <c r="BJE93" s="236"/>
      <c r="BJF93" s="236"/>
      <c r="BJG93" s="239"/>
      <c r="BJH93" s="236"/>
      <c r="BJI93" s="236"/>
      <c r="BJJ93" s="236"/>
      <c r="BJK93" s="236"/>
      <c r="BJL93" s="236"/>
      <c r="BJM93" s="240"/>
      <c r="BJN93" s="233"/>
      <c r="BJO93" s="234"/>
      <c r="BJP93" s="234"/>
      <c r="BJQ93" s="234"/>
      <c r="BJR93" s="234"/>
      <c r="BJS93" s="234"/>
      <c r="BJT93" s="234"/>
      <c r="BJU93" s="234"/>
      <c r="BJV93" s="234"/>
      <c r="BJW93" s="234"/>
      <c r="BJX93" s="234"/>
      <c r="BJY93" s="234"/>
      <c r="BJZ93" s="234"/>
      <c r="BKA93" s="234"/>
      <c r="BKB93" s="234"/>
      <c r="BKC93" s="234"/>
      <c r="BKD93" s="234"/>
      <c r="BKE93" s="234"/>
      <c r="BKF93" s="234"/>
      <c r="BKG93" s="234"/>
      <c r="BKH93" s="234"/>
      <c r="BKI93" s="234"/>
      <c r="BKJ93" s="234"/>
      <c r="BKK93" s="234"/>
      <c r="BKL93" s="234"/>
      <c r="BKM93" s="234"/>
      <c r="BKN93" s="234"/>
    </row>
    <row r="94" spans="1:1652" ht="20.100000000000001" customHeight="1" x14ac:dyDescent="0.25">
      <c r="A94" s="84" t="s">
        <v>20</v>
      </c>
      <c r="B94" s="53"/>
      <c r="C94" s="178"/>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174"/>
      <c r="BJO94" s="4"/>
      <c r="BJP94" s="4"/>
      <c r="BJQ94" s="4"/>
      <c r="BJR94" s="4"/>
      <c r="BJS94" s="4"/>
      <c r="BJT94" s="4"/>
      <c r="BJU94" s="4"/>
      <c r="BJV94" s="4"/>
      <c r="BJW94" s="4"/>
      <c r="BJX94" s="4"/>
      <c r="BJY94" s="4"/>
      <c r="BJZ94" s="4"/>
      <c r="BKA94" s="4"/>
      <c r="BKB94" s="4"/>
      <c r="BKC94" s="4"/>
      <c r="BKD94" s="4"/>
      <c r="BKE94" s="4"/>
      <c r="BKF94" s="4"/>
      <c r="BKG94" s="4"/>
      <c r="BKH94" s="4"/>
      <c r="BKI94" s="4"/>
      <c r="BKJ94" s="4"/>
      <c r="BKK94" s="4"/>
      <c r="BKL94" s="4"/>
      <c r="BKM94" s="4"/>
      <c r="BKN94" s="4"/>
    </row>
    <row r="95" spans="1:1652" ht="20.100000000000001" customHeight="1" x14ac:dyDescent="0.25">
      <c r="B95" s="53"/>
      <c r="C95" s="185" t="s">
        <v>9</v>
      </c>
      <c r="D95" s="186"/>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75"/>
    </row>
    <row r="96" spans="1:1652" ht="20.100000000000001" customHeight="1" thickBot="1" x14ac:dyDescent="0.3">
      <c r="B96" s="53"/>
      <c r="C96" s="187"/>
      <c r="D96" s="188"/>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75"/>
    </row>
    <row r="97" spans="2:1626" ht="20.100000000000001" customHeight="1" x14ac:dyDescent="0.25">
      <c r="B97" s="53"/>
      <c r="C97" s="179" t="s">
        <v>10</v>
      </c>
      <c r="D97" s="180"/>
      <c r="E97" s="102">
        <f>SUM(E16,E18,E20,E22,E24,E26,E28,E30,E32,E34,E36,E38,E40,E42,E44,E46,E48,E50,E52,E54,E56,E58,E60,E62,E64,E66,E68,E70,E72,E74,E76,E78,E80,E82,E84,E86,E88,E90,E92,E94)</f>
        <v>1092</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108"/>
    </row>
    <row r="98" spans="2:1626" ht="20.100000000000001" customHeight="1" thickBot="1" x14ac:dyDescent="0.3">
      <c r="B98" s="53"/>
      <c r="C98" s="181"/>
      <c r="D98" s="182"/>
      <c r="E98" s="106" t="str">
        <f xml:space="preserve"> setValueToTime(E97)</f>
        <v>91h</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75"/>
    </row>
    <row r="99" spans="2:16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6"/>
    </row>
  </sheetData>
  <sheetProtection insertRows="0" insertHyperlinks="0" selectLockedCells="1"/>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8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abSelected="1" zoomScale="115" zoomScaleNormal="115" zoomScaleSheetLayoutView="98" workbookViewId="0">
      <pane ySplit="1" topLeftCell="A2" activePane="bottomLeft" state="frozen"/>
      <selection activeCell="BC13" sqref="BC13"/>
      <selection pane="bottomLeft" activeCell="D9" sqref="D9"/>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32.710937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11</v>
      </c>
      <c r="B2" s="146">
        <v>28</v>
      </c>
      <c r="C2" s="146"/>
      <c r="D2" s="67" t="s">
        <v>14</v>
      </c>
      <c r="E2" s="79">
        <v>45445</v>
      </c>
      <c r="F2" s="110"/>
      <c r="G2" s="39"/>
    </row>
    <row r="3" spans="1:7" s="40" customFormat="1" ht="30" customHeight="1" thickBot="1" x14ac:dyDescent="0.3">
      <c r="A3" s="65" t="s">
        <v>5</v>
      </c>
      <c r="B3" s="133" t="s">
        <v>40</v>
      </c>
      <c r="C3" s="134"/>
      <c r="D3" s="65" t="s">
        <v>12</v>
      </c>
      <c r="E3" s="211" t="s">
        <v>13</v>
      </c>
      <c r="F3" s="212"/>
      <c r="G3" s="39"/>
    </row>
    <row r="4" spans="1:7" s="44" customFormat="1" x14ac:dyDescent="0.3">
      <c r="A4" s="41"/>
      <c r="B4" s="42"/>
      <c r="C4" s="135" t="str">
        <f xml:space="preserve"> IF(B4="","",setValueToTime(B4))</f>
        <v/>
      </c>
      <c r="D4" s="43"/>
      <c r="E4" s="213"/>
      <c r="F4" s="214"/>
      <c r="G4" s="3"/>
    </row>
    <row r="5" spans="1:7" s="44" customFormat="1" x14ac:dyDescent="0.3">
      <c r="A5" s="45"/>
      <c r="B5" s="46"/>
      <c r="C5" s="136" t="str">
        <f t="shared" ref="C5:C11" si="0" xml:space="preserve"> IF(B5="","",setValueToTime(B5))</f>
        <v/>
      </c>
      <c r="D5" s="47"/>
      <c r="E5" s="215"/>
      <c r="F5" s="216"/>
      <c r="G5" s="3"/>
    </row>
    <row r="6" spans="1:7" s="44" customFormat="1" x14ac:dyDescent="0.3">
      <c r="A6" s="45"/>
      <c r="B6" s="46"/>
      <c r="C6" s="136" t="str">
        <f t="shared" si="0"/>
        <v/>
      </c>
      <c r="D6" s="47"/>
      <c r="E6" s="215"/>
      <c r="F6" s="216"/>
      <c r="G6" s="3"/>
    </row>
    <row r="7" spans="1:7" s="44" customFormat="1" x14ac:dyDescent="0.3">
      <c r="A7" s="45"/>
      <c r="B7" s="46"/>
      <c r="C7" s="136" t="str">
        <f t="shared" si="0"/>
        <v/>
      </c>
      <c r="D7" s="47"/>
      <c r="E7" s="215"/>
      <c r="F7" s="216"/>
      <c r="G7" s="3"/>
    </row>
    <row r="8" spans="1:7" s="44" customFormat="1" x14ac:dyDescent="0.3">
      <c r="A8" s="46"/>
      <c r="B8" s="46"/>
      <c r="C8" s="137" t="str">
        <f t="shared" si="0"/>
        <v/>
      </c>
      <c r="D8" s="47"/>
      <c r="E8" s="215"/>
      <c r="F8" s="216"/>
      <c r="G8" s="3"/>
    </row>
    <row r="9" spans="1:7" s="44" customFormat="1" x14ac:dyDescent="0.3">
      <c r="A9" s="46"/>
      <c r="B9" s="46"/>
      <c r="C9" s="137" t="str">
        <f t="shared" si="0"/>
        <v/>
      </c>
      <c r="D9" s="47"/>
      <c r="E9" s="215"/>
      <c r="F9" s="216"/>
      <c r="G9" s="3"/>
    </row>
    <row r="10" spans="1:7" s="44" customFormat="1" x14ac:dyDescent="0.3">
      <c r="A10" s="46"/>
      <c r="B10" s="46"/>
      <c r="C10" s="137" t="str">
        <f t="shared" si="0"/>
        <v/>
      </c>
      <c r="D10" s="47"/>
      <c r="E10" s="215"/>
      <c r="F10" s="216"/>
      <c r="G10" s="3"/>
    </row>
    <row r="11" spans="1:7" s="44" customFormat="1" ht="15" thickBot="1" x14ac:dyDescent="0.35">
      <c r="A11" s="48"/>
      <c r="B11" s="48"/>
      <c r="C11" s="138" t="str">
        <f t="shared" si="0"/>
        <v/>
      </c>
      <c r="D11" s="49"/>
      <c r="E11" s="217"/>
      <c r="F11" s="218"/>
      <c r="G11" s="3"/>
    </row>
    <row r="12" spans="1:7" s="44" customFormat="1" ht="15" thickBot="1" x14ac:dyDescent="0.35">
      <c r="A12" s="95" t="s">
        <v>28</v>
      </c>
      <c r="B12" s="69">
        <f>SUM(B4:B11)</f>
        <v>0</v>
      </c>
      <c r="C12" s="95" t="str">
        <f xml:space="preserve"> setValueToTime(B12)</f>
        <v>0h</v>
      </c>
      <c r="D12" s="104"/>
      <c r="E12" s="209"/>
      <c r="F12" s="210"/>
      <c r="G12" s="3"/>
    </row>
    <row r="13" spans="1:7" s="44" customFormat="1" ht="15" thickBot="1" x14ac:dyDescent="0.35">
      <c r="A13" s="64"/>
      <c r="B13" s="64"/>
      <c r="C13" s="64"/>
      <c r="D13" s="64"/>
      <c r="E13" s="64"/>
      <c r="F13" s="64"/>
      <c r="G13" s="3"/>
    </row>
    <row r="14" spans="1:7" s="40" customFormat="1" ht="30" customHeight="1" thickBot="1" x14ac:dyDescent="0.3">
      <c r="A14" s="66" t="s">
        <v>11</v>
      </c>
      <c r="B14" s="146">
        <v>27</v>
      </c>
      <c r="C14" s="146"/>
      <c r="D14" s="67" t="s">
        <v>14</v>
      </c>
      <c r="E14" s="79">
        <v>45446</v>
      </c>
      <c r="F14" s="110" t="s">
        <v>42</v>
      </c>
      <c r="G14" s="39"/>
    </row>
    <row r="15" spans="1:7" s="40" customFormat="1" ht="30" customHeight="1" thickBot="1" x14ac:dyDescent="0.3">
      <c r="A15" s="65" t="s">
        <v>5</v>
      </c>
      <c r="B15" s="133" t="s">
        <v>40</v>
      </c>
      <c r="C15" s="134"/>
      <c r="D15" s="65" t="s">
        <v>12</v>
      </c>
      <c r="E15" s="211" t="s">
        <v>13</v>
      </c>
      <c r="F15" s="212"/>
      <c r="G15" s="39"/>
    </row>
    <row r="16" spans="1:7" s="44" customFormat="1" x14ac:dyDescent="0.3">
      <c r="A16" s="41"/>
      <c r="B16" s="42"/>
      <c r="C16" s="135" t="str">
        <f xml:space="preserve"> IF(B16="","",setValueToTime(B16))</f>
        <v/>
      </c>
      <c r="D16" s="43"/>
      <c r="E16" s="213"/>
      <c r="F16" s="214"/>
      <c r="G16" s="3"/>
    </row>
    <row r="17" spans="1:7" s="44" customFormat="1" x14ac:dyDescent="0.3">
      <c r="A17" s="45" t="s">
        <v>15</v>
      </c>
      <c r="B17" s="46">
        <v>26</v>
      </c>
      <c r="C17" s="136" t="str">
        <f t="shared" ref="C17:C23" si="1" xml:space="preserve"> IF(B17="","",setValueToTime(B17))</f>
        <v>2h10min</v>
      </c>
      <c r="D17" s="47" t="s">
        <v>97</v>
      </c>
      <c r="E17" s="215"/>
      <c r="F17" s="216"/>
      <c r="G17" s="3"/>
    </row>
    <row r="18" spans="1:7" s="44" customFormat="1" x14ac:dyDescent="0.3">
      <c r="A18" s="45" t="s">
        <v>16</v>
      </c>
      <c r="B18" s="46">
        <v>2</v>
      </c>
      <c r="C18" s="136" t="str">
        <f t="shared" si="1"/>
        <v>0h10min</v>
      </c>
      <c r="D18" s="47" t="s">
        <v>92</v>
      </c>
      <c r="E18" s="215"/>
      <c r="F18" s="216"/>
      <c r="G18" s="3"/>
    </row>
    <row r="19" spans="1:7" s="44" customFormat="1" x14ac:dyDescent="0.3">
      <c r="A19" s="45"/>
      <c r="B19" s="46"/>
      <c r="C19" s="136" t="str">
        <f t="shared" si="1"/>
        <v/>
      </c>
      <c r="D19" s="47"/>
      <c r="E19" s="215"/>
      <c r="F19" s="216"/>
      <c r="G19" s="3"/>
    </row>
    <row r="20" spans="1:7" s="44" customFormat="1" x14ac:dyDescent="0.3">
      <c r="A20" s="46"/>
      <c r="B20" s="46"/>
      <c r="C20" s="137" t="str">
        <f t="shared" si="1"/>
        <v/>
      </c>
      <c r="D20" s="47"/>
      <c r="E20" s="215"/>
      <c r="F20" s="216"/>
      <c r="G20" s="3"/>
    </row>
    <row r="21" spans="1:7" s="44" customFormat="1" x14ac:dyDescent="0.3">
      <c r="A21" s="46"/>
      <c r="B21" s="46"/>
      <c r="C21" s="137" t="str">
        <f t="shared" si="1"/>
        <v/>
      </c>
      <c r="D21" s="47"/>
      <c r="E21" s="215"/>
      <c r="F21" s="216"/>
      <c r="G21" s="3"/>
    </row>
    <row r="22" spans="1:7" s="44" customFormat="1" x14ac:dyDescent="0.3">
      <c r="A22" s="46"/>
      <c r="B22" s="46"/>
      <c r="C22" s="137" t="str">
        <f t="shared" si="1"/>
        <v/>
      </c>
      <c r="D22" s="47"/>
      <c r="E22" s="215"/>
      <c r="F22" s="216"/>
      <c r="G22" s="3"/>
    </row>
    <row r="23" spans="1:7" s="44" customFormat="1" ht="15" thickBot="1" x14ac:dyDescent="0.35">
      <c r="A23" s="48"/>
      <c r="B23" s="48"/>
      <c r="C23" s="138" t="str">
        <f t="shared" si="1"/>
        <v/>
      </c>
      <c r="D23" s="49"/>
      <c r="E23" s="217"/>
      <c r="F23" s="218"/>
      <c r="G23" s="3"/>
    </row>
    <row r="24" spans="1:7" s="44" customFormat="1" ht="15" thickBot="1" x14ac:dyDescent="0.35">
      <c r="A24" s="95" t="s">
        <v>28</v>
      </c>
      <c r="B24" s="69">
        <f>SUM(B16:B23)</f>
        <v>28</v>
      </c>
      <c r="C24" s="95" t="str">
        <f xml:space="preserve"> setValueToTime(B24)</f>
        <v>2h20min</v>
      </c>
      <c r="D24" s="104"/>
      <c r="E24" s="209"/>
      <c r="F24" s="210"/>
      <c r="G24" s="3"/>
    </row>
    <row r="25" spans="1:7" s="44" customFormat="1" ht="15" thickBot="1" x14ac:dyDescent="0.35">
      <c r="A25" s="64"/>
      <c r="B25" s="64"/>
      <c r="C25" s="64"/>
      <c r="D25" s="64"/>
      <c r="E25" s="64"/>
      <c r="F25" s="64"/>
      <c r="G25" s="3"/>
    </row>
    <row r="26" spans="1:7" s="40" customFormat="1" ht="30" customHeight="1" thickBot="1" x14ac:dyDescent="0.3">
      <c r="A26" s="66" t="s">
        <v>11</v>
      </c>
      <c r="B26" s="146">
        <v>26</v>
      </c>
      <c r="C26" s="146"/>
      <c r="D26" s="67" t="s">
        <v>14</v>
      </c>
      <c r="E26" s="79">
        <v>45446</v>
      </c>
      <c r="F26" s="110" t="s">
        <v>41</v>
      </c>
      <c r="G26" s="39"/>
    </row>
    <row r="27" spans="1:7" s="40" customFormat="1" ht="30" customHeight="1" thickBot="1" x14ac:dyDescent="0.3">
      <c r="A27" s="65" t="s">
        <v>5</v>
      </c>
      <c r="B27" s="133" t="s">
        <v>40</v>
      </c>
      <c r="C27" s="134"/>
      <c r="D27" s="65" t="s">
        <v>12</v>
      </c>
      <c r="E27" s="211" t="s">
        <v>13</v>
      </c>
      <c r="F27" s="212"/>
      <c r="G27" s="39"/>
    </row>
    <row r="28" spans="1:7" s="44" customFormat="1" x14ac:dyDescent="0.3">
      <c r="A28" s="41"/>
      <c r="B28" s="42"/>
      <c r="C28" s="135" t="str">
        <f xml:space="preserve"> IF(B28="","",setValueToTime(B28))</f>
        <v/>
      </c>
      <c r="D28" s="43"/>
      <c r="E28" s="213"/>
      <c r="F28" s="214"/>
      <c r="G28" s="3"/>
    </row>
    <row r="29" spans="1:7" s="44" customFormat="1" x14ac:dyDescent="0.3">
      <c r="A29" s="45" t="s">
        <v>82</v>
      </c>
      <c r="B29" s="46">
        <v>12</v>
      </c>
      <c r="C29" s="136" t="str">
        <f t="shared" ref="C29:C35" si="2" xml:space="preserve"> IF(B29="","",setValueToTime(B29))</f>
        <v>1h</v>
      </c>
      <c r="D29" s="158" t="s">
        <v>138</v>
      </c>
      <c r="E29" s="215"/>
      <c r="F29" s="216"/>
      <c r="G29" s="3"/>
    </row>
    <row r="30" spans="1:7" s="44" customFormat="1" x14ac:dyDescent="0.3">
      <c r="A30" s="45" t="s">
        <v>15</v>
      </c>
      <c r="B30" s="46">
        <v>34</v>
      </c>
      <c r="C30" s="136" t="str">
        <f t="shared" si="2"/>
        <v>2h50min</v>
      </c>
      <c r="D30" s="47" t="s">
        <v>96</v>
      </c>
      <c r="E30" s="215"/>
      <c r="F30" s="216"/>
      <c r="G30" s="3"/>
    </row>
    <row r="31" spans="1:7" s="44" customFormat="1" x14ac:dyDescent="0.3">
      <c r="A31" s="45" t="s">
        <v>16</v>
      </c>
      <c r="B31" s="46">
        <v>2</v>
      </c>
      <c r="C31" s="136" t="str">
        <f t="shared" si="2"/>
        <v>0h10min</v>
      </c>
      <c r="D31" s="47" t="s">
        <v>92</v>
      </c>
      <c r="E31" s="215"/>
      <c r="F31" s="216"/>
      <c r="G31" s="3"/>
    </row>
    <row r="32" spans="1:7" s="44" customFormat="1" x14ac:dyDescent="0.3">
      <c r="A32" s="46"/>
      <c r="B32" s="46"/>
      <c r="C32" s="137" t="str">
        <f t="shared" si="2"/>
        <v/>
      </c>
      <c r="D32" s="47"/>
      <c r="E32" s="215"/>
      <c r="F32" s="216"/>
      <c r="G32" s="3"/>
    </row>
    <row r="33" spans="1:7" s="44" customFormat="1" x14ac:dyDescent="0.3">
      <c r="A33" s="46"/>
      <c r="B33" s="46"/>
      <c r="C33" s="137" t="str">
        <f t="shared" si="2"/>
        <v/>
      </c>
      <c r="D33" s="47"/>
      <c r="E33" s="215"/>
      <c r="F33" s="216"/>
      <c r="G33" s="3"/>
    </row>
    <row r="34" spans="1:7" s="44" customFormat="1" x14ac:dyDescent="0.3">
      <c r="A34" s="46"/>
      <c r="B34" s="46"/>
      <c r="C34" s="137" t="str">
        <f t="shared" si="2"/>
        <v/>
      </c>
      <c r="D34" s="47"/>
      <c r="E34" s="215"/>
      <c r="F34" s="216"/>
      <c r="G34" s="3"/>
    </row>
    <row r="35" spans="1:7" s="44" customFormat="1" ht="15" thickBot="1" x14ac:dyDescent="0.35">
      <c r="A35" s="48"/>
      <c r="B35" s="48"/>
      <c r="C35" s="138" t="str">
        <f t="shared" si="2"/>
        <v/>
      </c>
      <c r="D35" s="49"/>
      <c r="E35" s="217"/>
      <c r="F35" s="218"/>
      <c r="G35" s="3"/>
    </row>
    <row r="36" spans="1:7" s="44" customFormat="1" ht="15" thickBot="1" x14ac:dyDescent="0.35">
      <c r="A36" s="95" t="s">
        <v>28</v>
      </c>
      <c r="B36" s="69">
        <f>SUM(B28:B35)</f>
        <v>48</v>
      </c>
      <c r="C36" s="95" t="str">
        <f xml:space="preserve"> setValueToTime(B36)</f>
        <v>4h</v>
      </c>
      <c r="D36" s="104"/>
      <c r="E36" s="209"/>
      <c r="F36" s="210"/>
      <c r="G36" s="3"/>
    </row>
    <row r="37" spans="1:7" s="44" customFormat="1" ht="15" thickBot="1" x14ac:dyDescent="0.35">
      <c r="A37" s="64"/>
      <c r="B37" s="64"/>
      <c r="C37" s="64"/>
      <c r="D37" s="64"/>
      <c r="E37" s="64"/>
      <c r="F37" s="64"/>
      <c r="G37" s="3"/>
    </row>
    <row r="38" spans="1:7" s="40" customFormat="1" ht="30" customHeight="1" thickBot="1" x14ac:dyDescent="0.3">
      <c r="A38" s="66" t="s">
        <v>11</v>
      </c>
      <c r="B38" s="146">
        <v>25</v>
      </c>
      <c r="C38" s="146"/>
      <c r="D38" s="67" t="s">
        <v>14</v>
      </c>
      <c r="E38" s="79">
        <v>45443</v>
      </c>
      <c r="F38" s="110" t="s">
        <v>42</v>
      </c>
      <c r="G38" s="39"/>
    </row>
    <row r="39" spans="1:7" s="40" customFormat="1" ht="30" customHeight="1" thickBot="1" x14ac:dyDescent="0.3">
      <c r="A39" s="65" t="s">
        <v>5</v>
      </c>
      <c r="B39" s="133" t="s">
        <v>40</v>
      </c>
      <c r="C39" s="134"/>
      <c r="D39" s="65" t="s">
        <v>12</v>
      </c>
      <c r="E39" s="211" t="s">
        <v>13</v>
      </c>
      <c r="F39" s="212"/>
      <c r="G39" s="39"/>
    </row>
    <row r="40" spans="1:7" s="44" customFormat="1" x14ac:dyDescent="0.3">
      <c r="A40" s="41"/>
      <c r="B40" s="42"/>
      <c r="C40" s="135" t="str">
        <f xml:space="preserve"> IF(B40="","",setValueToTime(B40))</f>
        <v/>
      </c>
      <c r="D40" s="43"/>
      <c r="E40" s="213"/>
      <c r="F40" s="214"/>
      <c r="G40" s="3"/>
    </row>
    <row r="41" spans="1:7" s="44" customFormat="1" x14ac:dyDescent="0.3">
      <c r="A41" s="45" t="s">
        <v>15</v>
      </c>
      <c r="B41" s="46">
        <v>36</v>
      </c>
      <c r="C41" s="136" t="str">
        <f t="shared" ref="C41:C47" si="3" xml:space="preserve"> IF(B41="","",setValueToTime(B41))</f>
        <v>3h</v>
      </c>
      <c r="D41" s="47" t="s">
        <v>77</v>
      </c>
      <c r="E41" s="215"/>
      <c r="F41" s="216"/>
      <c r="G41" s="3"/>
    </row>
    <row r="42" spans="1:7" s="44" customFormat="1" x14ac:dyDescent="0.3">
      <c r="A42" s="45" t="s">
        <v>16</v>
      </c>
      <c r="B42" s="46">
        <v>2</v>
      </c>
      <c r="C42" s="136" t="str">
        <f t="shared" si="3"/>
        <v>0h10min</v>
      </c>
      <c r="D42" s="47" t="s">
        <v>92</v>
      </c>
      <c r="E42" s="215"/>
      <c r="F42" s="216"/>
      <c r="G42" s="3"/>
    </row>
    <row r="43" spans="1:7" s="44" customFormat="1" x14ac:dyDescent="0.3">
      <c r="A43" s="45"/>
      <c r="B43" s="46"/>
      <c r="C43" s="136" t="str">
        <f t="shared" si="3"/>
        <v/>
      </c>
      <c r="D43" s="47"/>
      <c r="E43" s="215"/>
      <c r="F43" s="216"/>
      <c r="G43" s="3"/>
    </row>
    <row r="44" spans="1:7" s="44" customFormat="1" x14ac:dyDescent="0.3">
      <c r="A44" s="46"/>
      <c r="B44" s="46"/>
      <c r="C44" s="137" t="str">
        <f t="shared" si="3"/>
        <v/>
      </c>
      <c r="D44" s="47"/>
      <c r="E44" s="215"/>
      <c r="F44" s="216"/>
      <c r="G44" s="3"/>
    </row>
    <row r="45" spans="1:7" s="44" customFormat="1" x14ac:dyDescent="0.3">
      <c r="A45" s="46"/>
      <c r="B45" s="46"/>
      <c r="C45" s="137" t="str">
        <f t="shared" si="3"/>
        <v/>
      </c>
      <c r="D45" s="47"/>
      <c r="E45" s="215"/>
      <c r="F45" s="216"/>
      <c r="G45" s="3"/>
    </row>
    <row r="46" spans="1:7" s="44" customFormat="1" x14ac:dyDescent="0.3">
      <c r="A46" s="46"/>
      <c r="B46" s="46"/>
      <c r="C46" s="137" t="str">
        <f t="shared" si="3"/>
        <v/>
      </c>
      <c r="D46" s="47"/>
      <c r="E46" s="215"/>
      <c r="F46" s="216"/>
      <c r="G46" s="3"/>
    </row>
    <row r="47" spans="1:7" s="44" customFormat="1" ht="15" thickBot="1" x14ac:dyDescent="0.35">
      <c r="A47" s="48"/>
      <c r="B47" s="48"/>
      <c r="C47" s="138" t="str">
        <f t="shared" si="3"/>
        <v/>
      </c>
      <c r="D47" s="49"/>
      <c r="E47" s="217"/>
      <c r="F47" s="218"/>
      <c r="G47" s="3"/>
    </row>
    <row r="48" spans="1:7" s="44" customFormat="1" ht="15" thickBot="1" x14ac:dyDescent="0.35">
      <c r="A48" s="95" t="s">
        <v>28</v>
      </c>
      <c r="B48" s="69">
        <f>SUM(B40:B47)</f>
        <v>38</v>
      </c>
      <c r="C48" s="95" t="str">
        <f xml:space="preserve"> setValueToTime(B48)</f>
        <v>3h10min</v>
      </c>
      <c r="D48" s="104"/>
      <c r="E48" s="209"/>
      <c r="F48" s="210"/>
      <c r="G48" s="3"/>
    </row>
    <row r="49" spans="1:7" s="44" customFormat="1" ht="15" thickBot="1" x14ac:dyDescent="0.35">
      <c r="A49" s="64"/>
      <c r="B49" s="64"/>
      <c r="C49" s="64"/>
      <c r="D49" s="64"/>
      <c r="E49" s="64"/>
      <c r="F49" s="64"/>
      <c r="G49" s="3"/>
    </row>
    <row r="50" spans="1:7" s="40" customFormat="1" ht="30" customHeight="1" thickBot="1" x14ac:dyDescent="0.3">
      <c r="A50" s="66" t="s">
        <v>11</v>
      </c>
      <c r="B50" s="146">
        <v>24</v>
      </c>
      <c r="C50" s="146"/>
      <c r="D50" s="67" t="s">
        <v>14</v>
      </c>
      <c r="E50" s="79">
        <v>45443</v>
      </c>
      <c r="F50" s="110" t="s">
        <v>41</v>
      </c>
      <c r="G50" s="39"/>
    </row>
    <row r="51" spans="1:7" s="40" customFormat="1" ht="30" customHeight="1" thickBot="1" x14ac:dyDescent="0.3">
      <c r="A51" s="65" t="s">
        <v>5</v>
      </c>
      <c r="B51" s="133" t="s">
        <v>40</v>
      </c>
      <c r="C51" s="134"/>
      <c r="D51" s="65" t="s">
        <v>12</v>
      </c>
      <c r="E51" s="211" t="s">
        <v>13</v>
      </c>
      <c r="F51" s="212"/>
      <c r="G51" s="39"/>
    </row>
    <row r="52" spans="1:7" s="44" customFormat="1" x14ac:dyDescent="0.3">
      <c r="A52" s="41"/>
      <c r="B52" s="42"/>
      <c r="C52" s="135" t="str">
        <f xml:space="preserve"> IF(B52="","",setValueToTime(B52))</f>
        <v/>
      </c>
      <c r="D52" s="43"/>
      <c r="E52" s="213"/>
      <c r="F52" s="214"/>
      <c r="G52" s="3"/>
    </row>
    <row r="53" spans="1:7" s="44" customFormat="1" x14ac:dyDescent="0.3">
      <c r="A53" s="45" t="s">
        <v>15</v>
      </c>
      <c r="B53" s="46">
        <v>46</v>
      </c>
      <c r="C53" s="136" t="str">
        <f t="shared" ref="C53:C59" si="4" xml:space="preserve"> IF(B53="","",setValueToTime(B53))</f>
        <v>3h50min</v>
      </c>
      <c r="D53" s="47" t="s">
        <v>77</v>
      </c>
      <c r="E53" s="215"/>
      <c r="F53" s="216"/>
      <c r="G53" s="3"/>
    </row>
    <row r="54" spans="1:7" s="44" customFormat="1" x14ac:dyDescent="0.3">
      <c r="A54" s="45" t="s">
        <v>16</v>
      </c>
      <c r="B54" s="46">
        <v>2</v>
      </c>
      <c r="C54" s="136" t="str">
        <f t="shared" si="4"/>
        <v>0h10min</v>
      </c>
      <c r="D54" s="47" t="s">
        <v>92</v>
      </c>
      <c r="E54" s="215"/>
      <c r="F54" s="216"/>
      <c r="G54" s="3"/>
    </row>
    <row r="55" spans="1:7" s="44" customFormat="1" x14ac:dyDescent="0.3">
      <c r="A55" s="45"/>
      <c r="B55" s="46"/>
      <c r="C55" s="136" t="str">
        <f t="shared" si="4"/>
        <v/>
      </c>
      <c r="D55" s="47"/>
      <c r="E55" s="215"/>
      <c r="F55" s="216"/>
      <c r="G55" s="3"/>
    </row>
    <row r="56" spans="1:7" s="44" customFormat="1" x14ac:dyDescent="0.3">
      <c r="A56" s="46"/>
      <c r="B56" s="46"/>
      <c r="C56" s="137" t="str">
        <f t="shared" si="4"/>
        <v/>
      </c>
      <c r="D56" s="47"/>
      <c r="E56" s="215"/>
      <c r="F56" s="216"/>
      <c r="G56" s="3"/>
    </row>
    <row r="57" spans="1:7" s="44" customFormat="1" x14ac:dyDescent="0.3">
      <c r="A57" s="46"/>
      <c r="B57" s="46"/>
      <c r="C57" s="137" t="str">
        <f t="shared" si="4"/>
        <v/>
      </c>
      <c r="D57" s="47"/>
      <c r="E57" s="215"/>
      <c r="F57" s="216"/>
      <c r="G57" s="3"/>
    </row>
    <row r="58" spans="1:7" s="44" customFormat="1" x14ac:dyDescent="0.3">
      <c r="A58" s="46"/>
      <c r="B58" s="46"/>
      <c r="C58" s="137" t="str">
        <f t="shared" si="4"/>
        <v/>
      </c>
      <c r="D58" s="47"/>
      <c r="E58" s="215"/>
      <c r="F58" s="216"/>
      <c r="G58" s="3"/>
    </row>
    <row r="59" spans="1:7" s="44" customFormat="1" ht="15" thickBot="1" x14ac:dyDescent="0.35">
      <c r="A59" s="48"/>
      <c r="B59" s="48"/>
      <c r="C59" s="138" t="str">
        <f t="shared" si="4"/>
        <v/>
      </c>
      <c r="D59" s="49"/>
      <c r="E59" s="217"/>
      <c r="F59" s="218"/>
      <c r="G59" s="3"/>
    </row>
    <row r="60" spans="1:7" s="44" customFormat="1" ht="15" thickBot="1" x14ac:dyDescent="0.35">
      <c r="A60" s="95" t="s">
        <v>28</v>
      </c>
      <c r="B60" s="69">
        <f>SUM(B52:B59)</f>
        <v>48</v>
      </c>
      <c r="C60" s="95" t="str">
        <f xml:space="preserve"> setValueToTime(B60)</f>
        <v>4h</v>
      </c>
      <c r="D60" s="104"/>
      <c r="E60" s="209"/>
      <c r="F60" s="210"/>
      <c r="G60" s="3"/>
    </row>
    <row r="61" spans="1:7" s="44" customFormat="1" ht="15" thickBot="1" x14ac:dyDescent="0.35">
      <c r="A61" s="64"/>
      <c r="B61" s="64"/>
      <c r="C61" s="64"/>
      <c r="D61" s="64"/>
      <c r="E61" s="64"/>
      <c r="F61" s="64"/>
      <c r="G61" s="3"/>
    </row>
    <row r="62" spans="1:7" s="40" customFormat="1" ht="30" customHeight="1" thickBot="1" x14ac:dyDescent="0.3">
      <c r="A62" s="66" t="s">
        <v>11</v>
      </c>
      <c r="B62" s="146">
        <v>23</v>
      </c>
      <c r="C62" s="146"/>
      <c r="D62" s="67" t="s">
        <v>14</v>
      </c>
      <c r="E62" s="79">
        <v>45442</v>
      </c>
      <c r="F62" s="110" t="s">
        <v>42</v>
      </c>
      <c r="G62" s="39"/>
    </row>
    <row r="63" spans="1:7" s="40" customFormat="1" ht="30" customHeight="1" thickBot="1" x14ac:dyDescent="0.3">
      <c r="A63" s="65" t="s">
        <v>5</v>
      </c>
      <c r="B63" s="133" t="s">
        <v>40</v>
      </c>
      <c r="C63" s="134"/>
      <c r="D63" s="65" t="s">
        <v>12</v>
      </c>
      <c r="E63" s="211" t="s">
        <v>13</v>
      </c>
      <c r="F63" s="212"/>
      <c r="G63" s="39"/>
    </row>
    <row r="64" spans="1:7" s="44" customFormat="1" x14ac:dyDescent="0.3">
      <c r="A64" s="41"/>
      <c r="B64" s="42"/>
      <c r="C64" s="135" t="str">
        <f xml:space="preserve"> IF(B64="","",setValueToTime(B64))</f>
        <v/>
      </c>
      <c r="D64" s="43"/>
      <c r="E64" s="213"/>
      <c r="F64" s="214"/>
      <c r="G64" s="3"/>
    </row>
    <row r="65" spans="1:7" s="44" customFormat="1" x14ac:dyDescent="0.3">
      <c r="A65" s="45" t="s">
        <v>15</v>
      </c>
      <c r="B65" s="46">
        <v>36</v>
      </c>
      <c r="C65" s="136" t="str">
        <f t="shared" ref="C65:C71" si="5" xml:space="preserve"> IF(B65="","",setValueToTime(B65))</f>
        <v>3h</v>
      </c>
      <c r="D65" s="47" t="s">
        <v>77</v>
      </c>
      <c r="E65" s="215"/>
      <c r="F65" s="216"/>
      <c r="G65" s="3"/>
    </row>
    <row r="66" spans="1:7" s="44" customFormat="1" x14ac:dyDescent="0.3">
      <c r="A66" s="45" t="s">
        <v>16</v>
      </c>
      <c r="B66" s="46">
        <v>2</v>
      </c>
      <c r="C66" s="136" t="str">
        <f t="shared" si="5"/>
        <v>0h10min</v>
      </c>
      <c r="D66" s="47" t="s">
        <v>92</v>
      </c>
      <c r="E66" s="215"/>
      <c r="F66" s="216"/>
      <c r="G66" s="3"/>
    </row>
    <row r="67" spans="1:7" s="44" customFormat="1" x14ac:dyDescent="0.3">
      <c r="A67" s="45"/>
      <c r="B67" s="46"/>
      <c r="C67" s="136" t="str">
        <f t="shared" si="5"/>
        <v/>
      </c>
      <c r="D67" s="47"/>
      <c r="E67" s="215"/>
      <c r="F67" s="216"/>
      <c r="G67" s="3"/>
    </row>
    <row r="68" spans="1:7" s="44" customFormat="1" x14ac:dyDescent="0.3">
      <c r="A68" s="46"/>
      <c r="B68" s="46"/>
      <c r="C68" s="137" t="str">
        <f t="shared" si="5"/>
        <v/>
      </c>
      <c r="D68" s="47"/>
      <c r="E68" s="215"/>
      <c r="F68" s="216"/>
      <c r="G68" s="3"/>
    </row>
    <row r="69" spans="1:7" s="44" customFormat="1" x14ac:dyDescent="0.3">
      <c r="A69" s="46"/>
      <c r="B69" s="46"/>
      <c r="C69" s="137" t="str">
        <f t="shared" si="5"/>
        <v/>
      </c>
      <c r="D69" s="47"/>
      <c r="E69" s="215"/>
      <c r="F69" s="216"/>
      <c r="G69" s="3"/>
    </row>
    <row r="70" spans="1:7" s="44" customFormat="1" x14ac:dyDescent="0.3">
      <c r="A70" s="46"/>
      <c r="B70" s="46"/>
      <c r="C70" s="137" t="str">
        <f t="shared" si="5"/>
        <v/>
      </c>
      <c r="D70" s="47"/>
      <c r="E70" s="215"/>
      <c r="F70" s="216"/>
      <c r="G70" s="3"/>
    </row>
    <row r="71" spans="1:7" s="44" customFormat="1" ht="15" thickBot="1" x14ac:dyDescent="0.35">
      <c r="A71" s="48"/>
      <c r="B71" s="48"/>
      <c r="C71" s="138" t="str">
        <f t="shared" si="5"/>
        <v/>
      </c>
      <c r="D71" s="49"/>
      <c r="E71" s="217"/>
      <c r="F71" s="218"/>
      <c r="G71" s="3"/>
    </row>
    <row r="72" spans="1:7" s="44" customFormat="1" ht="15" thickBot="1" x14ac:dyDescent="0.35">
      <c r="A72" s="95" t="s">
        <v>28</v>
      </c>
      <c r="B72" s="69">
        <f>SUM(B64:B71)</f>
        <v>38</v>
      </c>
      <c r="C72" s="95" t="str">
        <f xml:space="preserve"> setValueToTime(B72)</f>
        <v>3h10min</v>
      </c>
      <c r="D72" s="104"/>
      <c r="E72" s="209"/>
      <c r="F72" s="210"/>
      <c r="G72" s="3"/>
    </row>
    <row r="73" spans="1:7" s="44" customFormat="1" ht="15" thickBot="1" x14ac:dyDescent="0.35">
      <c r="A73" s="64"/>
      <c r="B73" s="64"/>
      <c r="C73" s="64"/>
      <c r="D73" s="64"/>
      <c r="E73" s="64"/>
      <c r="F73" s="64"/>
      <c r="G73" s="3"/>
    </row>
    <row r="74" spans="1:7" s="40" customFormat="1" ht="30" customHeight="1" thickBot="1" x14ac:dyDescent="0.3">
      <c r="A74" s="66" t="s">
        <v>11</v>
      </c>
      <c r="B74" s="146">
        <v>22</v>
      </c>
      <c r="C74" s="146"/>
      <c r="D74" s="67" t="s">
        <v>14</v>
      </c>
      <c r="E74" s="79">
        <v>45442</v>
      </c>
      <c r="F74" s="110" t="s">
        <v>41</v>
      </c>
      <c r="G74" s="39"/>
    </row>
    <row r="75" spans="1:7" s="40" customFormat="1" ht="30" customHeight="1" thickBot="1" x14ac:dyDescent="0.3">
      <c r="A75" s="65" t="s">
        <v>5</v>
      </c>
      <c r="B75" s="133" t="s">
        <v>40</v>
      </c>
      <c r="C75" s="134"/>
      <c r="D75" s="65" t="s">
        <v>12</v>
      </c>
      <c r="E75" s="211" t="s">
        <v>13</v>
      </c>
      <c r="F75" s="212"/>
      <c r="G75" s="39"/>
    </row>
    <row r="76" spans="1:7" s="44" customFormat="1" x14ac:dyDescent="0.3">
      <c r="A76" s="41"/>
      <c r="B76" s="42"/>
      <c r="C76" s="135" t="str">
        <f xml:space="preserve"> IF(B76="","",setValueToTime(B76))</f>
        <v/>
      </c>
      <c r="D76" s="43"/>
      <c r="E76" s="213"/>
      <c r="F76" s="214"/>
      <c r="G76" s="3"/>
    </row>
    <row r="77" spans="1:7" s="44" customFormat="1" x14ac:dyDescent="0.3">
      <c r="A77" s="45" t="s">
        <v>15</v>
      </c>
      <c r="B77" s="46">
        <v>46</v>
      </c>
      <c r="C77" s="136" t="str">
        <f t="shared" ref="C77:C83" si="6" xml:space="preserve"> IF(B77="","",setValueToTime(B77))</f>
        <v>3h50min</v>
      </c>
      <c r="D77" s="47" t="s">
        <v>77</v>
      </c>
      <c r="E77" s="215"/>
      <c r="F77" s="216"/>
      <c r="G77" s="3"/>
    </row>
    <row r="78" spans="1:7" s="44" customFormat="1" x14ac:dyDescent="0.3">
      <c r="A78" s="45" t="s">
        <v>16</v>
      </c>
      <c r="B78" s="46">
        <v>2</v>
      </c>
      <c r="C78" s="136" t="str">
        <f t="shared" si="6"/>
        <v>0h10min</v>
      </c>
      <c r="D78" s="47" t="s">
        <v>92</v>
      </c>
      <c r="E78" s="215"/>
      <c r="F78" s="216"/>
      <c r="G78" s="3"/>
    </row>
    <row r="79" spans="1:7" s="44" customFormat="1" x14ac:dyDescent="0.3">
      <c r="A79" s="45"/>
      <c r="B79" s="46"/>
      <c r="C79" s="136" t="str">
        <f t="shared" si="6"/>
        <v/>
      </c>
      <c r="D79" s="47"/>
      <c r="E79" s="215"/>
      <c r="F79" s="216"/>
      <c r="G79" s="3"/>
    </row>
    <row r="80" spans="1:7" s="44" customFormat="1" x14ac:dyDescent="0.3">
      <c r="A80" s="46"/>
      <c r="B80" s="46"/>
      <c r="C80" s="137" t="str">
        <f t="shared" si="6"/>
        <v/>
      </c>
      <c r="D80" s="47"/>
      <c r="E80" s="215"/>
      <c r="F80" s="216"/>
      <c r="G80" s="3"/>
    </row>
    <row r="81" spans="1:7" s="44" customFormat="1" x14ac:dyDescent="0.3">
      <c r="A81" s="46"/>
      <c r="B81" s="46"/>
      <c r="C81" s="137" t="str">
        <f t="shared" si="6"/>
        <v/>
      </c>
      <c r="D81" s="47"/>
      <c r="E81" s="215"/>
      <c r="F81" s="216"/>
      <c r="G81" s="3"/>
    </row>
    <row r="82" spans="1:7" s="44" customFormat="1" x14ac:dyDescent="0.3">
      <c r="A82" s="46"/>
      <c r="B82" s="46"/>
      <c r="C82" s="137" t="str">
        <f t="shared" si="6"/>
        <v/>
      </c>
      <c r="D82" s="47"/>
      <c r="E82" s="215"/>
      <c r="F82" s="216"/>
      <c r="G82" s="3"/>
    </row>
    <row r="83" spans="1:7" s="44" customFormat="1" ht="15" thickBot="1" x14ac:dyDescent="0.35">
      <c r="A83" s="48"/>
      <c r="B83" s="48"/>
      <c r="C83" s="138" t="str">
        <f t="shared" si="6"/>
        <v/>
      </c>
      <c r="D83" s="49"/>
      <c r="E83" s="217"/>
      <c r="F83" s="218"/>
      <c r="G83" s="3"/>
    </row>
    <row r="84" spans="1:7" s="44" customFormat="1" ht="15" thickBot="1" x14ac:dyDescent="0.35">
      <c r="A84" s="95" t="s">
        <v>28</v>
      </c>
      <c r="B84" s="69">
        <f>SUM(B76:B83)</f>
        <v>48</v>
      </c>
      <c r="C84" s="95" t="str">
        <f xml:space="preserve"> setValueToTime(B84)</f>
        <v>4h</v>
      </c>
      <c r="D84" s="104"/>
      <c r="E84" s="209"/>
      <c r="F84" s="210"/>
      <c r="G84" s="3"/>
    </row>
    <row r="85" spans="1:7" s="44" customFormat="1" ht="15" thickBot="1" x14ac:dyDescent="0.35">
      <c r="A85" s="64"/>
      <c r="B85" s="64"/>
      <c r="C85" s="64"/>
      <c r="D85" s="64"/>
      <c r="E85" s="64"/>
      <c r="F85" s="64"/>
      <c r="G85" s="3"/>
    </row>
    <row r="86" spans="1:7" s="40" customFormat="1" ht="30" customHeight="1" thickBot="1" x14ac:dyDescent="0.3">
      <c r="A86" s="66" t="s">
        <v>11</v>
      </c>
      <c r="B86" s="146">
        <v>21</v>
      </c>
      <c r="C86" s="146"/>
      <c r="D86" s="67" t="s">
        <v>14</v>
      </c>
      <c r="E86" s="79">
        <v>45441</v>
      </c>
      <c r="F86" s="110" t="s">
        <v>41</v>
      </c>
      <c r="G86" s="39"/>
    </row>
    <row r="87" spans="1:7" s="40" customFormat="1" ht="30" customHeight="1" thickBot="1" x14ac:dyDescent="0.3">
      <c r="A87" s="65" t="s">
        <v>5</v>
      </c>
      <c r="B87" s="133" t="s">
        <v>40</v>
      </c>
      <c r="C87" s="134"/>
      <c r="D87" s="65" t="s">
        <v>12</v>
      </c>
      <c r="E87" s="211" t="s">
        <v>13</v>
      </c>
      <c r="F87" s="212"/>
      <c r="G87" s="39"/>
    </row>
    <row r="88" spans="1:7" s="44" customFormat="1" x14ac:dyDescent="0.3">
      <c r="A88" s="41"/>
      <c r="B88" s="42"/>
      <c r="C88" s="135" t="str">
        <f xml:space="preserve"> IF(B88="","",setValueToTime(B88))</f>
        <v/>
      </c>
      <c r="D88" s="43"/>
      <c r="E88" s="213"/>
      <c r="F88" s="214"/>
      <c r="G88" s="3"/>
    </row>
    <row r="89" spans="1:7" s="44" customFormat="1" x14ac:dyDescent="0.3">
      <c r="A89" s="45" t="s">
        <v>15</v>
      </c>
      <c r="B89" s="46">
        <v>26</v>
      </c>
      <c r="C89" s="136" t="str">
        <f t="shared" ref="C89:C95" si="7" xml:space="preserve"> IF(B89="","",setValueToTime(B89))</f>
        <v>2h10min</v>
      </c>
      <c r="D89" s="47" t="s">
        <v>77</v>
      </c>
      <c r="E89" s="215"/>
      <c r="F89" s="216"/>
      <c r="G89" s="3"/>
    </row>
    <row r="90" spans="1:7" s="44" customFormat="1" x14ac:dyDescent="0.3">
      <c r="A90" s="45" t="s">
        <v>16</v>
      </c>
      <c r="B90" s="46">
        <v>2</v>
      </c>
      <c r="C90" s="136" t="str">
        <f t="shared" si="7"/>
        <v>0h10min</v>
      </c>
      <c r="D90" s="47" t="s">
        <v>92</v>
      </c>
      <c r="E90" s="215"/>
      <c r="F90" s="216"/>
      <c r="G90" s="3"/>
    </row>
    <row r="91" spans="1:7" s="44" customFormat="1" x14ac:dyDescent="0.3">
      <c r="A91" s="45"/>
      <c r="B91" s="46"/>
      <c r="C91" s="136" t="str">
        <f t="shared" si="7"/>
        <v/>
      </c>
      <c r="D91" s="47"/>
      <c r="E91" s="215"/>
      <c r="F91" s="216"/>
      <c r="G91" s="3"/>
    </row>
    <row r="92" spans="1:7" s="44" customFormat="1" x14ac:dyDescent="0.3">
      <c r="A92" s="46"/>
      <c r="B92" s="46"/>
      <c r="C92" s="137" t="str">
        <f t="shared" si="7"/>
        <v/>
      </c>
      <c r="D92" s="47"/>
      <c r="E92" s="215"/>
      <c r="F92" s="216"/>
      <c r="G92" s="3"/>
    </row>
    <row r="93" spans="1:7" s="44" customFormat="1" x14ac:dyDescent="0.3">
      <c r="A93" s="46"/>
      <c r="B93" s="46"/>
      <c r="C93" s="137" t="str">
        <f t="shared" si="7"/>
        <v/>
      </c>
      <c r="D93" s="47"/>
      <c r="E93" s="215"/>
      <c r="F93" s="216"/>
      <c r="G93" s="3"/>
    </row>
    <row r="94" spans="1:7" s="44" customFormat="1" x14ac:dyDescent="0.3">
      <c r="A94" s="46"/>
      <c r="B94" s="46"/>
      <c r="C94" s="137" t="str">
        <f t="shared" si="7"/>
        <v/>
      </c>
      <c r="D94" s="47"/>
      <c r="E94" s="215"/>
      <c r="F94" s="216"/>
      <c r="G94" s="3"/>
    </row>
    <row r="95" spans="1:7" s="44" customFormat="1" ht="15" thickBot="1" x14ac:dyDescent="0.35">
      <c r="A95" s="48"/>
      <c r="B95" s="48"/>
      <c r="C95" s="138" t="str">
        <f t="shared" si="7"/>
        <v/>
      </c>
      <c r="D95" s="49"/>
      <c r="E95" s="217"/>
      <c r="F95" s="218"/>
      <c r="G95" s="3"/>
    </row>
    <row r="96" spans="1:7" s="44" customFormat="1" ht="15" thickBot="1" x14ac:dyDescent="0.35">
      <c r="A96" s="95" t="s">
        <v>28</v>
      </c>
      <c r="B96" s="69">
        <f>SUM(B88:B95)</f>
        <v>28</v>
      </c>
      <c r="C96" s="95" t="str">
        <f xml:space="preserve"> setValueToTime(B96)</f>
        <v>2h20min</v>
      </c>
      <c r="D96" s="104"/>
      <c r="E96" s="209"/>
      <c r="F96" s="210"/>
      <c r="G96" s="3"/>
    </row>
    <row r="97" spans="1:7" s="44" customFormat="1" ht="15" thickBot="1" x14ac:dyDescent="0.35">
      <c r="A97" s="64"/>
      <c r="B97" s="64"/>
      <c r="C97" s="64"/>
      <c r="D97" s="64"/>
      <c r="E97" s="64"/>
      <c r="F97" s="64"/>
      <c r="G97" s="3"/>
    </row>
    <row r="98" spans="1:7" s="40" customFormat="1" ht="30" customHeight="1" thickBot="1" x14ac:dyDescent="0.3">
      <c r="A98" s="66" t="s">
        <v>11</v>
      </c>
      <c r="B98" s="146">
        <v>20</v>
      </c>
      <c r="C98" s="146"/>
      <c r="D98" s="67" t="s">
        <v>14</v>
      </c>
      <c r="E98" s="79">
        <v>45440</v>
      </c>
      <c r="F98" s="110" t="s">
        <v>42</v>
      </c>
      <c r="G98" s="39"/>
    </row>
    <row r="99" spans="1:7" s="40" customFormat="1" ht="30" customHeight="1" thickBot="1" x14ac:dyDescent="0.3">
      <c r="A99" s="65" t="s">
        <v>5</v>
      </c>
      <c r="B99" s="133" t="s">
        <v>40</v>
      </c>
      <c r="C99" s="134"/>
      <c r="D99" s="65" t="s">
        <v>12</v>
      </c>
      <c r="E99" s="211" t="s">
        <v>13</v>
      </c>
      <c r="F99" s="212"/>
      <c r="G99" s="39"/>
    </row>
    <row r="100" spans="1:7" s="44" customFormat="1" x14ac:dyDescent="0.3">
      <c r="A100" s="41"/>
      <c r="B100" s="42"/>
      <c r="C100" s="135" t="str">
        <f xml:space="preserve"> IF(B100="","",setValueToTime(B100))</f>
        <v/>
      </c>
      <c r="D100" s="43"/>
      <c r="E100" s="213"/>
      <c r="F100" s="214"/>
      <c r="G100" s="3"/>
    </row>
    <row r="101" spans="1:7" s="44" customFormat="1" x14ac:dyDescent="0.3">
      <c r="A101" s="45" t="s">
        <v>15</v>
      </c>
      <c r="B101" s="46">
        <v>26</v>
      </c>
      <c r="C101" s="136" t="str">
        <f t="shared" ref="C101:C107" si="8" xml:space="preserve"> IF(B101="","",setValueToTime(B101))</f>
        <v>2h10min</v>
      </c>
      <c r="D101" s="47" t="s">
        <v>77</v>
      </c>
      <c r="E101" s="215"/>
      <c r="F101" s="216"/>
      <c r="G101" s="3"/>
    </row>
    <row r="102" spans="1:7" s="44" customFormat="1" x14ac:dyDescent="0.3">
      <c r="A102" s="45" t="s">
        <v>16</v>
      </c>
      <c r="B102" s="46">
        <v>2</v>
      </c>
      <c r="C102" s="136" t="str">
        <f t="shared" si="8"/>
        <v>0h10min</v>
      </c>
      <c r="D102" s="47" t="s">
        <v>92</v>
      </c>
      <c r="E102" s="215"/>
      <c r="F102" s="216"/>
      <c r="G102" s="3"/>
    </row>
    <row r="103" spans="1:7" s="44" customFormat="1" x14ac:dyDescent="0.3">
      <c r="A103" s="45"/>
      <c r="B103" s="46"/>
      <c r="C103" s="136" t="str">
        <f t="shared" si="8"/>
        <v/>
      </c>
      <c r="D103" s="47"/>
      <c r="E103" s="215"/>
      <c r="F103" s="216"/>
      <c r="G103" s="3"/>
    </row>
    <row r="104" spans="1:7" s="44" customFormat="1" x14ac:dyDescent="0.3">
      <c r="A104" s="46"/>
      <c r="B104" s="46"/>
      <c r="C104" s="137" t="str">
        <f t="shared" si="8"/>
        <v/>
      </c>
      <c r="D104" s="47"/>
      <c r="E104" s="215"/>
      <c r="F104" s="216"/>
      <c r="G104" s="3"/>
    </row>
    <row r="105" spans="1:7" s="44" customFormat="1" x14ac:dyDescent="0.3">
      <c r="A105" s="46"/>
      <c r="B105" s="46"/>
      <c r="C105" s="137" t="str">
        <f t="shared" si="8"/>
        <v/>
      </c>
      <c r="D105" s="47"/>
      <c r="E105" s="215"/>
      <c r="F105" s="216"/>
      <c r="G105" s="3"/>
    </row>
    <row r="106" spans="1:7" s="44" customFormat="1" x14ac:dyDescent="0.3">
      <c r="A106" s="46"/>
      <c r="B106" s="46"/>
      <c r="C106" s="137" t="str">
        <f t="shared" si="8"/>
        <v/>
      </c>
      <c r="D106" s="47"/>
      <c r="E106" s="215"/>
      <c r="F106" s="216"/>
      <c r="G106" s="3"/>
    </row>
    <row r="107" spans="1:7" s="44" customFormat="1" ht="15" thickBot="1" x14ac:dyDescent="0.35">
      <c r="A107" s="48"/>
      <c r="B107" s="48"/>
      <c r="C107" s="138" t="str">
        <f t="shared" si="8"/>
        <v/>
      </c>
      <c r="D107" s="49"/>
      <c r="E107" s="217"/>
      <c r="F107" s="218"/>
      <c r="G107" s="3"/>
    </row>
    <row r="108" spans="1:7" s="44" customFormat="1" ht="15" thickBot="1" x14ac:dyDescent="0.35">
      <c r="A108" s="95" t="s">
        <v>28</v>
      </c>
      <c r="B108" s="69">
        <f>SUM(B100:B107)</f>
        <v>28</v>
      </c>
      <c r="C108" s="95" t="str">
        <f xml:space="preserve"> setValueToTime(B108)</f>
        <v>2h20min</v>
      </c>
      <c r="D108" s="104"/>
      <c r="E108" s="209"/>
      <c r="F108" s="210"/>
      <c r="G108" s="3"/>
    </row>
    <row r="109" spans="1:7" s="44" customFormat="1" ht="15" thickBot="1" x14ac:dyDescent="0.35">
      <c r="A109" s="64"/>
      <c r="B109" s="64"/>
      <c r="C109" s="64"/>
      <c r="D109" s="64"/>
      <c r="E109" s="64"/>
      <c r="F109" s="64"/>
      <c r="G109" s="3"/>
    </row>
    <row r="110" spans="1:7" s="40" customFormat="1" ht="30" customHeight="1" thickBot="1" x14ac:dyDescent="0.3">
      <c r="A110" s="66" t="s">
        <v>11</v>
      </c>
      <c r="B110" s="146">
        <v>19</v>
      </c>
      <c r="C110" s="146"/>
      <c r="D110" s="67" t="s">
        <v>14</v>
      </c>
      <c r="E110" s="79">
        <v>45440</v>
      </c>
      <c r="F110" s="110" t="s">
        <v>41</v>
      </c>
      <c r="G110" s="39"/>
    </row>
    <row r="111" spans="1:7" s="40" customFormat="1" ht="30" customHeight="1" thickBot="1" x14ac:dyDescent="0.3">
      <c r="A111" s="65" t="s">
        <v>5</v>
      </c>
      <c r="B111" s="133" t="s">
        <v>40</v>
      </c>
      <c r="C111" s="134"/>
      <c r="D111" s="65" t="s">
        <v>12</v>
      </c>
      <c r="E111" s="211" t="s">
        <v>13</v>
      </c>
      <c r="F111" s="212"/>
      <c r="G111" s="39"/>
    </row>
    <row r="112" spans="1:7" s="44" customFormat="1" x14ac:dyDescent="0.3">
      <c r="A112" s="41"/>
      <c r="B112" s="42"/>
      <c r="C112" s="135" t="str">
        <f xml:space="preserve"> IF(B112="","",setValueToTime(B112))</f>
        <v/>
      </c>
      <c r="D112" s="43"/>
      <c r="E112" s="213"/>
      <c r="F112" s="214"/>
      <c r="G112" s="3"/>
    </row>
    <row r="113" spans="1:7" s="44" customFormat="1" x14ac:dyDescent="0.3">
      <c r="A113" s="45" t="s">
        <v>82</v>
      </c>
      <c r="B113" s="46">
        <v>46</v>
      </c>
      <c r="C113" s="136" t="str">
        <f t="shared" ref="C113:C119" si="9" xml:space="preserve"> IF(B113="","",setValueToTime(B113))</f>
        <v>3h50min</v>
      </c>
      <c r="D113" s="158" t="s">
        <v>141</v>
      </c>
      <c r="E113" s="215"/>
      <c r="F113" s="216"/>
      <c r="G113" s="3"/>
    </row>
    <row r="114" spans="1:7" s="44" customFormat="1" x14ac:dyDescent="0.3">
      <c r="A114" s="45"/>
      <c r="B114" s="46"/>
      <c r="C114" s="136" t="str">
        <f t="shared" si="9"/>
        <v/>
      </c>
      <c r="D114" s="47"/>
      <c r="E114" s="215"/>
      <c r="F114" s="216"/>
      <c r="G114" s="3"/>
    </row>
    <row r="115" spans="1:7" s="44" customFormat="1" x14ac:dyDescent="0.3">
      <c r="A115" s="46" t="s">
        <v>16</v>
      </c>
      <c r="B115" s="46">
        <v>2</v>
      </c>
      <c r="C115" s="136" t="str">
        <f t="shared" si="9"/>
        <v>0h10min</v>
      </c>
      <c r="D115" s="47" t="s">
        <v>75</v>
      </c>
      <c r="E115" s="215"/>
      <c r="F115" s="216"/>
      <c r="G115" s="3"/>
    </row>
    <row r="116" spans="1:7" s="44" customFormat="1" x14ac:dyDescent="0.3">
      <c r="A116" s="46"/>
      <c r="B116" s="46"/>
      <c r="C116" s="137" t="str">
        <f t="shared" si="9"/>
        <v/>
      </c>
      <c r="D116" s="47"/>
      <c r="E116" s="215"/>
      <c r="F116" s="216"/>
      <c r="G116" s="3"/>
    </row>
    <row r="117" spans="1:7" s="44" customFormat="1" x14ac:dyDescent="0.3">
      <c r="A117" s="46"/>
      <c r="B117" s="46"/>
      <c r="C117" s="137" t="str">
        <f t="shared" si="9"/>
        <v/>
      </c>
      <c r="D117" s="47"/>
      <c r="E117" s="215"/>
      <c r="F117" s="216"/>
      <c r="G117" s="3"/>
    </row>
    <row r="118" spans="1:7" s="44" customFormat="1" x14ac:dyDescent="0.3">
      <c r="A118" s="46"/>
      <c r="B118" s="46"/>
      <c r="C118" s="137" t="str">
        <f t="shared" si="9"/>
        <v/>
      </c>
      <c r="D118" s="47"/>
      <c r="E118" s="215"/>
      <c r="F118" s="216"/>
      <c r="G118" s="3"/>
    </row>
    <row r="119" spans="1:7" s="44" customFormat="1" ht="15" thickBot="1" x14ac:dyDescent="0.35">
      <c r="A119" s="48"/>
      <c r="B119" s="48"/>
      <c r="C119" s="138" t="str">
        <f t="shared" si="9"/>
        <v/>
      </c>
      <c r="D119" s="49"/>
      <c r="E119" s="217"/>
      <c r="F119" s="218"/>
      <c r="G119" s="3"/>
    </row>
    <row r="120" spans="1:7" s="44" customFormat="1" ht="15" thickBot="1" x14ac:dyDescent="0.35">
      <c r="A120" s="95" t="s">
        <v>28</v>
      </c>
      <c r="B120" s="69">
        <f>SUM(B112:B119)</f>
        <v>48</v>
      </c>
      <c r="C120" s="95" t="str">
        <f xml:space="preserve"> setValueToTime(B120)</f>
        <v>4h</v>
      </c>
      <c r="D120" s="104"/>
      <c r="E120" s="209"/>
      <c r="F120" s="210"/>
      <c r="G120" s="3"/>
    </row>
    <row r="121" spans="1:7" s="44" customFormat="1" ht="15" thickBot="1" x14ac:dyDescent="0.35">
      <c r="A121" s="64"/>
      <c r="B121" s="64"/>
      <c r="C121" s="64"/>
      <c r="D121" s="64"/>
      <c r="E121" s="64"/>
      <c r="F121" s="64"/>
      <c r="G121" s="3"/>
    </row>
    <row r="122" spans="1:7" s="40" customFormat="1" ht="30" customHeight="1" thickBot="1" x14ac:dyDescent="0.3">
      <c r="A122" s="66" t="s">
        <v>11</v>
      </c>
      <c r="B122" s="146">
        <v>18</v>
      </c>
      <c r="C122" s="146"/>
      <c r="D122" s="67" t="s">
        <v>14</v>
      </c>
      <c r="E122" s="79">
        <v>45439</v>
      </c>
      <c r="F122" s="110" t="s">
        <v>42</v>
      </c>
      <c r="G122" s="39"/>
    </row>
    <row r="123" spans="1:7" s="40" customFormat="1" ht="30" customHeight="1" thickBot="1" x14ac:dyDescent="0.3">
      <c r="A123" s="65" t="s">
        <v>5</v>
      </c>
      <c r="B123" s="133" t="s">
        <v>40</v>
      </c>
      <c r="C123" s="134"/>
      <c r="D123" s="65" t="s">
        <v>12</v>
      </c>
      <c r="E123" s="211" t="s">
        <v>13</v>
      </c>
      <c r="F123" s="212"/>
      <c r="G123" s="39"/>
    </row>
    <row r="124" spans="1:7" s="44" customFormat="1" ht="27" x14ac:dyDescent="0.3">
      <c r="A124" s="41" t="s">
        <v>53</v>
      </c>
      <c r="B124" s="42">
        <v>26</v>
      </c>
      <c r="C124" s="135" t="str">
        <f xml:space="preserve"> IF(B124="","",setValueToTime(B124))</f>
        <v>2h10min</v>
      </c>
      <c r="D124" s="159" t="s">
        <v>140</v>
      </c>
      <c r="E124" s="213"/>
      <c r="F124" s="214"/>
      <c r="G124" s="3"/>
    </row>
    <row r="125" spans="1:7" s="44" customFormat="1" x14ac:dyDescent="0.3">
      <c r="A125" s="45"/>
      <c r="B125" s="46"/>
      <c r="C125" s="136" t="str">
        <f t="shared" ref="C125:C131" si="10" xml:space="preserve"> IF(B125="","",setValueToTime(B125))</f>
        <v/>
      </c>
      <c r="D125" s="47"/>
      <c r="E125" s="215"/>
      <c r="F125" s="216"/>
      <c r="G125" s="3"/>
    </row>
    <row r="126" spans="1:7" s="44" customFormat="1" x14ac:dyDescent="0.3">
      <c r="A126" s="45" t="s">
        <v>16</v>
      </c>
      <c r="B126" s="46">
        <v>2</v>
      </c>
      <c r="C126" s="136" t="str">
        <f t="shared" si="10"/>
        <v>0h10min</v>
      </c>
      <c r="D126" s="47" t="s">
        <v>75</v>
      </c>
      <c r="E126" s="215"/>
      <c r="F126" s="216"/>
      <c r="G126" s="3"/>
    </row>
    <row r="127" spans="1:7" s="44" customFormat="1" x14ac:dyDescent="0.3">
      <c r="A127" s="45"/>
      <c r="B127" s="46"/>
      <c r="C127" s="136" t="str">
        <f t="shared" si="10"/>
        <v/>
      </c>
      <c r="D127" s="47"/>
      <c r="E127" s="215"/>
      <c r="F127" s="216"/>
      <c r="G127" s="3"/>
    </row>
    <row r="128" spans="1:7" s="44" customFormat="1" x14ac:dyDescent="0.3">
      <c r="A128" s="46"/>
      <c r="B128" s="46"/>
      <c r="C128" s="137" t="str">
        <f t="shared" si="10"/>
        <v/>
      </c>
      <c r="D128" s="47"/>
      <c r="E128" s="215"/>
      <c r="F128" s="216"/>
      <c r="G128" s="3"/>
    </row>
    <row r="129" spans="1:7" s="44" customFormat="1" x14ac:dyDescent="0.3">
      <c r="A129" s="46"/>
      <c r="B129" s="46"/>
      <c r="C129" s="137" t="str">
        <f t="shared" si="10"/>
        <v/>
      </c>
      <c r="D129" s="47"/>
      <c r="E129" s="215"/>
      <c r="F129" s="216"/>
      <c r="G129" s="3"/>
    </row>
    <row r="130" spans="1:7" s="44" customFormat="1" x14ac:dyDescent="0.3">
      <c r="A130" s="46"/>
      <c r="B130" s="46"/>
      <c r="C130" s="137" t="str">
        <f t="shared" si="10"/>
        <v/>
      </c>
      <c r="D130" s="47"/>
      <c r="E130" s="215"/>
      <c r="F130" s="216"/>
      <c r="G130" s="3"/>
    </row>
    <row r="131" spans="1:7" s="44" customFormat="1" ht="15" thickBot="1" x14ac:dyDescent="0.35">
      <c r="A131" s="48"/>
      <c r="B131" s="48"/>
      <c r="C131" s="138" t="str">
        <f t="shared" si="10"/>
        <v/>
      </c>
      <c r="D131" s="49"/>
      <c r="E131" s="217"/>
      <c r="F131" s="218"/>
      <c r="G131" s="3"/>
    </row>
    <row r="132" spans="1:7" s="44" customFormat="1" ht="15" thickBot="1" x14ac:dyDescent="0.35">
      <c r="A132" s="95" t="s">
        <v>28</v>
      </c>
      <c r="B132" s="69">
        <f>SUM(B124:B131)</f>
        <v>28</v>
      </c>
      <c r="C132" s="95" t="str">
        <f xml:space="preserve"> setValueToTime(B132)</f>
        <v>2h20min</v>
      </c>
      <c r="D132" s="104"/>
      <c r="E132" s="209"/>
      <c r="F132" s="210"/>
      <c r="G132" s="3"/>
    </row>
    <row r="133" spans="1:7" s="44" customFormat="1" ht="15" thickBot="1" x14ac:dyDescent="0.35">
      <c r="A133" s="64"/>
      <c r="B133" s="64"/>
      <c r="C133" s="64"/>
      <c r="D133" s="64"/>
      <c r="E133" s="64"/>
      <c r="F133" s="64"/>
      <c r="G133" s="3"/>
    </row>
    <row r="134" spans="1:7" s="40" customFormat="1" ht="30" customHeight="1" thickBot="1" x14ac:dyDescent="0.3">
      <c r="A134" s="66" t="s">
        <v>11</v>
      </c>
      <c r="B134" s="146">
        <v>17</v>
      </c>
      <c r="C134" s="146"/>
      <c r="D134" s="67" t="s">
        <v>14</v>
      </c>
      <c r="E134" s="79">
        <v>45439</v>
      </c>
      <c r="F134" s="110" t="s">
        <v>41</v>
      </c>
      <c r="G134" s="39"/>
    </row>
    <row r="135" spans="1:7" s="40" customFormat="1" ht="30" customHeight="1" thickBot="1" x14ac:dyDescent="0.3">
      <c r="A135" s="65" t="s">
        <v>5</v>
      </c>
      <c r="B135" s="133" t="s">
        <v>40</v>
      </c>
      <c r="C135" s="134"/>
      <c r="D135" s="65" t="s">
        <v>12</v>
      </c>
      <c r="E135" s="211" t="s">
        <v>13</v>
      </c>
      <c r="F135" s="212"/>
      <c r="G135" s="39"/>
    </row>
    <row r="136" spans="1:7" s="44" customFormat="1" x14ac:dyDescent="0.3">
      <c r="A136" s="41"/>
      <c r="B136" s="42"/>
      <c r="C136" s="135" t="str">
        <f xml:space="preserve"> IF(B136="","",setValueToTime(B136))</f>
        <v/>
      </c>
      <c r="D136" s="43"/>
      <c r="E136" s="213"/>
      <c r="F136" s="214"/>
      <c r="G136" s="3"/>
    </row>
    <row r="137" spans="1:7" s="44" customFormat="1" ht="27" x14ac:dyDescent="0.3">
      <c r="A137" s="45" t="s">
        <v>53</v>
      </c>
      <c r="B137" s="46">
        <v>46</v>
      </c>
      <c r="C137" s="136" t="str">
        <f t="shared" ref="C137:C143" si="11" xml:space="preserve"> IF(B137="","",setValueToTime(B137))</f>
        <v>3h50min</v>
      </c>
      <c r="D137" s="158" t="s">
        <v>139</v>
      </c>
      <c r="E137" s="215"/>
      <c r="F137" s="216"/>
      <c r="G137" s="3"/>
    </row>
    <row r="138" spans="1:7" s="44" customFormat="1" x14ac:dyDescent="0.3">
      <c r="A138" s="46" t="s">
        <v>16</v>
      </c>
      <c r="B138" s="46">
        <v>2</v>
      </c>
      <c r="C138" s="136" t="str">
        <f t="shared" si="11"/>
        <v>0h10min</v>
      </c>
      <c r="D138" s="47" t="s">
        <v>75</v>
      </c>
      <c r="E138" s="215"/>
      <c r="F138" s="216"/>
      <c r="G138" s="3"/>
    </row>
    <row r="139" spans="1:7" s="44" customFormat="1" x14ac:dyDescent="0.3">
      <c r="A139" s="46"/>
      <c r="B139" s="46"/>
      <c r="C139" s="136" t="str">
        <f t="shared" si="11"/>
        <v/>
      </c>
      <c r="D139" s="47"/>
      <c r="E139" s="215"/>
      <c r="F139" s="216"/>
      <c r="G139" s="3"/>
    </row>
    <row r="140" spans="1:7" s="44" customFormat="1" x14ac:dyDescent="0.3">
      <c r="A140" s="46"/>
      <c r="B140" s="46"/>
      <c r="C140" s="137" t="str">
        <f t="shared" si="11"/>
        <v/>
      </c>
      <c r="D140" s="47"/>
      <c r="E140" s="215"/>
      <c r="F140" s="216"/>
      <c r="G140" s="3"/>
    </row>
    <row r="141" spans="1:7" s="44" customFormat="1" x14ac:dyDescent="0.3">
      <c r="A141" s="46"/>
      <c r="B141" s="46"/>
      <c r="C141" s="137" t="str">
        <f t="shared" si="11"/>
        <v/>
      </c>
      <c r="D141" s="47"/>
      <c r="E141" s="215"/>
      <c r="F141" s="216"/>
      <c r="G141" s="3"/>
    </row>
    <row r="142" spans="1:7" s="44" customFormat="1" x14ac:dyDescent="0.3">
      <c r="A142" s="46"/>
      <c r="B142" s="46"/>
      <c r="C142" s="137" t="str">
        <f t="shared" si="11"/>
        <v/>
      </c>
      <c r="D142" s="47"/>
      <c r="E142" s="215"/>
      <c r="F142" s="216"/>
      <c r="G142" s="3"/>
    </row>
    <row r="143" spans="1:7" s="44" customFormat="1" ht="15" thickBot="1" x14ac:dyDescent="0.35">
      <c r="A143" s="48"/>
      <c r="B143" s="48"/>
      <c r="C143" s="138" t="str">
        <f t="shared" si="11"/>
        <v/>
      </c>
      <c r="D143" s="49"/>
      <c r="E143" s="217"/>
      <c r="F143" s="218"/>
      <c r="G143" s="3"/>
    </row>
    <row r="144" spans="1:7" s="44" customFormat="1" ht="15" thickBot="1" x14ac:dyDescent="0.35">
      <c r="A144" s="95" t="s">
        <v>28</v>
      </c>
      <c r="B144" s="69">
        <f>SUM(B136:B143)</f>
        <v>48</v>
      </c>
      <c r="C144" s="95" t="str">
        <f xml:space="preserve"> setValueToTime(B144)</f>
        <v>4h</v>
      </c>
      <c r="D144" s="104"/>
      <c r="E144" s="209"/>
      <c r="F144" s="210"/>
      <c r="G144" s="3"/>
    </row>
    <row r="145" spans="1:7" s="44" customFormat="1" ht="15" thickBot="1" x14ac:dyDescent="0.35">
      <c r="A145" s="64"/>
      <c r="B145" s="64"/>
      <c r="C145" s="64"/>
      <c r="D145" s="64"/>
      <c r="E145" s="64"/>
      <c r="F145" s="64"/>
      <c r="G145" s="3"/>
    </row>
    <row r="146" spans="1:7" s="40" customFormat="1" ht="30" customHeight="1" thickBot="1" x14ac:dyDescent="0.3">
      <c r="A146" s="66" t="s">
        <v>11</v>
      </c>
      <c r="B146" s="146">
        <v>16</v>
      </c>
      <c r="C146" s="146"/>
      <c r="D146" s="67" t="s">
        <v>14</v>
      </c>
      <c r="E146" s="79">
        <v>45436</v>
      </c>
      <c r="F146" s="110" t="s">
        <v>42</v>
      </c>
      <c r="G146" s="39"/>
    </row>
    <row r="147" spans="1:7" s="40" customFormat="1" ht="30" customHeight="1" thickBot="1" x14ac:dyDescent="0.3">
      <c r="A147" s="65" t="s">
        <v>5</v>
      </c>
      <c r="B147" s="133" t="s">
        <v>40</v>
      </c>
      <c r="C147" s="134"/>
      <c r="D147" s="65" t="s">
        <v>12</v>
      </c>
      <c r="E147" s="211" t="s">
        <v>13</v>
      </c>
      <c r="F147" s="212"/>
      <c r="G147" s="39"/>
    </row>
    <row r="148" spans="1:7" s="44" customFormat="1" x14ac:dyDescent="0.3">
      <c r="A148" s="41"/>
      <c r="B148" s="42"/>
      <c r="C148" s="135" t="str">
        <f xml:space="preserve"> IF(B148="","",setValueToTime(B148))</f>
        <v/>
      </c>
      <c r="D148" s="43"/>
      <c r="E148" s="213"/>
      <c r="F148" s="214"/>
      <c r="G148" s="3"/>
    </row>
    <row r="149" spans="1:7" s="44" customFormat="1" x14ac:dyDescent="0.3">
      <c r="A149" s="45" t="s">
        <v>15</v>
      </c>
      <c r="B149" s="46">
        <v>10</v>
      </c>
      <c r="C149" s="136" t="str">
        <f t="shared" ref="C149:C155" si="12" xml:space="preserve"> IF(B149="","",setValueToTime(B149))</f>
        <v>0h50min</v>
      </c>
      <c r="D149" s="47" t="s">
        <v>95</v>
      </c>
      <c r="E149" s="215"/>
      <c r="F149" s="216"/>
      <c r="G149" s="3"/>
    </row>
    <row r="150" spans="1:7" s="44" customFormat="1" ht="27" x14ac:dyDescent="0.3">
      <c r="A150" s="45" t="s">
        <v>53</v>
      </c>
      <c r="B150" s="46">
        <v>26</v>
      </c>
      <c r="C150" s="136" t="str">
        <f t="shared" si="12"/>
        <v>2h10min</v>
      </c>
      <c r="D150" s="47" t="s">
        <v>91</v>
      </c>
      <c r="E150" s="215"/>
      <c r="F150" s="216"/>
      <c r="G150" s="3"/>
    </row>
    <row r="151" spans="1:7" s="44" customFormat="1" x14ac:dyDescent="0.3">
      <c r="A151" s="45" t="s">
        <v>16</v>
      </c>
      <c r="B151" s="46">
        <v>2</v>
      </c>
      <c r="C151" s="136" t="str">
        <f t="shared" si="12"/>
        <v>0h10min</v>
      </c>
      <c r="D151" s="47" t="s">
        <v>75</v>
      </c>
      <c r="E151" s="215"/>
      <c r="F151" s="216"/>
      <c r="G151" s="3"/>
    </row>
    <row r="152" spans="1:7" s="44" customFormat="1" x14ac:dyDescent="0.3">
      <c r="A152" s="46"/>
      <c r="B152" s="46"/>
      <c r="C152" s="137" t="str">
        <f t="shared" si="12"/>
        <v/>
      </c>
      <c r="D152" s="47"/>
      <c r="E152" s="215"/>
      <c r="F152" s="216"/>
      <c r="G152" s="3"/>
    </row>
    <row r="153" spans="1:7" s="44" customFormat="1" x14ac:dyDescent="0.3">
      <c r="A153" s="46"/>
      <c r="B153" s="46"/>
      <c r="C153" s="137" t="str">
        <f t="shared" si="12"/>
        <v/>
      </c>
      <c r="D153" s="47"/>
      <c r="E153" s="215"/>
      <c r="F153" s="216"/>
      <c r="G153" s="3"/>
    </row>
    <row r="154" spans="1:7" s="44" customFormat="1" x14ac:dyDescent="0.3">
      <c r="A154" s="46"/>
      <c r="B154" s="46"/>
      <c r="C154" s="137" t="str">
        <f t="shared" si="12"/>
        <v/>
      </c>
      <c r="D154" s="47"/>
      <c r="E154" s="215"/>
      <c r="F154" s="216"/>
      <c r="G154" s="3"/>
    </row>
    <row r="155" spans="1:7" s="44" customFormat="1" ht="15" thickBot="1" x14ac:dyDescent="0.35">
      <c r="A155" s="48"/>
      <c r="B155" s="48"/>
      <c r="C155" s="138" t="str">
        <f t="shared" si="12"/>
        <v/>
      </c>
      <c r="D155" s="49"/>
      <c r="E155" s="217"/>
      <c r="F155" s="218"/>
      <c r="G155" s="3"/>
    </row>
    <row r="156" spans="1:7" s="44" customFormat="1" ht="15" thickBot="1" x14ac:dyDescent="0.35">
      <c r="A156" s="95" t="s">
        <v>28</v>
      </c>
      <c r="B156" s="69">
        <f>SUM(B148:B155)</f>
        <v>38</v>
      </c>
      <c r="C156" s="95" t="str">
        <f xml:space="preserve"> setValueToTime(B156)</f>
        <v>3h10min</v>
      </c>
      <c r="D156" s="104"/>
      <c r="E156" s="209"/>
      <c r="F156" s="210"/>
      <c r="G156" s="3"/>
    </row>
    <row r="157" spans="1:7" s="44" customFormat="1" ht="15" thickBot="1" x14ac:dyDescent="0.35">
      <c r="A157" s="64"/>
      <c r="B157" s="64"/>
      <c r="C157" s="64"/>
      <c r="D157" s="64"/>
      <c r="E157" s="64"/>
      <c r="F157" s="64"/>
      <c r="G157" s="3"/>
    </row>
    <row r="158" spans="1:7" s="40" customFormat="1" ht="30" customHeight="1" thickBot="1" x14ac:dyDescent="0.3">
      <c r="A158" s="66" t="s">
        <v>11</v>
      </c>
      <c r="B158" s="146">
        <v>15</v>
      </c>
      <c r="C158" s="146"/>
      <c r="D158" s="67" t="s">
        <v>14</v>
      </c>
      <c r="E158" s="79">
        <v>45436</v>
      </c>
      <c r="F158" s="110" t="s">
        <v>41</v>
      </c>
      <c r="G158" s="39"/>
    </row>
    <row r="159" spans="1:7" s="40" customFormat="1" ht="30" customHeight="1" thickBot="1" x14ac:dyDescent="0.3">
      <c r="A159" s="65" t="s">
        <v>5</v>
      </c>
      <c r="B159" s="133" t="s">
        <v>40</v>
      </c>
      <c r="C159" s="134"/>
      <c r="D159" s="65" t="s">
        <v>12</v>
      </c>
      <c r="E159" s="211" t="s">
        <v>13</v>
      </c>
      <c r="F159" s="212"/>
      <c r="G159" s="39"/>
    </row>
    <row r="160" spans="1:7" s="44" customFormat="1" x14ac:dyDescent="0.3">
      <c r="A160" s="41"/>
      <c r="B160" s="42"/>
      <c r="C160" s="135" t="str">
        <f xml:space="preserve"> IF(B160="","",setValueToTime(B160))</f>
        <v/>
      </c>
      <c r="D160" s="43"/>
      <c r="E160" s="213"/>
      <c r="F160" s="214"/>
      <c r="G160" s="3"/>
    </row>
    <row r="161" spans="1:7" s="44" customFormat="1" ht="27" x14ac:dyDescent="0.3">
      <c r="A161" s="45" t="s">
        <v>79</v>
      </c>
      <c r="B161" s="46">
        <v>34</v>
      </c>
      <c r="C161" s="136" t="str">
        <f t="shared" ref="C161:C167" si="13" xml:space="preserve"> IF(B161="","",setValueToTime(B161))</f>
        <v>2h50min</v>
      </c>
      <c r="D161" s="47" t="s">
        <v>90</v>
      </c>
      <c r="E161" s="215"/>
      <c r="F161" s="216"/>
      <c r="G161" s="3"/>
    </row>
    <row r="162" spans="1:7" s="44" customFormat="1" x14ac:dyDescent="0.3">
      <c r="A162" s="45" t="s">
        <v>82</v>
      </c>
      <c r="B162" s="46">
        <v>12</v>
      </c>
      <c r="C162" s="136" t="str">
        <f t="shared" si="13"/>
        <v>1h</v>
      </c>
      <c r="D162" s="47" t="s">
        <v>89</v>
      </c>
      <c r="E162" s="215"/>
      <c r="F162" s="216"/>
      <c r="G162" s="3"/>
    </row>
    <row r="163" spans="1:7" s="44" customFormat="1" x14ac:dyDescent="0.3">
      <c r="A163" s="46" t="s">
        <v>16</v>
      </c>
      <c r="B163" s="46">
        <v>2</v>
      </c>
      <c r="C163" s="136" t="str">
        <f t="shared" si="13"/>
        <v>0h10min</v>
      </c>
      <c r="D163" s="47" t="s">
        <v>75</v>
      </c>
      <c r="E163" s="215"/>
      <c r="F163" s="216"/>
      <c r="G163" s="3"/>
    </row>
    <row r="164" spans="1:7" s="44" customFormat="1" x14ac:dyDescent="0.3">
      <c r="A164" s="46"/>
      <c r="B164" s="46"/>
      <c r="C164" s="137" t="str">
        <f t="shared" si="13"/>
        <v/>
      </c>
      <c r="D164" s="47"/>
      <c r="E164" s="215"/>
      <c r="F164" s="216"/>
      <c r="G164" s="3"/>
    </row>
    <row r="165" spans="1:7" s="44" customFormat="1" x14ac:dyDescent="0.3">
      <c r="A165" s="46"/>
      <c r="B165" s="46"/>
      <c r="C165" s="137" t="str">
        <f t="shared" si="13"/>
        <v/>
      </c>
      <c r="D165" s="47"/>
      <c r="E165" s="215"/>
      <c r="F165" s="216"/>
      <c r="G165" s="3"/>
    </row>
    <row r="166" spans="1:7" s="44" customFormat="1" x14ac:dyDescent="0.3">
      <c r="A166" s="46"/>
      <c r="B166" s="46"/>
      <c r="C166" s="137" t="str">
        <f t="shared" si="13"/>
        <v/>
      </c>
      <c r="D166" s="47"/>
      <c r="E166" s="215"/>
      <c r="F166" s="216"/>
      <c r="G166" s="3"/>
    </row>
    <row r="167" spans="1:7" s="44" customFormat="1" ht="15" thickBot="1" x14ac:dyDescent="0.35">
      <c r="A167" s="48"/>
      <c r="B167" s="48"/>
      <c r="C167" s="138" t="str">
        <f t="shared" si="13"/>
        <v/>
      </c>
      <c r="D167" s="49"/>
      <c r="E167" s="217"/>
      <c r="F167" s="218"/>
      <c r="G167" s="3"/>
    </row>
    <row r="168" spans="1:7" s="44" customFormat="1" ht="15" thickBot="1" x14ac:dyDescent="0.35">
      <c r="A168" s="95" t="s">
        <v>28</v>
      </c>
      <c r="B168" s="69">
        <f>SUM(B160:B167)</f>
        <v>48</v>
      </c>
      <c r="C168" s="95" t="str">
        <f xml:space="preserve"> setValueToTime(B168)</f>
        <v>4h</v>
      </c>
      <c r="D168" s="104"/>
      <c r="E168" s="209"/>
      <c r="F168" s="210"/>
      <c r="G168" s="3"/>
    </row>
    <row r="169" spans="1:7" s="44" customFormat="1" ht="15" thickBot="1" x14ac:dyDescent="0.35">
      <c r="A169" s="64"/>
      <c r="B169" s="64"/>
      <c r="C169" s="64"/>
      <c r="D169" s="64"/>
      <c r="E169" s="64"/>
      <c r="F169" s="64"/>
      <c r="G169" s="3"/>
    </row>
    <row r="170" spans="1:7" s="40" customFormat="1" ht="30" customHeight="1" thickBot="1" x14ac:dyDescent="0.3">
      <c r="A170" s="66" t="s">
        <v>11</v>
      </c>
      <c r="B170" s="146">
        <v>14</v>
      </c>
      <c r="C170" s="146"/>
      <c r="D170" s="67" t="s">
        <v>14</v>
      </c>
      <c r="E170" s="79">
        <v>45435</v>
      </c>
      <c r="F170" s="110" t="s">
        <v>42</v>
      </c>
      <c r="G170" s="39"/>
    </row>
    <row r="171" spans="1:7" s="40" customFormat="1" ht="30" customHeight="1" thickBot="1" x14ac:dyDescent="0.3">
      <c r="A171" s="65" t="s">
        <v>5</v>
      </c>
      <c r="B171" s="133" t="s">
        <v>40</v>
      </c>
      <c r="C171" s="134"/>
      <c r="D171" s="65" t="s">
        <v>12</v>
      </c>
      <c r="E171" s="211" t="s">
        <v>13</v>
      </c>
      <c r="F171" s="212"/>
      <c r="G171" s="39"/>
    </row>
    <row r="172" spans="1:7" s="44" customFormat="1" x14ac:dyDescent="0.3">
      <c r="A172" s="41"/>
      <c r="B172" s="42"/>
      <c r="C172" s="135" t="str">
        <f xml:space="preserve"> IF(B172="","",setValueToTime(B172))</f>
        <v/>
      </c>
      <c r="D172" s="43"/>
      <c r="E172" s="213"/>
      <c r="F172" s="214"/>
      <c r="G172" s="3"/>
    </row>
    <row r="173" spans="1:7" s="44" customFormat="1" ht="27" x14ac:dyDescent="0.3">
      <c r="A173" s="45" t="s">
        <v>66</v>
      </c>
      <c r="B173" s="46">
        <v>4</v>
      </c>
      <c r="C173" s="136" t="str">
        <f t="shared" ref="C173:C179" si="14" xml:space="preserve"> IF(B173="","",setValueToTime(B173))</f>
        <v>0h20min</v>
      </c>
      <c r="D173" s="47" t="s">
        <v>87</v>
      </c>
      <c r="E173" s="215"/>
      <c r="F173" s="216"/>
      <c r="G173" s="3"/>
    </row>
    <row r="174" spans="1:7" s="44" customFormat="1" ht="27" x14ac:dyDescent="0.3">
      <c r="A174" s="45" t="s">
        <v>79</v>
      </c>
      <c r="B174" s="46">
        <v>32</v>
      </c>
      <c r="C174" s="136" t="str">
        <f t="shared" si="14"/>
        <v>2h40min</v>
      </c>
      <c r="D174" s="47" t="s">
        <v>88</v>
      </c>
      <c r="E174" s="215"/>
      <c r="F174" s="216"/>
      <c r="G174" s="3"/>
    </row>
    <row r="175" spans="1:7" s="44" customFormat="1" x14ac:dyDescent="0.3">
      <c r="A175" s="45" t="s">
        <v>16</v>
      </c>
      <c r="B175" s="46">
        <v>2</v>
      </c>
      <c r="C175" s="136" t="str">
        <f t="shared" si="14"/>
        <v>0h10min</v>
      </c>
      <c r="D175" s="47" t="s">
        <v>75</v>
      </c>
      <c r="E175" s="215"/>
      <c r="F175" s="216"/>
      <c r="G175" s="3"/>
    </row>
    <row r="176" spans="1:7" s="44" customFormat="1" x14ac:dyDescent="0.3">
      <c r="A176" s="46"/>
      <c r="B176" s="46"/>
      <c r="C176" s="137" t="str">
        <f t="shared" si="14"/>
        <v/>
      </c>
      <c r="D176" s="47"/>
      <c r="E176" s="215"/>
      <c r="F176" s="216"/>
      <c r="G176" s="3"/>
    </row>
    <row r="177" spans="1:7" s="44" customFormat="1" x14ac:dyDescent="0.3">
      <c r="A177" s="46"/>
      <c r="B177" s="46"/>
      <c r="C177" s="137" t="str">
        <f t="shared" si="14"/>
        <v/>
      </c>
      <c r="D177" s="47"/>
      <c r="E177" s="215"/>
      <c r="F177" s="216"/>
      <c r="G177" s="3"/>
    </row>
    <row r="178" spans="1:7" s="44" customFormat="1" x14ac:dyDescent="0.3">
      <c r="A178" s="46"/>
      <c r="B178" s="46"/>
      <c r="C178" s="137" t="str">
        <f t="shared" si="14"/>
        <v/>
      </c>
      <c r="D178" s="47"/>
      <c r="E178" s="215"/>
      <c r="F178" s="216"/>
      <c r="G178" s="3"/>
    </row>
    <row r="179" spans="1:7" s="44" customFormat="1" ht="15" thickBot="1" x14ac:dyDescent="0.35">
      <c r="A179" s="48"/>
      <c r="B179" s="48"/>
      <c r="C179" s="138" t="str">
        <f t="shared" si="14"/>
        <v/>
      </c>
      <c r="D179" s="49"/>
      <c r="E179" s="217"/>
      <c r="F179" s="218"/>
      <c r="G179" s="3"/>
    </row>
    <row r="180" spans="1:7" s="44" customFormat="1" ht="15" thickBot="1" x14ac:dyDescent="0.35">
      <c r="A180" s="95" t="s">
        <v>28</v>
      </c>
      <c r="B180" s="69">
        <f>SUM(B172:B179)</f>
        <v>38</v>
      </c>
      <c r="C180" s="95" t="str">
        <f xml:space="preserve"> setValueToTime(B180)</f>
        <v>3h10min</v>
      </c>
      <c r="D180" s="104"/>
      <c r="E180" s="209"/>
      <c r="F180" s="210"/>
      <c r="G180" s="3"/>
    </row>
    <row r="181" spans="1:7" s="44" customFormat="1" ht="15" thickBot="1" x14ac:dyDescent="0.35">
      <c r="A181" s="64"/>
      <c r="B181" s="64"/>
      <c r="C181" s="64"/>
      <c r="D181" s="64"/>
      <c r="E181" s="64"/>
      <c r="F181" s="64"/>
      <c r="G181" s="3"/>
    </row>
    <row r="182" spans="1:7" s="40" customFormat="1" ht="30" customHeight="1" thickBot="1" x14ac:dyDescent="0.3">
      <c r="A182" s="66" t="s">
        <v>11</v>
      </c>
      <c r="B182" s="146">
        <v>13</v>
      </c>
      <c r="C182" s="146"/>
      <c r="D182" s="67" t="s">
        <v>14</v>
      </c>
      <c r="E182" s="79">
        <v>45435</v>
      </c>
      <c r="F182" s="110" t="s">
        <v>41</v>
      </c>
      <c r="G182" s="39"/>
    </row>
    <row r="183" spans="1:7" s="40" customFormat="1" ht="30" customHeight="1" thickBot="1" x14ac:dyDescent="0.3">
      <c r="A183" s="65" t="s">
        <v>5</v>
      </c>
      <c r="B183" s="133" t="s">
        <v>40</v>
      </c>
      <c r="C183" s="134"/>
      <c r="D183" s="65" t="s">
        <v>12</v>
      </c>
      <c r="E183" s="211" t="s">
        <v>13</v>
      </c>
      <c r="F183" s="212"/>
      <c r="G183" s="39"/>
    </row>
    <row r="184" spans="1:7" s="44" customFormat="1" x14ac:dyDescent="0.3">
      <c r="A184" s="41"/>
      <c r="B184" s="42"/>
      <c r="C184" s="135" t="str">
        <f xml:space="preserve"> IF(B184="","",setValueToTime(B184))</f>
        <v/>
      </c>
      <c r="D184" s="43"/>
      <c r="E184" s="213"/>
      <c r="F184" s="214"/>
      <c r="G184" s="3"/>
    </row>
    <row r="185" spans="1:7" s="44" customFormat="1" ht="27" x14ac:dyDescent="0.3">
      <c r="A185" s="45" t="s">
        <v>52</v>
      </c>
      <c r="B185" s="46">
        <v>28</v>
      </c>
      <c r="C185" s="136" t="str">
        <f t="shared" ref="C185:C191" si="15" xml:space="preserve"> IF(B185="","",setValueToTime(B185))</f>
        <v>2h20min</v>
      </c>
      <c r="D185" s="47" t="s">
        <v>86</v>
      </c>
      <c r="E185" s="215"/>
      <c r="F185" s="216"/>
      <c r="G185" s="3"/>
    </row>
    <row r="186" spans="1:7" s="44" customFormat="1" x14ac:dyDescent="0.3">
      <c r="A186" s="45" t="s">
        <v>82</v>
      </c>
      <c r="B186" s="46">
        <v>12</v>
      </c>
      <c r="C186" s="136" t="str">
        <f t="shared" si="15"/>
        <v>1h</v>
      </c>
      <c r="D186" s="47" t="s">
        <v>85</v>
      </c>
      <c r="E186" s="215"/>
      <c r="F186" s="216"/>
      <c r="G186" s="3"/>
    </row>
    <row r="187" spans="1:7" s="44" customFormat="1" x14ac:dyDescent="0.3">
      <c r="A187" s="45" t="s">
        <v>15</v>
      </c>
      <c r="B187" s="46">
        <v>6</v>
      </c>
      <c r="C187" s="136" t="str">
        <f t="shared" si="15"/>
        <v>0h30min</v>
      </c>
      <c r="D187" s="47" t="s">
        <v>77</v>
      </c>
      <c r="E187" s="215"/>
      <c r="F187" s="216"/>
      <c r="G187" s="3"/>
    </row>
    <row r="188" spans="1:7" s="44" customFormat="1" x14ac:dyDescent="0.3">
      <c r="A188" s="46" t="s">
        <v>16</v>
      </c>
      <c r="B188" s="46">
        <v>2</v>
      </c>
      <c r="C188" s="137" t="str">
        <f t="shared" si="15"/>
        <v>0h10min</v>
      </c>
      <c r="D188" s="47" t="s">
        <v>75</v>
      </c>
      <c r="E188" s="215"/>
      <c r="F188" s="216"/>
      <c r="G188" s="3"/>
    </row>
    <row r="189" spans="1:7" s="44" customFormat="1" x14ac:dyDescent="0.3">
      <c r="A189" s="46"/>
      <c r="B189" s="46"/>
      <c r="C189" s="137" t="str">
        <f t="shared" si="15"/>
        <v/>
      </c>
      <c r="D189" s="47"/>
      <c r="E189" s="215"/>
      <c r="F189" s="216"/>
      <c r="G189" s="3"/>
    </row>
    <row r="190" spans="1:7" s="44" customFormat="1" x14ac:dyDescent="0.3">
      <c r="A190" s="46"/>
      <c r="B190" s="46"/>
      <c r="C190" s="137" t="str">
        <f t="shared" si="15"/>
        <v/>
      </c>
      <c r="D190" s="47"/>
      <c r="E190" s="215"/>
      <c r="F190" s="216"/>
      <c r="G190" s="3"/>
    </row>
    <row r="191" spans="1:7" s="44" customFormat="1" ht="15" thickBot="1" x14ac:dyDescent="0.35">
      <c r="A191" s="48"/>
      <c r="B191" s="48"/>
      <c r="C191" s="138" t="str">
        <f t="shared" si="15"/>
        <v/>
      </c>
      <c r="D191" s="49"/>
      <c r="E191" s="217"/>
      <c r="F191" s="218"/>
      <c r="G191" s="3"/>
    </row>
    <row r="192" spans="1:7" s="44" customFormat="1" ht="15" thickBot="1" x14ac:dyDescent="0.35">
      <c r="A192" s="95" t="s">
        <v>28</v>
      </c>
      <c r="B192" s="69">
        <f>SUM(B184:B191)</f>
        <v>48</v>
      </c>
      <c r="C192" s="95" t="str">
        <f xml:space="preserve"> setValueToTime(B192)</f>
        <v>4h</v>
      </c>
      <c r="D192" s="104"/>
      <c r="E192" s="209"/>
      <c r="F192" s="210"/>
      <c r="G192" s="3"/>
    </row>
    <row r="193" spans="1:7" s="44" customFormat="1" ht="15" thickBot="1" x14ac:dyDescent="0.35">
      <c r="A193" s="64"/>
      <c r="B193" s="64"/>
      <c r="C193" s="64"/>
      <c r="D193" s="64"/>
      <c r="E193" s="64"/>
      <c r="F193" s="64"/>
      <c r="G193" s="3"/>
    </row>
    <row r="194" spans="1:7" s="40" customFormat="1" ht="30" customHeight="1" thickBot="1" x14ac:dyDescent="0.3">
      <c r="A194" s="66" t="s">
        <v>11</v>
      </c>
      <c r="B194" s="146">
        <v>12</v>
      </c>
      <c r="C194" s="146"/>
      <c r="D194" s="67" t="s">
        <v>14</v>
      </c>
      <c r="E194" s="79">
        <v>45434</v>
      </c>
      <c r="F194" s="110" t="s">
        <v>41</v>
      </c>
      <c r="G194" s="39"/>
    </row>
    <row r="195" spans="1:7" s="40" customFormat="1" ht="30" customHeight="1" thickBot="1" x14ac:dyDescent="0.3">
      <c r="A195" s="65" t="s">
        <v>5</v>
      </c>
      <c r="B195" s="133" t="s">
        <v>40</v>
      </c>
      <c r="C195" s="134"/>
      <c r="D195" s="65" t="s">
        <v>12</v>
      </c>
      <c r="E195" s="211" t="s">
        <v>13</v>
      </c>
      <c r="F195" s="212"/>
      <c r="G195" s="39"/>
    </row>
    <row r="196" spans="1:7" s="44" customFormat="1" x14ac:dyDescent="0.3">
      <c r="A196" s="41"/>
      <c r="B196" s="42"/>
      <c r="C196" s="135" t="str">
        <f xml:space="preserve"> IF(B196="","",setValueToTime(B196))</f>
        <v/>
      </c>
      <c r="D196" s="43"/>
      <c r="E196" s="213"/>
      <c r="F196" s="214"/>
      <c r="G196" s="3"/>
    </row>
    <row r="197" spans="1:7" s="44" customFormat="1" x14ac:dyDescent="0.3">
      <c r="A197" s="45" t="s">
        <v>15</v>
      </c>
      <c r="B197" s="46">
        <v>19</v>
      </c>
      <c r="C197" s="136" t="str">
        <f t="shared" ref="C197:C203" si="16" xml:space="preserve"> IF(B197="","",setValueToTime(B197))</f>
        <v>1h35min</v>
      </c>
      <c r="D197" s="47" t="s">
        <v>77</v>
      </c>
      <c r="E197" s="215"/>
      <c r="F197" s="216"/>
      <c r="G197" s="3"/>
    </row>
    <row r="198" spans="1:7" s="44" customFormat="1" ht="27" x14ac:dyDescent="0.3">
      <c r="A198" s="45" t="s">
        <v>52</v>
      </c>
      <c r="B198" s="46">
        <v>7</v>
      </c>
      <c r="C198" s="136" t="str">
        <f t="shared" si="16"/>
        <v>0h35min</v>
      </c>
      <c r="D198" s="47" t="s">
        <v>84</v>
      </c>
      <c r="E198" s="215"/>
      <c r="F198" s="216"/>
      <c r="G198" s="3"/>
    </row>
    <row r="199" spans="1:7" s="44" customFormat="1" x14ac:dyDescent="0.3">
      <c r="A199" s="45" t="s">
        <v>16</v>
      </c>
      <c r="B199" s="46">
        <v>2</v>
      </c>
      <c r="C199" s="136" t="str">
        <f t="shared" si="16"/>
        <v>0h10min</v>
      </c>
      <c r="D199" s="47" t="s">
        <v>75</v>
      </c>
      <c r="E199" s="215"/>
      <c r="F199" s="216"/>
      <c r="G199" s="3"/>
    </row>
    <row r="200" spans="1:7" s="44" customFormat="1" x14ac:dyDescent="0.3">
      <c r="A200" s="46"/>
      <c r="B200" s="46"/>
      <c r="C200" s="137" t="str">
        <f t="shared" si="16"/>
        <v/>
      </c>
      <c r="D200" s="47"/>
      <c r="E200" s="215"/>
      <c r="F200" s="216"/>
      <c r="G200" s="3"/>
    </row>
    <row r="201" spans="1:7" s="44" customFormat="1" x14ac:dyDescent="0.3">
      <c r="A201" s="46"/>
      <c r="B201" s="46"/>
      <c r="C201" s="137" t="str">
        <f t="shared" si="16"/>
        <v/>
      </c>
      <c r="D201" s="47"/>
      <c r="E201" s="215"/>
      <c r="F201" s="216"/>
      <c r="G201" s="3"/>
    </row>
    <row r="202" spans="1:7" s="44" customFormat="1" x14ac:dyDescent="0.3">
      <c r="A202" s="46"/>
      <c r="B202" s="46"/>
      <c r="C202" s="137" t="str">
        <f t="shared" si="16"/>
        <v/>
      </c>
      <c r="D202" s="47"/>
      <c r="E202" s="215"/>
      <c r="F202" s="216"/>
      <c r="G202" s="3"/>
    </row>
    <row r="203" spans="1:7" s="44" customFormat="1" ht="15" thickBot="1" x14ac:dyDescent="0.35">
      <c r="A203" s="48"/>
      <c r="B203" s="48"/>
      <c r="C203" s="138" t="str">
        <f t="shared" si="16"/>
        <v/>
      </c>
      <c r="D203" s="49"/>
      <c r="E203" s="217"/>
      <c r="F203" s="218"/>
      <c r="G203" s="3"/>
    </row>
    <row r="204" spans="1:7" s="44" customFormat="1" ht="15" thickBot="1" x14ac:dyDescent="0.35">
      <c r="A204" s="95" t="s">
        <v>28</v>
      </c>
      <c r="B204" s="69">
        <f>SUM(B196:B203)</f>
        <v>28</v>
      </c>
      <c r="C204" s="95" t="str">
        <f xml:space="preserve"> setValueToTime(B204)</f>
        <v>2h20min</v>
      </c>
      <c r="D204" s="104"/>
      <c r="E204" s="209"/>
      <c r="F204" s="210"/>
      <c r="G204" s="3"/>
    </row>
    <row r="205" spans="1:7" s="44" customFormat="1" ht="15" thickBot="1" x14ac:dyDescent="0.35">
      <c r="A205" s="64"/>
      <c r="B205" s="64"/>
      <c r="C205" s="64"/>
      <c r="D205" s="64"/>
      <c r="E205" s="64"/>
      <c r="F205" s="64"/>
      <c r="G205" s="3"/>
    </row>
    <row r="206" spans="1:7" s="40" customFormat="1" ht="30" customHeight="1" thickBot="1" x14ac:dyDescent="0.3">
      <c r="A206" s="66" t="s">
        <v>11</v>
      </c>
      <c r="B206" s="146">
        <v>11</v>
      </c>
      <c r="C206" s="146"/>
      <c r="D206" s="67" t="s">
        <v>14</v>
      </c>
      <c r="E206" s="79">
        <v>45433</v>
      </c>
      <c r="F206" s="110" t="s">
        <v>42</v>
      </c>
      <c r="G206" s="39"/>
    </row>
    <row r="207" spans="1:7" s="40" customFormat="1" ht="30" customHeight="1" thickBot="1" x14ac:dyDescent="0.3">
      <c r="A207" s="65" t="s">
        <v>5</v>
      </c>
      <c r="B207" s="133" t="s">
        <v>40</v>
      </c>
      <c r="C207" s="134"/>
      <c r="D207" s="65" t="s">
        <v>12</v>
      </c>
      <c r="E207" s="211" t="s">
        <v>13</v>
      </c>
      <c r="F207" s="212"/>
      <c r="G207" s="39"/>
    </row>
    <row r="208" spans="1:7" s="44" customFormat="1" x14ac:dyDescent="0.3">
      <c r="A208" s="41"/>
      <c r="B208" s="42"/>
      <c r="C208" s="135" t="str">
        <f xml:space="preserve"> IF(B208="","",setValueToTime(B208))</f>
        <v/>
      </c>
      <c r="D208" s="43"/>
      <c r="E208" s="213"/>
      <c r="F208" s="214"/>
      <c r="G208" s="3"/>
    </row>
    <row r="209" spans="1:7" s="44" customFormat="1" ht="27" x14ac:dyDescent="0.3">
      <c r="A209" s="45" t="s">
        <v>51</v>
      </c>
      <c r="B209" s="46">
        <v>14</v>
      </c>
      <c r="C209" s="136" t="str">
        <f t="shared" ref="C209:C215" si="17" xml:space="preserve"> IF(B209="","",setValueToTime(B209))</f>
        <v>1h10min</v>
      </c>
      <c r="D209" s="47" t="s">
        <v>74</v>
      </c>
      <c r="E209" s="215"/>
      <c r="F209" s="216"/>
      <c r="G209" s="3"/>
    </row>
    <row r="210" spans="1:7" s="44" customFormat="1" x14ac:dyDescent="0.3">
      <c r="A210" s="45" t="s">
        <v>82</v>
      </c>
      <c r="B210" s="46">
        <v>12</v>
      </c>
      <c r="C210" s="136" t="str">
        <f t="shared" si="17"/>
        <v>1h</v>
      </c>
      <c r="D210" s="47" t="s">
        <v>76</v>
      </c>
      <c r="E210" s="215"/>
      <c r="F210" s="216"/>
      <c r="G210" s="3"/>
    </row>
    <row r="211" spans="1:7" s="44" customFormat="1" x14ac:dyDescent="0.3">
      <c r="A211" s="45" t="s">
        <v>16</v>
      </c>
      <c r="B211" s="46">
        <v>2</v>
      </c>
      <c r="C211" s="136" t="str">
        <f t="shared" si="17"/>
        <v>0h10min</v>
      </c>
      <c r="D211" s="47" t="s">
        <v>75</v>
      </c>
      <c r="E211" s="215"/>
      <c r="F211" s="216"/>
      <c r="G211" s="3"/>
    </row>
    <row r="212" spans="1:7" s="44" customFormat="1" x14ac:dyDescent="0.3">
      <c r="A212" s="46"/>
      <c r="B212" s="46"/>
      <c r="C212" s="137" t="str">
        <f t="shared" si="17"/>
        <v/>
      </c>
      <c r="D212" s="47"/>
      <c r="E212" s="215"/>
      <c r="F212" s="216"/>
      <c r="G212" s="3"/>
    </row>
    <row r="213" spans="1:7" s="44" customFormat="1" x14ac:dyDescent="0.3">
      <c r="A213" s="46"/>
      <c r="B213" s="46"/>
      <c r="C213" s="137" t="str">
        <f t="shared" si="17"/>
        <v/>
      </c>
      <c r="D213" s="47"/>
      <c r="E213" s="215"/>
      <c r="F213" s="216"/>
      <c r="G213" s="3"/>
    </row>
    <row r="214" spans="1:7" s="44" customFormat="1" x14ac:dyDescent="0.3">
      <c r="A214" s="46"/>
      <c r="B214" s="46"/>
      <c r="C214" s="137" t="str">
        <f t="shared" si="17"/>
        <v/>
      </c>
      <c r="D214" s="47"/>
      <c r="E214" s="215"/>
      <c r="F214" s="216"/>
      <c r="G214" s="3"/>
    </row>
    <row r="215" spans="1:7" s="44" customFormat="1" ht="15" thickBot="1" x14ac:dyDescent="0.35">
      <c r="A215" s="48"/>
      <c r="B215" s="48"/>
      <c r="C215" s="138" t="str">
        <f t="shared" si="17"/>
        <v/>
      </c>
      <c r="D215" s="49"/>
      <c r="E215" s="217"/>
      <c r="F215" s="218"/>
      <c r="G215" s="3"/>
    </row>
    <row r="216" spans="1:7" s="44" customFormat="1" ht="15" thickBot="1" x14ac:dyDescent="0.35">
      <c r="A216" s="95" t="s">
        <v>28</v>
      </c>
      <c r="B216" s="69">
        <f>SUM(B208:B215)</f>
        <v>28</v>
      </c>
      <c r="C216" s="95" t="str">
        <f xml:space="preserve"> setValueToTime(B216)</f>
        <v>2h20min</v>
      </c>
      <c r="D216" s="104"/>
      <c r="E216" s="209"/>
      <c r="F216" s="210"/>
      <c r="G216" s="3"/>
    </row>
    <row r="217" spans="1:7" s="44" customFormat="1" ht="15" thickBot="1" x14ac:dyDescent="0.35">
      <c r="A217" s="64"/>
      <c r="B217" s="64"/>
      <c r="C217" s="64"/>
      <c r="D217" s="64"/>
      <c r="E217" s="64"/>
      <c r="F217" s="64"/>
      <c r="G217" s="3"/>
    </row>
    <row r="218" spans="1:7" s="40" customFormat="1" ht="30" customHeight="1" thickBot="1" x14ac:dyDescent="0.3">
      <c r="A218" s="66" t="s">
        <v>11</v>
      </c>
      <c r="B218" s="146">
        <v>10</v>
      </c>
      <c r="C218" s="146"/>
      <c r="D218" s="67" t="s">
        <v>14</v>
      </c>
      <c r="E218" s="79">
        <v>45433</v>
      </c>
      <c r="F218" s="110" t="s">
        <v>41</v>
      </c>
      <c r="G218" s="39"/>
    </row>
    <row r="219" spans="1:7" s="40" customFormat="1" ht="30" customHeight="1" thickBot="1" x14ac:dyDescent="0.3">
      <c r="A219" s="65" t="s">
        <v>5</v>
      </c>
      <c r="B219" s="133" t="s">
        <v>40</v>
      </c>
      <c r="C219" s="134"/>
      <c r="D219" s="65" t="s">
        <v>12</v>
      </c>
      <c r="E219" s="211" t="s">
        <v>13</v>
      </c>
      <c r="F219" s="212"/>
      <c r="G219" s="39"/>
    </row>
    <row r="220" spans="1:7" s="44" customFormat="1" x14ac:dyDescent="0.3">
      <c r="A220" s="41"/>
      <c r="B220" s="42"/>
      <c r="C220" s="135" t="str">
        <f xml:space="preserve"> IF(B220="","",setValueToTime(B220))</f>
        <v/>
      </c>
      <c r="D220" s="43"/>
      <c r="E220" s="213"/>
      <c r="F220" s="214"/>
      <c r="G220" s="3"/>
    </row>
    <row r="221" spans="1:7" s="44" customFormat="1" x14ac:dyDescent="0.3">
      <c r="A221" s="45" t="s">
        <v>15</v>
      </c>
      <c r="B221" s="46">
        <v>19</v>
      </c>
      <c r="C221" s="136" t="str">
        <f t="shared" ref="C221:C227" si="18" xml:space="preserve"> IF(B221="","",setValueToTime(B221))</f>
        <v>1h35min</v>
      </c>
      <c r="D221" s="47" t="s">
        <v>78</v>
      </c>
      <c r="E221" s="215"/>
      <c r="F221" s="216"/>
      <c r="G221" s="3"/>
    </row>
    <row r="222" spans="1:7" s="44" customFormat="1" ht="27" x14ac:dyDescent="0.3">
      <c r="A222" s="45" t="s">
        <v>51</v>
      </c>
      <c r="B222" s="46">
        <v>27</v>
      </c>
      <c r="C222" s="136" t="str">
        <f t="shared" si="18"/>
        <v>2h15min</v>
      </c>
      <c r="D222" s="47" t="s">
        <v>73</v>
      </c>
      <c r="E222" s="215"/>
      <c r="F222" s="216"/>
      <c r="G222" s="3"/>
    </row>
    <row r="223" spans="1:7" s="44" customFormat="1" x14ac:dyDescent="0.3">
      <c r="A223" s="45" t="s">
        <v>16</v>
      </c>
      <c r="B223" s="46">
        <v>2</v>
      </c>
      <c r="C223" s="136" t="str">
        <f t="shared" si="18"/>
        <v>0h10min</v>
      </c>
      <c r="D223" s="47" t="s">
        <v>75</v>
      </c>
      <c r="E223" s="215"/>
      <c r="F223" s="216"/>
      <c r="G223" s="3"/>
    </row>
    <row r="224" spans="1:7" s="44" customFormat="1" x14ac:dyDescent="0.3">
      <c r="A224" s="46"/>
      <c r="B224" s="46"/>
      <c r="C224" s="137" t="str">
        <f t="shared" si="18"/>
        <v/>
      </c>
      <c r="D224" s="47"/>
      <c r="E224" s="215"/>
      <c r="F224" s="216"/>
      <c r="G224" s="3"/>
    </row>
    <row r="225" spans="1:7" s="44" customFormat="1" x14ac:dyDescent="0.3">
      <c r="A225" s="46"/>
      <c r="B225" s="46"/>
      <c r="C225" s="137" t="str">
        <f t="shared" si="18"/>
        <v/>
      </c>
      <c r="D225" s="47"/>
      <c r="E225" s="215"/>
      <c r="F225" s="216"/>
      <c r="G225" s="3"/>
    </row>
    <row r="226" spans="1:7" s="44" customFormat="1" x14ac:dyDescent="0.3">
      <c r="A226" s="46"/>
      <c r="B226" s="46"/>
      <c r="C226" s="137" t="str">
        <f t="shared" si="18"/>
        <v/>
      </c>
      <c r="D226" s="47"/>
      <c r="E226" s="215"/>
      <c r="F226" s="216"/>
      <c r="G226" s="3"/>
    </row>
    <row r="227" spans="1:7" s="44" customFormat="1" ht="15" thickBot="1" x14ac:dyDescent="0.35">
      <c r="A227" s="48"/>
      <c r="B227" s="48"/>
      <c r="C227" s="138" t="str">
        <f t="shared" si="18"/>
        <v/>
      </c>
      <c r="D227" s="49"/>
      <c r="E227" s="217"/>
      <c r="F227" s="218"/>
      <c r="G227" s="3"/>
    </row>
    <row r="228" spans="1:7" s="44" customFormat="1" ht="15" thickBot="1" x14ac:dyDescent="0.35">
      <c r="A228" s="95" t="s">
        <v>28</v>
      </c>
      <c r="B228" s="69">
        <f>SUM(B220:B227)</f>
        <v>48</v>
      </c>
      <c r="C228" s="95" t="str">
        <f xml:space="preserve"> setValueToTime(B228)</f>
        <v>4h</v>
      </c>
      <c r="D228" s="104"/>
      <c r="E228" s="209"/>
      <c r="F228" s="210"/>
      <c r="G228" s="3"/>
    </row>
    <row r="229" spans="1:7" s="44" customFormat="1" ht="15" thickBot="1" x14ac:dyDescent="0.35">
      <c r="A229" s="64"/>
      <c r="B229" s="64"/>
      <c r="C229" s="64"/>
      <c r="D229" s="64"/>
      <c r="E229" s="64"/>
      <c r="F229" s="64"/>
      <c r="G229" s="3"/>
    </row>
    <row r="230" spans="1:7" s="40" customFormat="1" ht="30" customHeight="1" thickBot="1" x14ac:dyDescent="0.3">
      <c r="A230" s="66" t="s">
        <v>11</v>
      </c>
      <c r="B230" s="146">
        <v>9</v>
      </c>
      <c r="C230" s="146"/>
      <c r="D230" s="67" t="s">
        <v>14</v>
      </c>
      <c r="E230" s="79">
        <v>45429</v>
      </c>
      <c r="F230" s="110" t="s">
        <v>42</v>
      </c>
      <c r="G230" s="39"/>
    </row>
    <row r="231" spans="1:7" s="40" customFormat="1" ht="30" customHeight="1" thickBot="1" x14ac:dyDescent="0.3">
      <c r="A231" s="65" t="s">
        <v>5</v>
      </c>
      <c r="B231" s="133" t="s">
        <v>40</v>
      </c>
      <c r="C231" s="134"/>
      <c r="D231" s="65" t="s">
        <v>12</v>
      </c>
      <c r="E231" s="211" t="s">
        <v>13</v>
      </c>
      <c r="F231" s="212"/>
      <c r="G231" s="39"/>
    </row>
    <row r="232" spans="1:7" s="44" customFormat="1" x14ac:dyDescent="0.3">
      <c r="A232" s="41"/>
      <c r="B232" s="42"/>
      <c r="C232" s="135" t="str">
        <f xml:space="preserve"> IF(B232="","",setValueToTime(B232))</f>
        <v/>
      </c>
      <c r="D232" s="43"/>
      <c r="E232" s="213"/>
      <c r="F232" s="214"/>
      <c r="G232" s="3"/>
    </row>
    <row r="233" spans="1:7" s="44" customFormat="1" x14ac:dyDescent="0.3">
      <c r="A233" s="45" t="s">
        <v>50</v>
      </c>
      <c r="B233" s="46">
        <v>24</v>
      </c>
      <c r="C233" s="136" t="str">
        <f t="shared" ref="C233:C239" si="19" xml:space="preserve"> IF(B233="","",setValueToTime(B233))</f>
        <v>2h</v>
      </c>
      <c r="D233" s="47" t="s">
        <v>71</v>
      </c>
      <c r="E233" s="215"/>
      <c r="F233" s="216"/>
      <c r="G233" s="3"/>
    </row>
    <row r="234" spans="1:7" s="44" customFormat="1" x14ac:dyDescent="0.3">
      <c r="A234" s="45" t="s">
        <v>82</v>
      </c>
      <c r="B234" s="46">
        <v>12</v>
      </c>
      <c r="C234" s="136" t="str">
        <f t="shared" si="19"/>
        <v>1h</v>
      </c>
      <c r="D234" s="47" t="s">
        <v>72</v>
      </c>
      <c r="E234" s="215"/>
      <c r="F234" s="216"/>
      <c r="G234" s="3"/>
    </row>
    <row r="235" spans="1:7" s="44" customFormat="1" x14ac:dyDescent="0.3">
      <c r="A235" s="45" t="s">
        <v>16</v>
      </c>
      <c r="B235" s="46">
        <v>2</v>
      </c>
      <c r="C235" s="136" t="str">
        <f t="shared" si="19"/>
        <v>0h10min</v>
      </c>
      <c r="D235" s="47" t="s">
        <v>75</v>
      </c>
      <c r="E235" s="215"/>
      <c r="F235" s="216"/>
      <c r="G235" s="3"/>
    </row>
    <row r="236" spans="1:7" s="44" customFormat="1" x14ac:dyDescent="0.3">
      <c r="A236" s="46"/>
      <c r="B236" s="46"/>
      <c r="C236" s="137" t="str">
        <f t="shared" si="19"/>
        <v/>
      </c>
      <c r="D236" s="47"/>
      <c r="E236" s="215"/>
      <c r="F236" s="216"/>
      <c r="G236" s="3"/>
    </row>
    <row r="237" spans="1:7" s="44" customFormat="1" x14ac:dyDescent="0.3">
      <c r="A237" s="46"/>
      <c r="B237" s="46"/>
      <c r="C237" s="137" t="str">
        <f t="shared" si="19"/>
        <v/>
      </c>
      <c r="D237" s="47"/>
      <c r="E237" s="215"/>
      <c r="F237" s="216"/>
      <c r="G237" s="3"/>
    </row>
    <row r="238" spans="1:7" s="44" customFormat="1" x14ac:dyDescent="0.3">
      <c r="A238" s="46"/>
      <c r="B238" s="46"/>
      <c r="C238" s="137" t="str">
        <f t="shared" si="19"/>
        <v/>
      </c>
      <c r="D238" s="47"/>
      <c r="E238" s="215"/>
      <c r="F238" s="216"/>
      <c r="G238" s="3"/>
    </row>
    <row r="239" spans="1:7" s="44" customFormat="1" ht="15" thickBot="1" x14ac:dyDescent="0.35">
      <c r="A239" s="48"/>
      <c r="B239" s="48"/>
      <c r="C239" s="138" t="str">
        <f t="shared" si="19"/>
        <v/>
      </c>
      <c r="D239" s="49"/>
      <c r="E239" s="217"/>
      <c r="F239" s="218"/>
      <c r="G239" s="3"/>
    </row>
    <row r="240" spans="1:7" s="44" customFormat="1" ht="15" thickBot="1" x14ac:dyDescent="0.35">
      <c r="A240" s="95" t="s">
        <v>28</v>
      </c>
      <c r="B240" s="69">
        <f>SUM(B232:B239)</f>
        <v>38</v>
      </c>
      <c r="C240" s="95" t="str">
        <f xml:space="preserve"> setValueToTime(B240)</f>
        <v>3h10min</v>
      </c>
      <c r="D240" s="104"/>
      <c r="E240" s="209"/>
      <c r="F240" s="210"/>
      <c r="G240" s="3"/>
    </row>
    <row r="241" spans="1:7" s="44" customFormat="1" ht="15" thickBot="1" x14ac:dyDescent="0.35">
      <c r="A241" s="64"/>
      <c r="B241" s="64"/>
      <c r="C241" s="64"/>
      <c r="D241" s="64"/>
      <c r="E241" s="64"/>
      <c r="F241" s="64"/>
      <c r="G241" s="3"/>
    </row>
    <row r="242" spans="1:7" s="40" customFormat="1" ht="30" customHeight="1" thickBot="1" x14ac:dyDescent="0.3">
      <c r="A242" s="66" t="s">
        <v>11</v>
      </c>
      <c r="B242" s="146">
        <v>8</v>
      </c>
      <c r="C242" s="146"/>
      <c r="D242" s="67" t="s">
        <v>14</v>
      </c>
      <c r="E242" s="79">
        <v>45429</v>
      </c>
      <c r="F242" s="110" t="s">
        <v>41</v>
      </c>
      <c r="G242" s="39"/>
    </row>
    <row r="243" spans="1:7" s="40" customFormat="1" ht="30" customHeight="1" thickBot="1" x14ac:dyDescent="0.3">
      <c r="A243" s="65" t="s">
        <v>5</v>
      </c>
      <c r="B243" s="133" t="s">
        <v>40</v>
      </c>
      <c r="C243" s="134"/>
      <c r="D243" s="65" t="s">
        <v>12</v>
      </c>
      <c r="E243" s="211" t="s">
        <v>13</v>
      </c>
      <c r="F243" s="212"/>
      <c r="G243" s="39"/>
    </row>
    <row r="244" spans="1:7" s="44" customFormat="1" x14ac:dyDescent="0.3">
      <c r="A244" s="41"/>
      <c r="B244" s="46"/>
      <c r="C244" s="135" t="str">
        <f xml:space="preserve"> IF(B244="","",setValueToTime(B244))</f>
        <v/>
      </c>
      <c r="D244" s="43"/>
      <c r="E244" s="213"/>
      <c r="F244" s="214"/>
      <c r="G244" s="3"/>
    </row>
    <row r="245" spans="1:7" s="44" customFormat="1" x14ac:dyDescent="0.3">
      <c r="A245" s="45" t="s">
        <v>82</v>
      </c>
      <c r="B245" s="46">
        <v>12</v>
      </c>
      <c r="C245" s="136" t="str">
        <f t="shared" ref="C245:C251" si="20" xml:space="preserve"> IF(B245="","",setValueToTime(B245))</f>
        <v>1h</v>
      </c>
      <c r="D245" s="47" t="s">
        <v>69</v>
      </c>
      <c r="E245" s="215"/>
      <c r="F245" s="216"/>
      <c r="G245" s="3"/>
    </row>
    <row r="246" spans="1:7" s="44" customFormat="1" x14ac:dyDescent="0.3">
      <c r="A246" s="45" t="s">
        <v>15</v>
      </c>
      <c r="B246" s="46">
        <v>6</v>
      </c>
      <c r="C246" s="136" t="str">
        <f t="shared" si="20"/>
        <v>0h30min</v>
      </c>
      <c r="D246" s="47" t="s">
        <v>67</v>
      </c>
      <c r="E246" s="215"/>
      <c r="F246" s="216"/>
      <c r="G246" s="3"/>
    </row>
    <row r="247" spans="1:7" s="44" customFormat="1" ht="27" x14ac:dyDescent="0.3">
      <c r="A247" s="45" t="s">
        <v>182</v>
      </c>
      <c r="B247" s="46">
        <v>12</v>
      </c>
      <c r="C247" s="136" t="str">
        <f t="shared" si="20"/>
        <v>1h</v>
      </c>
      <c r="D247" s="226" t="s">
        <v>243</v>
      </c>
      <c r="E247" s="215"/>
      <c r="F247" s="216"/>
      <c r="G247" s="3"/>
    </row>
    <row r="248" spans="1:7" s="44" customFormat="1" ht="27" x14ac:dyDescent="0.3">
      <c r="A248" s="45" t="s">
        <v>50</v>
      </c>
      <c r="B248" s="46">
        <v>16</v>
      </c>
      <c r="C248" s="137" t="str">
        <f t="shared" si="20"/>
        <v>1h20min</v>
      </c>
      <c r="D248" s="47" t="s">
        <v>83</v>
      </c>
      <c r="E248" s="215"/>
      <c r="F248" s="216"/>
      <c r="G248" s="3"/>
    </row>
    <row r="249" spans="1:7" s="44" customFormat="1" x14ac:dyDescent="0.3">
      <c r="A249" s="45" t="s">
        <v>16</v>
      </c>
      <c r="B249" s="46">
        <v>2</v>
      </c>
      <c r="C249" s="137" t="str">
        <f t="shared" si="20"/>
        <v>0h10min</v>
      </c>
      <c r="D249" s="47" t="s">
        <v>75</v>
      </c>
      <c r="E249" s="215"/>
      <c r="F249" s="216"/>
      <c r="G249" s="3"/>
    </row>
    <row r="250" spans="1:7" s="44" customFormat="1" x14ac:dyDescent="0.3">
      <c r="A250" s="46"/>
      <c r="B250" s="46"/>
      <c r="C250" s="137" t="str">
        <f t="shared" si="20"/>
        <v/>
      </c>
      <c r="D250" s="47"/>
      <c r="E250" s="215"/>
      <c r="F250" s="216"/>
      <c r="G250" s="3"/>
    </row>
    <row r="251" spans="1:7" s="44" customFormat="1" ht="15" thickBot="1" x14ac:dyDescent="0.35">
      <c r="A251" s="48"/>
      <c r="B251" s="48"/>
      <c r="C251" s="138" t="str">
        <f t="shared" si="20"/>
        <v/>
      </c>
      <c r="D251" s="49"/>
      <c r="E251" s="217"/>
      <c r="F251" s="218"/>
      <c r="G251" s="3"/>
    </row>
    <row r="252" spans="1:7" s="44" customFormat="1" ht="15" thickBot="1" x14ac:dyDescent="0.35">
      <c r="A252" s="95" t="s">
        <v>28</v>
      </c>
      <c r="B252" s="69">
        <f>SUM(B244:B251)</f>
        <v>48</v>
      </c>
      <c r="C252" s="95" t="str">
        <f xml:space="preserve"> setValueToTime(B252)</f>
        <v>4h</v>
      </c>
      <c r="D252" s="104"/>
      <c r="E252" s="209"/>
      <c r="F252" s="210"/>
      <c r="G252" s="3"/>
    </row>
    <row r="253" spans="1:7" s="44" customFormat="1" ht="15" thickBot="1" x14ac:dyDescent="0.35">
      <c r="A253" s="64"/>
      <c r="B253" s="64"/>
      <c r="C253" s="64"/>
      <c r="D253" s="64"/>
      <c r="E253" s="64"/>
      <c r="F253" s="64"/>
      <c r="G253" s="3"/>
    </row>
    <row r="254" spans="1:7" s="40" customFormat="1" ht="30" customHeight="1" thickBot="1" x14ac:dyDescent="0.3">
      <c r="A254" s="66" t="s">
        <v>11</v>
      </c>
      <c r="B254" s="146">
        <v>7</v>
      </c>
      <c r="C254" s="146"/>
      <c r="D254" s="67" t="s">
        <v>14</v>
      </c>
      <c r="E254" s="79">
        <v>45428</v>
      </c>
      <c r="F254" s="110" t="s">
        <v>42</v>
      </c>
      <c r="G254" s="39"/>
    </row>
    <row r="255" spans="1:7" s="40" customFormat="1" ht="30" customHeight="1" thickBot="1" x14ac:dyDescent="0.3">
      <c r="A255" s="65" t="s">
        <v>5</v>
      </c>
      <c r="B255" s="133" t="s">
        <v>40</v>
      </c>
      <c r="C255" s="134"/>
      <c r="D255" s="65" t="s">
        <v>12</v>
      </c>
      <c r="E255" s="211" t="s">
        <v>13</v>
      </c>
      <c r="F255" s="212"/>
      <c r="G255" s="39"/>
    </row>
    <row r="256" spans="1:7" s="44" customFormat="1" ht="27" x14ac:dyDescent="0.3">
      <c r="A256" s="45" t="s">
        <v>155</v>
      </c>
      <c r="B256" s="46">
        <v>12</v>
      </c>
      <c r="C256" s="135" t="str">
        <f xml:space="preserve"> IF(B256="","",setValueToTime(B256))</f>
        <v>1h</v>
      </c>
      <c r="D256" s="226" t="s">
        <v>242</v>
      </c>
      <c r="E256" s="213"/>
      <c r="F256" s="214"/>
      <c r="G256" s="3"/>
    </row>
    <row r="257" spans="1:7" s="44" customFormat="1" ht="27" x14ac:dyDescent="0.3">
      <c r="A257" s="45" t="s">
        <v>49</v>
      </c>
      <c r="B257" s="46">
        <v>24</v>
      </c>
      <c r="C257" s="136" t="str">
        <f t="shared" ref="C257:C263" si="21" xml:space="preserve"> IF(B257="","",setValueToTime(B257))</f>
        <v>2h</v>
      </c>
      <c r="D257" s="47" t="s">
        <v>68</v>
      </c>
      <c r="E257" s="215"/>
      <c r="F257" s="216"/>
      <c r="G257" s="3"/>
    </row>
    <row r="258" spans="1:7" s="44" customFormat="1" x14ac:dyDescent="0.3">
      <c r="A258" s="45"/>
      <c r="B258" s="46"/>
      <c r="C258" s="136" t="str">
        <f t="shared" si="21"/>
        <v/>
      </c>
      <c r="D258" s="226"/>
      <c r="E258" s="215"/>
      <c r="F258" s="216"/>
      <c r="G258" s="3"/>
    </row>
    <row r="259" spans="1:7" s="44" customFormat="1" x14ac:dyDescent="0.3">
      <c r="A259" s="45" t="s">
        <v>16</v>
      </c>
      <c r="B259" s="46">
        <v>2</v>
      </c>
      <c r="C259" s="136" t="str">
        <f t="shared" si="21"/>
        <v>0h10min</v>
      </c>
      <c r="D259" s="47" t="s">
        <v>75</v>
      </c>
      <c r="E259" s="215"/>
      <c r="F259" s="216"/>
      <c r="G259" s="3"/>
    </row>
    <row r="260" spans="1:7" s="44" customFormat="1" x14ac:dyDescent="0.3">
      <c r="A260" s="46"/>
      <c r="B260" s="46"/>
      <c r="C260" s="137" t="str">
        <f t="shared" si="21"/>
        <v/>
      </c>
      <c r="D260" s="47"/>
      <c r="E260" s="215"/>
      <c r="F260" s="216"/>
      <c r="G260" s="3"/>
    </row>
    <row r="261" spans="1:7" s="44" customFormat="1" x14ac:dyDescent="0.3">
      <c r="A261" s="46"/>
      <c r="B261" s="46"/>
      <c r="C261" s="137" t="str">
        <f t="shared" si="21"/>
        <v/>
      </c>
      <c r="D261" s="47"/>
      <c r="E261" s="215"/>
      <c r="F261" s="216"/>
      <c r="G261" s="3"/>
    </row>
    <row r="262" spans="1:7" s="44" customFormat="1" x14ac:dyDescent="0.3">
      <c r="A262" s="46"/>
      <c r="B262" s="46"/>
      <c r="C262" s="137" t="str">
        <f t="shared" si="21"/>
        <v/>
      </c>
      <c r="D262" s="47"/>
      <c r="E262" s="215"/>
      <c r="F262" s="216"/>
      <c r="G262" s="3"/>
    </row>
    <row r="263" spans="1:7" s="44" customFormat="1" ht="15" thickBot="1" x14ac:dyDescent="0.35">
      <c r="A263" s="48"/>
      <c r="B263" s="48"/>
      <c r="C263" s="138" t="str">
        <f t="shared" si="21"/>
        <v/>
      </c>
      <c r="D263" s="49"/>
      <c r="E263" s="217"/>
      <c r="F263" s="218"/>
      <c r="G263" s="3"/>
    </row>
    <row r="264" spans="1:7" s="44" customFormat="1" ht="15" thickBot="1" x14ac:dyDescent="0.35">
      <c r="A264" s="95" t="s">
        <v>28</v>
      </c>
      <c r="B264" s="69">
        <f>SUM(B256:B263)</f>
        <v>38</v>
      </c>
      <c r="C264" s="95" t="str">
        <f xml:space="preserve"> setValueToTime(B264)</f>
        <v>3h10min</v>
      </c>
      <c r="D264" s="104"/>
      <c r="E264" s="209"/>
      <c r="F264" s="210"/>
      <c r="G264" s="3"/>
    </row>
    <row r="265" spans="1:7" s="44" customFormat="1" ht="15" thickBot="1" x14ac:dyDescent="0.35">
      <c r="A265" s="64"/>
      <c r="B265" s="64"/>
      <c r="C265" s="64"/>
      <c r="D265" s="64"/>
      <c r="E265" s="64"/>
      <c r="F265" s="64"/>
      <c r="G265" s="3"/>
    </row>
    <row r="266" spans="1:7" s="40" customFormat="1" ht="30" customHeight="1" thickBot="1" x14ac:dyDescent="0.3">
      <c r="A266" s="66" t="s">
        <v>11</v>
      </c>
      <c r="B266" s="146">
        <v>6</v>
      </c>
      <c r="C266" s="146"/>
      <c r="D266" s="67" t="s">
        <v>14</v>
      </c>
      <c r="E266" s="79">
        <v>45428</v>
      </c>
      <c r="F266" s="110" t="s">
        <v>41</v>
      </c>
      <c r="G266" s="39"/>
    </row>
    <row r="267" spans="1:7" s="40" customFormat="1" ht="30" customHeight="1" thickBot="1" x14ac:dyDescent="0.3">
      <c r="A267" s="65" t="s">
        <v>5</v>
      </c>
      <c r="B267" s="133" t="s">
        <v>40</v>
      </c>
      <c r="C267" s="134"/>
      <c r="D267" s="65" t="s">
        <v>12</v>
      </c>
      <c r="E267" s="211" t="s">
        <v>13</v>
      </c>
      <c r="F267" s="212"/>
      <c r="G267" s="39"/>
    </row>
    <row r="268" spans="1:7" s="44" customFormat="1" x14ac:dyDescent="0.3">
      <c r="A268" s="41"/>
      <c r="B268" s="42"/>
      <c r="C268" s="135" t="str">
        <f xml:space="preserve"> IF(B268="","",setValueToTime(B268))</f>
        <v/>
      </c>
      <c r="D268" s="43"/>
      <c r="E268" s="213"/>
      <c r="F268" s="214"/>
      <c r="G268" s="3"/>
    </row>
    <row r="269" spans="1:7" s="44" customFormat="1" ht="27" x14ac:dyDescent="0.3">
      <c r="A269" s="45" t="s">
        <v>56</v>
      </c>
      <c r="B269" s="46">
        <v>16</v>
      </c>
      <c r="C269" s="136" t="str">
        <f t="shared" ref="C269:C275" si="22" xml:space="preserve"> IF(B269="","",setValueToTime(B269))</f>
        <v>1h20min</v>
      </c>
      <c r="D269" s="47" t="s">
        <v>65</v>
      </c>
      <c r="E269" s="215"/>
      <c r="F269" s="216"/>
      <c r="G269" s="3"/>
    </row>
    <row r="270" spans="1:7" s="44" customFormat="1" x14ac:dyDescent="0.3">
      <c r="A270" s="45" t="s">
        <v>93</v>
      </c>
      <c r="B270" s="46">
        <v>8</v>
      </c>
      <c r="C270" s="136" t="str">
        <f t="shared" si="22"/>
        <v>0h40min</v>
      </c>
      <c r="D270" s="47" t="s">
        <v>94</v>
      </c>
      <c r="E270" s="215"/>
      <c r="F270" s="216"/>
      <c r="G270" s="3"/>
    </row>
    <row r="271" spans="1:7" s="44" customFormat="1" ht="27" x14ac:dyDescent="0.3">
      <c r="A271" s="45" t="s">
        <v>54</v>
      </c>
      <c r="B271" s="46">
        <v>18</v>
      </c>
      <c r="C271" s="136" t="str">
        <f t="shared" si="22"/>
        <v>1h30min</v>
      </c>
      <c r="D271" s="47" t="s">
        <v>81</v>
      </c>
      <c r="E271" s="215"/>
      <c r="F271" s="216"/>
      <c r="G271" s="3"/>
    </row>
    <row r="272" spans="1:7" s="44" customFormat="1" x14ac:dyDescent="0.3">
      <c r="A272" s="45" t="s">
        <v>82</v>
      </c>
      <c r="B272" s="46">
        <v>4</v>
      </c>
      <c r="C272" s="137" t="str">
        <f t="shared" si="22"/>
        <v>0h20min</v>
      </c>
      <c r="D272" s="47" t="s">
        <v>80</v>
      </c>
      <c r="E272" s="215"/>
      <c r="F272" s="216"/>
      <c r="G272" s="3"/>
    </row>
    <row r="273" spans="1:7" s="44" customFormat="1" x14ac:dyDescent="0.3">
      <c r="A273" s="45" t="s">
        <v>16</v>
      </c>
      <c r="B273" s="46">
        <v>2</v>
      </c>
      <c r="C273" s="137" t="str">
        <f t="shared" si="22"/>
        <v>0h10min</v>
      </c>
      <c r="D273" s="47" t="s">
        <v>75</v>
      </c>
      <c r="E273" s="215"/>
      <c r="F273" s="216"/>
      <c r="G273" s="3"/>
    </row>
    <row r="274" spans="1:7" s="44" customFormat="1" x14ac:dyDescent="0.3">
      <c r="A274" s="45"/>
      <c r="B274" s="46"/>
      <c r="C274" s="137" t="str">
        <f t="shared" si="22"/>
        <v/>
      </c>
      <c r="D274" s="47"/>
      <c r="E274" s="215"/>
      <c r="F274" s="216"/>
      <c r="G274" s="3"/>
    </row>
    <row r="275" spans="1:7" s="44" customFormat="1" ht="15" thickBot="1" x14ac:dyDescent="0.35">
      <c r="A275" s="48"/>
      <c r="B275" s="48"/>
      <c r="C275" s="138" t="str">
        <f t="shared" si="22"/>
        <v/>
      </c>
      <c r="D275" s="49"/>
      <c r="E275" s="217"/>
      <c r="F275" s="218"/>
      <c r="G275" s="3"/>
    </row>
    <row r="276" spans="1:7" s="44" customFormat="1" ht="15" thickBot="1" x14ac:dyDescent="0.35">
      <c r="A276" s="95" t="s">
        <v>28</v>
      </c>
      <c r="B276" s="69">
        <f>SUM(B268:B275)</f>
        <v>48</v>
      </c>
      <c r="C276" s="95" t="str">
        <f xml:space="preserve"> setValueToTime(B276)</f>
        <v>4h</v>
      </c>
      <c r="D276" s="104"/>
      <c r="E276" s="209"/>
      <c r="F276" s="210"/>
      <c r="G276" s="3"/>
    </row>
    <row r="277" spans="1:7" s="44" customFormat="1" ht="15" thickBot="1" x14ac:dyDescent="0.35">
      <c r="A277" s="64"/>
      <c r="B277" s="64"/>
      <c r="C277" s="64"/>
      <c r="D277" s="64"/>
      <c r="E277" s="64"/>
      <c r="F277" s="64"/>
      <c r="G277" s="3"/>
    </row>
    <row r="278" spans="1:7" s="40" customFormat="1" ht="30" customHeight="1" thickBot="1" x14ac:dyDescent="0.3">
      <c r="A278" s="66" t="s">
        <v>11</v>
      </c>
      <c r="B278" s="146">
        <v>5</v>
      </c>
      <c r="C278" s="146"/>
      <c r="D278" s="67" t="s">
        <v>14</v>
      </c>
      <c r="E278" s="79">
        <f>E290+1</f>
        <v>45427</v>
      </c>
      <c r="F278" s="110" t="s">
        <v>41</v>
      </c>
      <c r="G278" s="39"/>
    </row>
    <row r="279" spans="1:7" s="40" customFormat="1" ht="30" customHeight="1" thickBot="1" x14ac:dyDescent="0.3">
      <c r="A279" s="65" t="s">
        <v>5</v>
      </c>
      <c r="B279" s="133" t="s">
        <v>40</v>
      </c>
      <c r="C279" s="134"/>
      <c r="D279" s="65" t="s">
        <v>12</v>
      </c>
      <c r="E279" s="211" t="s">
        <v>13</v>
      </c>
      <c r="F279" s="212"/>
      <c r="G279" s="39"/>
    </row>
    <row r="280" spans="1:7" s="44" customFormat="1" x14ac:dyDescent="0.3">
      <c r="A280" s="41"/>
      <c r="B280" s="42"/>
      <c r="C280" s="135" t="str">
        <f xml:space="preserve"> IF(B280="","",setValueToTime(B280))</f>
        <v/>
      </c>
      <c r="D280" s="43"/>
      <c r="E280" s="213"/>
      <c r="F280" s="214"/>
      <c r="G280" s="3"/>
    </row>
    <row r="281" spans="1:7" s="44" customFormat="1" ht="27" x14ac:dyDescent="0.3">
      <c r="A281" s="45" t="s">
        <v>56</v>
      </c>
      <c r="B281" s="46">
        <v>22</v>
      </c>
      <c r="C281" s="136" t="str">
        <f t="shared" ref="C281:C287" si="23" xml:space="preserve"> IF(B281="","",setValueToTime(B281))</f>
        <v>1h50min</v>
      </c>
      <c r="D281" s="47" t="s">
        <v>63</v>
      </c>
      <c r="E281" s="215"/>
      <c r="F281" s="216"/>
      <c r="G281" s="3"/>
    </row>
    <row r="282" spans="1:7" s="44" customFormat="1" x14ac:dyDescent="0.3">
      <c r="A282" s="45" t="s">
        <v>15</v>
      </c>
      <c r="B282" s="46">
        <v>4</v>
      </c>
      <c r="C282" s="136" t="str">
        <f t="shared" si="23"/>
        <v>0h20min</v>
      </c>
      <c r="D282" s="47" t="s">
        <v>61</v>
      </c>
      <c r="E282" s="215"/>
      <c r="F282" s="216"/>
      <c r="G282" s="3"/>
    </row>
    <row r="283" spans="1:7" s="44" customFormat="1" x14ac:dyDescent="0.3">
      <c r="A283" s="45" t="s">
        <v>16</v>
      </c>
      <c r="B283" s="46">
        <v>2</v>
      </c>
      <c r="C283" s="136" t="str">
        <f t="shared" si="23"/>
        <v>0h10min</v>
      </c>
      <c r="D283" s="47" t="s">
        <v>75</v>
      </c>
      <c r="E283" s="215"/>
      <c r="F283" s="216"/>
      <c r="G283" s="3"/>
    </row>
    <row r="284" spans="1:7" s="44" customFormat="1" x14ac:dyDescent="0.3">
      <c r="A284" s="46"/>
      <c r="B284" s="46"/>
      <c r="C284" s="137" t="str">
        <f t="shared" si="23"/>
        <v/>
      </c>
      <c r="D284" s="47"/>
      <c r="E284" s="215"/>
      <c r="F284" s="216"/>
      <c r="G284" s="3"/>
    </row>
    <row r="285" spans="1:7" s="44" customFormat="1" x14ac:dyDescent="0.3">
      <c r="A285" s="46"/>
      <c r="B285" s="46"/>
      <c r="C285" s="137" t="str">
        <f t="shared" si="23"/>
        <v/>
      </c>
      <c r="D285" s="47"/>
      <c r="E285" s="215"/>
      <c r="F285" s="216"/>
      <c r="G285" s="3"/>
    </row>
    <row r="286" spans="1:7" s="44" customFormat="1" x14ac:dyDescent="0.3">
      <c r="A286" s="46"/>
      <c r="B286" s="46"/>
      <c r="C286" s="137" t="str">
        <f t="shared" si="23"/>
        <v/>
      </c>
      <c r="D286" s="47"/>
      <c r="E286" s="215"/>
      <c r="F286" s="216"/>
      <c r="G286" s="3"/>
    </row>
    <row r="287" spans="1:7" s="44" customFormat="1" ht="15" thickBot="1" x14ac:dyDescent="0.35">
      <c r="A287" s="48"/>
      <c r="B287" s="48"/>
      <c r="C287" s="138" t="str">
        <f t="shared" si="23"/>
        <v/>
      </c>
      <c r="D287" s="49"/>
      <c r="E287" s="217"/>
      <c r="F287" s="218"/>
      <c r="G287" s="3"/>
    </row>
    <row r="288" spans="1:7" s="44" customFormat="1" ht="15" thickBot="1" x14ac:dyDescent="0.35">
      <c r="A288" s="95" t="s">
        <v>28</v>
      </c>
      <c r="B288" s="69">
        <f>SUM(B280:B287)</f>
        <v>28</v>
      </c>
      <c r="C288" s="95" t="str">
        <f xml:space="preserve"> setValueToTime(B288)</f>
        <v>2h20min</v>
      </c>
      <c r="D288" s="104"/>
      <c r="E288" s="209"/>
      <c r="F288" s="210"/>
      <c r="G288" s="3"/>
    </row>
    <row r="289" spans="1:7" s="44" customFormat="1" ht="15" thickBot="1" x14ac:dyDescent="0.35">
      <c r="A289" s="64"/>
      <c r="B289" s="64"/>
      <c r="C289" s="64"/>
      <c r="D289" s="64"/>
      <c r="E289" s="64"/>
      <c r="F289" s="64"/>
      <c r="G289" s="3"/>
    </row>
    <row r="290" spans="1:7" s="40" customFormat="1" ht="30" customHeight="1" thickBot="1" x14ac:dyDescent="0.3">
      <c r="A290" s="66" t="s">
        <v>11</v>
      </c>
      <c r="B290" s="146">
        <v>4</v>
      </c>
      <c r="C290" s="146"/>
      <c r="D290" s="67" t="s">
        <v>14</v>
      </c>
      <c r="E290" s="79">
        <v>45426</v>
      </c>
      <c r="F290" s="110" t="s">
        <v>42</v>
      </c>
      <c r="G290" s="39"/>
    </row>
    <row r="291" spans="1:7" s="40" customFormat="1" ht="30" customHeight="1" thickBot="1" x14ac:dyDescent="0.3">
      <c r="A291" s="65" t="s">
        <v>5</v>
      </c>
      <c r="B291" s="133" t="s">
        <v>40</v>
      </c>
      <c r="C291" s="134"/>
      <c r="D291" s="65" t="s">
        <v>12</v>
      </c>
      <c r="E291" s="211" t="s">
        <v>13</v>
      </c>
      <c r="F291" s="212"/>
      <c r="G291" s="39"/>
    </row>
    <row r="292" spans="1:7" s="44" customFormat="1" x14ac:dyDescent="0.3">
      <c r="A292" s="41"/>
      <c r="B292" s="42"/>
      <c r="C292" s="135" t="str">
        <f xml:space="preserve"> IF(B292="","",setValueToTime(B292))</f>
        <v/>
      </c>
      <c r="D292" s="43"/>
      <c r="E292" s="213"/>
      <c r="F292" s="214"/>
      <c r="G292" s="3"/>
    </row>
    <row r="293" spans="1:7" s="44" customFormat="1" ht="27" x14ac:dyDescent="0.3">
      <c r="A293" s="45" t="s">
        <v>55</v>
      </c>
      <c r="B293" s="46">
        <v>24</v>
      </c>
      <c r="C293" s="136" t="str">
        <f t="shared" ref="C293:C299" si="24" xml:space="preserve"> IF(B293="","",setValueToTime(B293))</f>
        <v>2h</v>
      </c>
      <c r="D293" s="47" t="s">
        <v>60</v>
      </c>
      <c r="E293" s="215"/>
      <c r="F293" s="216"/>
      <c r="G293" s="3"/>
    </row>
    <row r="294" spans="1:7" s="44" customFormat="1" x14ac:dyDescent="0.3">
      <c r="A294" s="45" t="s">
        <v>66</v>
      </c>
      <c r="B294" s="46">
        <v>2</v>
      </c>
      <c r="C294" s="136" t="str">
        <f t="shared" si="24"/>
        <v>0h10min</v>
      </c>
      <c r="D294" s="47" t="s">
        <v>62</v>
      </c>
      <c r="E294" s="215"/>
      <c r="F294" s="216"/>
      <c r="G294" s="3"/>
    </row>
    <row r="295" spans="1:7" s="44" customFormat="1" x14ac:dyDescent="0.3">
      <c r="A295" s="45" t="s">
        <v>16</v>
      </c>
      <c r="B295" s="46">
        <v>2</v>
      </c>
      <c r="C295" s="136" t="str">
        <f t="shared" si="24"/>
        <v>0h10min</v>
      </c>
      <c r="D295" s="47" t="s">
        <v>75</v>
      </c>
      <c r="E295" s="215"/>
      <c r="F295" s="216"/>
      <c r="G295" s="3"/>
    </row>
    <row r="296" spans="1:7" s="44" customFormat="1" x14ac:dyDescent="0.3">
      <c r="A296" s="45"/>
      <c r="B296" s="46"/>
      <c r="C296" s="137" t="str">
        <f t="shared" si="24"/>
        <v/>
      </c>
      <c r="D296" s="47"/>
      <c r="E296" s="215"/>
      <c r="F296" s="216"/>
      <c r="G296" s="3"/>
    </row>
    <row r="297" spans="1:7" s="44" customFormat="1" x14ac:dyDescent="0.3">
      <c r="A297" s="46"/>
      <c r="B297" s="46"/>
      <c r="C297" s="137" t="str">
        <f t="shared" si="24"/>
        <v/>
      </c>
      <c r="D297" s="47"/>
      <c r="E297" s="215"/>
      <c r="F297" s="216"/>
      <c r="G297" s="3"/>
    </row>
    <row r="298" spans="1:7" s="44" customFormat="1" x14ac:dyDescent="0.3">
      <c r="A298" s="46"/>
      <c r="B298" s="46"/>
      <c r="C298" s="137" t="str">
        <f t="shared" si="24"/>
        <v/>
      </c>
      <c r="D298" s="47"/>
      <c r="E298" s="215"/>
      <c r="F298" s="216"/>
      <c r="G298" s="3"/>
    </row>
    <row r="299" spans="1:7" s="44" customFormat="1" ht="15" thickBot="1" x14ac:dyDescent="0.35">
      <c r="A299" s="48"/>
      <c r="B299" s="48"/>
      <c r="C299" s="138" t="str">
        <f t="shared" si="24"/>
        <v/>
      </c>
      <c r="D299" s="49"/>
      <c r="E299" s="217"/>
      <c r="F299" s="218"/>
      <c r="G299" s="3"/>
    </row>
    <row r="300" spans="1:7" s="44" customFormat="1" ht="15" thickBot="1" x14ac:dyDescent="0.35">
      <c r="A300" s="95" t="s">
        <v>28</v>
      </c>
      <c r="B300" s="69">
        <f>SUM(B292:B299)</f>
        <v>28</v>
      </c>
      <c r="C300" s="95" t="str">
        <f xml:space="preserve"> setValueToTime(B300)</f>
        <v>2h20min</v>
      </c>
      <c r="D300" s="104"/>
      <c r="E300" s="209"/>
      <c r="F300" s="210"/>
      <c r="G300" s="3"/>
    </row>
    <row r="301" spans="1:7" s="44" customFormat="1" ht="15" thickBot="1" x14ac:dyDescent="0.35">
      <c r="A301" s="64"/>
      <c r="B301" s="64"/>
      <c r="C301" s="64"/>
      <c r="D301" s="64"/>
      <c r="E301" s="64"/>
      <c r="F301" s="64"/>
      <c r="G301" s="3"/>
    </row>
    <row r="302" spans="1:7" s="40" customFormat="1" ht="30" customHeight="1" thickBot="1" x14ac:dyDescent="0.3">
      <c r="A302" s="66" t="s">
        <v>11</v>
      </c>
      <c r="B302" s="146">
        <v>3</v>
      </c>
      <c r="C302" s="146"/>
      <c r="D302" s="67" t="s">
        <v>14</v>
      </c>
      <c r="E302" s="79">
        <v>45426</v>
      </c>
      <c r="F302" s="110" t="s">
        <v>41</v>
      </c>
      <c r="G302" s="39"/>
    </row>
    <row r="303" spans="1:7" s="40" customFormat="1" ht="30" customHeight="1" thickBot="1" x14ac:dyDescent="0.3">
      <c r="A303" s="65" t="s">
        <v>5</v>
      </c>
      <c r="B303" s="133" t="s">
        <v>40</v>
      </c>
      <c r="C303" s="134"/>
      <c r="D303" s="65" t="s">
        <v>12</v>
      </c>
      <c r="E303" s="211" t="s">
        <v>13</v>
      </c>
      <c r="F303" s="212"/>
      <c r="G303" s="39"/>
    </row>
    <row r="304" spans="1:7" s="44" customFormat="1" x14ac:dyDescent="0.3">
      <c r="A304" s="41"/>
      <c r="B304" s="42"/>
      <c r="C304" s="135" t="str">
        <f xml:space="preserve"> IF(B304="","",setValueToTime(B304))</f>
        <v/>
      </c>
      <c r="D304" s="43"/>
      <c r="E304" s="213"/>
      <c r="F304" s="214"/>
      <c r="G304" s="3"/>
    </row>
    <row r="305" spans="1:7" s="44" customFormat="1" x14ac:dyDescent="0.3">
      <c r="A305" s="45" t="s">
        <v>66</v>
      </c>
      <c r="B305" s="46">
        <v>4</v>
      </c>
      <c r="C305" s="136" t="str">
        <f t="shared" ref="C305:C311" si="25" xml:space="preserve"> IF(B305="","",setValueToTime(B305))</f>
        <v>0h20min</v>
      </c>
      <c r="D305" s="47" t="s">
        <v>64</v>
      </c>
      <c r="E305" s="215"/>
      <c r="F305" s="216"/>
      <c r="G305" s="3"/>
    </row>
    <row r="306" spans="1:7" s="44" customFormat="1" ht="27" x14ac:dyDescent="0.3">
      <c r="A306" s="45" t="s">
        <v>55</v>
      </c>
      <c r="B306" s="46">
        <v>42</v>
      </c>
      <c r="C306" s="136" t="str">
        <f t="shared" si="25"/>
        <v>3h30min</v>
      </c>
      <c r="D306" s="47" t="s">
        <v>58</v>
      </c>
      <c r="E306" s="215"/>
      <c r="F306" s="216"/>
      <c r="G306" s="3"/>
    </row>
    <row r="307" spans="1:7" s="44" customFormat="1" x14ac:dyDescent="0.3">
      <c r="A307" s="45" t="s">
        <v>16</v>
      </c>
      <c r="B307" s="46">
        <v>2</v>
      </c>
      <c r="C307" s="136" t="str">
        <f t="shared" si="25"/>
        <v>0h10min</v>
      </c>
      <c r="D307" s="47" t="s">
        <v>75</v>
      </c>
      <c r="E307" s="215"/>
      <c r="F307" s="216"/>
      <c r="G307" s="3"/>
    </row>
    <row r="308" spans="1:7" s="44" customFormat="1" x14ac:dyDescent="0.3">
      <c r="A308" s="46"/>
      <c r="B308" s="46"/>
      <c r="C308" s="137" t="str">
        <f t="shared" si="25"/>
        <v/>
      </c>
      <c r="D308" s="47"/>
      <c r="E308" s="215"/>
      <c r="F308" s="216"/>
      <c r="G308" s="3"/>
    </row>
    <row r="309" spans="1:7" s="44" customFormat="1" x14ac:dyDescent="0.3">
      <c r="A309" s="46"/>
      <c r="B309" s="46"/>
      <c r="C309" s="137" t="str">
        <f t="shared" si="25"/>
        <v/>
      </c>
      <c r="D309" s="47"/>
      <c r="E309" s="215"/>
      <c r="F309" s="216"/>
      <c r="G309" s="3"/>
    </row>
    <row r="310" spans="1:7" s="44" customFormat="1" x14ac:dyDescent="0.3">
      <c r="A310" s="46"/>
      <c r="B310" s="46"/>
      <c r="C310" s="137" t="str">
        <f t="shared" si="25"/>
        <v/>
      </c>
      <c r="D310" s="47"/>
      <c r="E310" s="215"/>
      <c r="F310" s="216"/>
      <c r="G310" s="3"/>
    </row>
    <row r="311" spans="1:7" s="44" customFormat="1" ht="15" thickBot="1" x14ac:dyDescent="0.35">
      <c r="A311" s="48"/>
      <c r="B311" s="48"/>
      <c r="C311" s="138" t="str">
        <f t="shared" si="25"/>
        <v/>
      </c>
      <c r="D311" s="49"/>
      <c r="E311" s="217"/>
      <c r="F311" s="218"/>
      <c r="G311" s="3"/>
    </row>
    <row r="312" spans="1:7" s="44" customFormat="1" ht="15" thickBot="1" x14ac:dyDescent="0.35">
      <c r="A312" s="95" t="s">
        <v>28</v>
      </c>
      <c r="B312" s="69">
        <f>SUM(B304:B311)</f>
        <v>48</v>
      </c>
      <c r="C312" s="95" t="str">
        <f xml:space="preserve"> setValueToTime(B312)</f>
        <v>4h</v>
      </c>
      <c r="D312" s="104"/>
      <c r="E312" s="209"/>
      <c r="F312" s="210"/>
      <c r="G312" s="3"/>
    </row>
    <row r="313" spans="1:7" s="44" customFormat="1" ht="15" thickBot="1" x14ac:dyDescent="0.35">
      <c r="A313" s="64"/>
      <c r="B313" s="64"/>
      <c r="C313" s="64"/>
      <c r="D313" s="64"/>
      <c r="E313" s="64"/>
      <c r="F313" s="64"/>
      <c r="G313" s="3"/>
    </row>
    <row r="314" spans="1:7" s="40" customFormat="1" ht="30" customHeight="1" thickBot="1" x14ac:dyDescent="0.3">
      <c r="A314" s="66" t="s">
        <v>11</v>
      </c>
      <c r="B314" s="146">
        <v>2</v>
      </c>
      <c r="C314" s="146"/>
      <c r="D314" s="67" t="s">
        <v>14</v>
      </c>
      <c r="E314" s="79">
        <v>45425</v>
      </c>
      <c r="F314" s="110" t="s">
        <v>42</v>
      </c>
      <c r="G314" s="39"/>
    </row>
    <row r="315" spans="1:7" s="40" customFormat="1" ht="30" customHeight="1" thickBot="1" x14ac:dyDescent="0.3">
      <c r="A315" s="65" t="s">
        <v>5</v>
      </c>
      <c r="B315" s="133" t="s">
        <v>40</v>
      </c>
      <c r="C315" s="134"/>
      <c r="D315" s="65" t="s">
        <v>12</v>
      </c>
      <c r="E315" s="211" t="s">
        <v>13</v>
      </c>
      <c r="F315" s="212"/>
      <c r="G315" s="39"/>
    </row>
    <row r="316" spans="1:7" s="44" customFormat="1" x14ac:dyDescent="0.3">
      <c r="A316" s="41" t="s">
        <v>31</v>
      </c>
      <c r="B316" s="42">
        <v>26</v>
      </c>
      <c r="C316" s="135" t="str">
        <f xml:space="preserve"> IF(B316="","",setValueToTime(B316))</f>
        <v>2h10min</v>
      </c>
      <c r="D316" s="43" t="s">
        <v>59</v>
      </c>
      <c r="E316" s="213"/>
      <c r="F316" s="214"/>
      <c r="G316" s="3"/>
    </row>
    <row r="317" spans="1:7" s="44" customFormat="1" x14ac:dyDescent="0.3">
      <c r="A317" s="45" t="s">
        <v>16</v>
      </c>
      <c r="B317" s="46">
        <v>2</v>
      </c>
      <c r="C317" s="136" t="str">
        <f t="shared" ref="C317:C323" si="26" xml:space="preserve"> IF(B317="","",setValueToTime(B317))</f>
        <v>0h10min</v>
      </c>
      <c r="D317" s="47" t="s">
        <v>75</v>
      </c>
      <c r="E317" s="215"/>
      <c r="F317" s="216"/>
      <c r="G317" s="3"/>
    </row>
    <row r="318" spans="1:7" s="44" customFormat="1" x14ac:dyDescent="0.3">
      <c r="A318" s="45"/>
      <c r="B318" s="46"/>
      <c r="C318" s="136" t="str">
        <f t="shared" si="26"/>
        <v/>
      </c>
      <c r="D318" s="47"/>
      <c r="E318" s="215"/>
      <c r="F318" s="216"/>
      <c r="G318" s="3"/>
    </row>
    <row r="319" spans="1:7" s="44" customFormat="1" x14ac:dyDescent="0.3">
      <c r="A319" s="45"/>
      <c r="B319" s="46"/>
      <c r="C319" s="136" t="str">
        <f t="shared" si="26"/>
        <v/>
      </c>
      <c r="D319" s="47"/>
      <c r="E319" s="215"/>
      <c r="F319" s="216"/>
      <c r="G319" s="3"/>
    </row>
    <row r="320" spans="1:7" s="44" customFormat="1" x14ac:dyDescent="0.3">
      <c r="A320" s="46"/>
      <c r="B320" s="46"/>
      <c r="C320" s="137" t="str">
        <f t="shared" si="26"/>
        <v/>
      </c>
      <c r="D320" s="47"/>
      <c r="E320" s="215"/>
      <c r="F320" s="216"/>
      <c r="G320" s="3"/>
    </row>
    <row r="321" spans="1:7" s="44" customFormat="1" x14ac:dyDescent="0.3">
      <c r="A321" s="46"/>
      <c r="B321" s="46"/>
      <c r="C321" s="137" t="str">
        <f t="shared" si="26"/>
        <v/>
      </c>
      <c r="D321" s="47"/>
      <c r="E321" s="215"/>
      <c r="F321" s="216"/>
      <c r="G321" s="3"/>
    </row>
    <row r="322" spans="1:7" s="44" customFormat="1" x14ac:dyDescent="0.3">
      <c r="A322" s="46"/>
      <c r="B322" s="46"/>
      <c r="C322" s="137" t="str">
        <f t="shared" si="26"/>
        <v/>
      </c>
      <c r="D322" s="47"/>
      <c r="E322" s="215"/>
      <c r="F322" s="216"/>
      <c r="G322" s="3"/>
    </row>
    <row r="323" spans="1:7" s="44" customFormat="1" ht="15" thickBot="1" x14ac:dyDescent="0.35">
      <c r="A323" s="48"/>
      <c r="B323" s="48"/>
      <c r="C323" s="138" t="str">
        <f t="shared" si="26"/>
        <v/>
      </c>
      <c r="D323" s="49"/>
      <c r="E323" s="217"/>
      <c r="F323" s="218"/>
      <c r="G323" s="3"/>
    </row>
    <row r="324" spans="1:7" s="44" customFormat="1" ht="15" thickBot="1" x14ac:dyDescent="0.35">
      <c r="A324" s="95" t="s">
        <v>28</v>
      </c>
      <c r="B324" s="69">
        <f>SUM(B316:B323)</f>
        <v>28</v>
      </c>
      <c r="C324" s="95" t="str">
        <f xml:space="preserve"> setValueToTime(B324)</f>
        <v>2h20min</v>
      </c>
      <c r="D324" s="104"/>
      <c r="E324" s="209"/>
      <c r="F324" s="210"/>
      <c r="G324" s="3"/>
    </row>
    <row r="325" spans="1:7" s="44" customFormat="1" ht="15" thickBot="1" x14ac:dyDescent="0.35">
      <c r="A325" s="64"/>
      <c r="B325" s="64"/>
      <c r="C325" s="64"/>
      <c r="D325" s="64"/>
      <c r="E325" s="64"/>
      <c r="F325" s="64"/>
      <c r="G325" s="3"/>
    </row>
    <row r="326" spans="1:7" s="40" customFormat="1" ht="30" customHeight="1" thickBot="1" x14ac:dyDescent="0.3">
      <c r="A326" s="66" t="s">
        <v>11</v>
      </c>
      <c r="B326" s="146">
        <v>1</v>
      </c>
      <c r="C326" s="146"/>
      <c r="D326" s="67" t="s">
        <v>14</v>
      </c>
      <c r="E326" s="79">
        <v>45425</v>
      </c>
      <c r="F326" s="110" t="s">
        <v>41</v>
      </c>
      <c r="G326" s="39"/>
    </row>
    <row r="327" spans="1:7" s="40" customFormat="1" ht="30" customHeight="1" thickBot="1" x14ac:dyDescent="0.3">
      <c r="A327" s="65" t="s">
        <v>5</v>
      </c>
      <c r="B327" s="133" t="s">
        <v>40</v>
      </c>
      <c r="C327" s="134"/>
      <c r="D327" s="65" t="s">
        <v>12</v>
      </c>
      <c r="E327" s="211" t="s">
        <v>13</v>
      </c>
      <c r="F327" s="212"/>
      <c r="G327" s="39"/>
    </row>
    <row r="328" spans="1:7" s="44" customFormat="1" x14ac:dyDescent="0.3">
      <c r="A328" s="41" t="s">
        <v>48</v>
      </c>
      <c r="B328" s="42">
        <v>12</v>
      </c>
      <c r="C328" s="135" t="str">
        <f xml:space="preserve"> IF(B328="","",setValueToTime(B328))</f>
        <v>1h</v>
      </c>
      <c r="D328" s="43" t="s">
        <v>70</v>
      </c>
      <c r="E328" s="213"/>
      <c r="F328" s="214"/>
      <c r="G328" s="3"/>
    </row>
    <row r="329" spans="1:7" s="44" customFormat="1" x14ac:dyDescent="0.3">
      <c r="A329" s="45" t="s">
        <v>31</v>
      </c>
      <c r="B329" s="46">
        <v>34</v>
      </c>
      <c r="C329" s="136" t="str">
        <f t="shared" ref="C329:C335" si="27" xml:space="preserve"> IF(B329="","",setValueToTime(B329))</f>
        <v>2h50min</v>
      </c>
      <c r="D329" s="47" t="s">
        <v>57</v>
      </c>
      <c r="E329" s="215"/>
      <c r="F329" s="216"/>
      <c r="G329" s="3"/>
    </row>
    <row r="330" spans="1:7" s="44" customFormat="1" x14ac:dyDescent="0.3">
      <c r="A330" s="45" t="s">
        <v>16</v>
      </c>
      <c r="B330" s="46">
        <v>2</v>
      </c>
      <c r="C330" s="136" t="str">
        <f t="shared" si="27"/>
        <v>0h10min</v>
      </c>
      <c r="D330" s="47" t="s">
        <v>75</v>
      </c>
      <c r="E330" s="215"/>
      <c r="F330" s="216"/>
      <c r="G330" s="3"/>
    </row>
    <row r="331" spans="1:7" s="44" customFormat="1" x14ac:dyDescent="0.3">
      <c r="A331" s="45"/>
      <c r="B331" s="46"/>
      <c r="C331" s="136" t="str">
        <f t="shared" si="27"/>
        <v/>
      </c>
      <c r="D331" s="47"/>
      <c r="E331" s="215"/>
      <c r="F331" s="216"/>
      <c r="G331" s="3"/>
    </row>
    <row r="332" spans="1:7" s="44" customFormat="1" x14ac:dyDescent="0.3">
      <c r="A332" s="46"/>
      <c r="B332" s="46"/>
      <c r="C332" s="137" t="str">
        <f t="shared" si="27"/>
        <v/>
      </c>
      <c r="D332" s="47"/>
      <c r="E332" s="215"/>
      <c r="F332" s="216"/>
      <c r="G332" s="3"/>
    </row>
    <row r="333" spans="1:7" s="44" customFormat="1" x14ac:dyDescent="0.3">
      <c r="A333" s="46"/>
      <c r="B333" s="46"/>
      <c r="C333" s="137" t="str">
        <f t="shared" si="27"/>
        <v/>
      </c>
      <c r="D333" s="47"/>
      <c r="E333" s="215"/>
      <c r="F333" s="216"/>
      <c r="G333" s="3"/>
    </row>
    <row r="334" spans="1:7" s="44" customFormat="1" x14ac:dyDescent="0.3">
      <c r="A334" s="46"/>
      <c r="B334" s="46"/>
      <c r="C334" s="137" t="str">
        <f t="shared" si="27"/>
        <v/>
      </c>
      <c r="D334" s="47"/>
      <c r="E334" s="215"/>
      <c r="F334" s="216"/>
      <c r="G334" s="3"/>
    </row>
    <row r="335" spans="1:7" s="44" customFormat="1" ht="15" thickBot="1" x14ac:dyDescent="0.35">
      <c r="A335" s="48"/>
      <c r="B335" s="48"/>
      <c r="C335" s="138" t="str">
        <f t="shared" si="27"/>
        <v/>
      </c>
      <c r="D335" s="49"/>
      <c r="E335" s="217"/>
      <c r="F335" s="218"/>
      <c r="G335" s="3"/>
    </row>
    <row r="336" spans="1:7" s="44" customFormat="1" ht="15" thickBot="1" x14ac:dyDescent="0.35">
      <c r="A336" s="95" t="s">
        <v>28</v>
      </c>
      <c r="B336" s="69">
        <f>SUM(B328:B335)</f>
        <v>48</v>
      </c>
      <c r="C336" s="95" t="str">
        <f xml:space="preserve"> setValueToTime(B336)</f>
        <v>4h</v>
      </c>
      <c r="D336" s="104"/>
      <c r="E336" s="209"/>
      <c r="F336" s="210"/>
      <c r="G336" s="3"/>
    </row>
    <row r="337" spans="1:7" s="44" customFormat="1" x14ac:dyDescent="0.3">
      <c r="A337" s="64"/>
      <c r="B337" s="64"/>
      <c r="C337" s="64"/>
      <c r="D337" s="64"/>
      <c r="E337" s="64"/>
      <c r="F337" s="64"/>
      <c r="G337" s="3"/>
    </row>
  </sheetData>
  <sheetProtection formatRows="0" insertRows="0" insertHyperlinks="0" deleteRows="0" selectLockedCells="1"/>
  <mergeCells count="280">
    <mergeCell ref="E15:F15"/>
    <mergeCell ref="E16:F16"/>
    <mergeCell ref="E17:F17"/>
    <mergeCell ref="E18:F18"/>
    <mergeCell ref="E19:F19"/>
    <mergeCell ref="E20:F20"/>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12:F12"/>
    <mergeCell ref="E3:F3"/>
    <mergeCell ref="E4:F4"/>
    <mergeCell ref="E5:F5"/>
    <mergeCell ref="E6:F6"/>
    <mergeCell ref="E7:F7"/>
    <mergeCell ref="E8:F8"/>
    <mergeCell ref="E9:F9"/>
    <mergeCell ref="E10:F10"/>
    <mergeCell ref="E11:F11"/>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229AB482-3A22-4B8E-BF24-B64DCAB47339}">
      <formula1>0</formula1>
      <formula2>60</formula2>
    </dataValidation>
    <dataValidation type="whole" operator="greaterThan" allowBlank="1" showInputMessage="1" showErrorMessage="1" errorTitle="Durée par tranche de 10min" error="Le nombre doit être de type entier" sqref="B328:B335 B316:B323 B292:B299 B16:B23 B280:B287 B220:B227 B304:B311 B4:B11 B232:B239 B244:B251 B208:B215 B196:B203 B100:B107 B184:B191 B148:B155 B172:B179 B160:B167 B268:B275 B124:B131 B112:B119 B136:B143 B88:B95 B76:B83 B64:B71 B52:B59 B40:B47 B28:B35 B256:B263" xr:uid="{9494A7E3-D28E-49ED-B71C-9E7E7D5FE628}">
      <formula1>0</formula1>
    </dataValidation>
    <dataValidation type="list" allowBlank="1" showInputMessage="1" showErrorMessage="1" sqref="A328:A335 A316:A323 A292:A299 A28:A35 A304:A311 A280:A287 A196:A203 A4:A11 A232:A239 A244:A251 A220:A227 A208:A215 A100:A107 A184:A191 A172:A179 A148:A155 A160:A167 A268:A275 A124:A131 A136:A143 A112:A119 A88:A95 A76:A83 A64:A71 A52:A59 A40:A47 A16:A23 A256:A263" xr:uid="{4DF08DE3-532F-4FC5-9492-6024CC91FC4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203"/>
  <sheetViews>
    <sheetView showGridLines="0" zoomScale="130" zoomScaleNormal="130" zoomScaleSheetLayoutView="98" workbookViewId="0">
      <pane ySplit="1" topLeftCell="A2" activePane="bottomLeft" state="frozen"/>
      <selection pane="bottomLeft" activeCell="C9" sqref="C9"/>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0.14062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11</v>
      </c>
      <c r="B2" s="147">
        <v>28</v>
      </c>
      <c r="C2" s="147"/>
      <c r="D2" s="140" t="s">
        <v>14</v>
      </c>
      <c r="E2" s="141" t="s">
        <v>112</v>
      </c>
      <c r="F2" s="142" t="s">
        <v>42</v>
      </c>
      <c r="G2" s="39"/>
    </row>
    <row r="3" spans="1:7" s="40" customFormat="1" ht="30" customHeight="1" thickBot="1" x14ac:dyDescent="0.3">
      <c r="A3" s="63" t="s">
        <v>5</v>
      </c>
      <c r="B3" s="144" t="s">
        <v>40</v>
      </c>
      <c r="C3" s="143"/>
      <c r="D3" s="63" t="s">
        <v>12</v>
      </c>
      <c r="E3" s="221" t="s">
        <v>13</v>
      </c>
      <c r="F3" s="222"/>
      <c r="G3" s="39"/>
    </row>
    <row r="4" spans="1:7" s="44" customFormat="1" x14ac:dyDescent="0.3">
      <c r="A4" s="41" t="s">
        <v>15</v>
      </c>
      <c r="B4" s="42">
        <v>26</v>
      </c>
      <c r="C4" s="135" t="str">
        <f xml:space="preserve"> IF(B4="","",setValueToTime(B4))</f>
        <v>2h10min</v>
      </c>
      <c r="D4" s="159" t="s">
        <v>236</v>
      </c>
      <c r="E4" s="213"/>
      <c r="F4" s="214"/>
      <c r="G4" s="3"/>
    </row>
    <row r="5" spans="1:7" s="44" customFormat="1" ht="27.75" thickBot="1" x14ac:dyDescent="0.35">
      <c r="A5" s="45" t="s">
        <v>16</v>
      </c>
      <c r="B5" s="46">
        <v>2</v>
      </c>
      <c r="C5" s="136" t="str">
        <f t="shared" ref="C5" si="0" xml:space="preserve"> IF(B5="","",setValueToTime(B5))</f>
        <v>0h10min</v>
      </c>
      <c r="D5" s="158" t="s">
        <v>237</v>
      </c>
      <c r="E5" s="215"/>
      <c r="F5" s="216"/>
      <c r="G5" s="3"/>
    </row>
    <row r="6" spans="1:7" s="44" customFormat="1" ht="15" thickBot="1" x14ac:dyDescent="0.35">
      <c r="A6" s="145" t="s">
        <v>28</v>
      </c>
      <c r="B6" s="68">
        <f>SUM(B4:B5)</f>
        <v>28</v>
      </c>
      <c r="C6" s="145" t="str">
        <f xml:space="preserve"> setValueToTime(B6)</f>
        <v>2h20min</v>
      </c>
      <c r="D6" s="105"/>
      <c r="E6" s="219"/>
      <c r="F6" s="220"/>
      <c r="G6" s="3"/>
    </row>
    <row r="7" spans="1:7" s="44" customFormat="1" ht="15" thickBot="1" x14ac:dyDescent="0.35">
      <c r="A7" s="62"/>
      <c r="B7" s="62"/>
      <c r="C7" s="62"/>
      <c r="D7" s="62"/>
      <c r="E7" s="62"/>
      <c r="F7" s="62"/>
      <c r="G7" s="3"/>
    </row>
    <row r="8" spans="1:7" s="40" customFormat="1" ht="30" customHeight="1" thickBot="1" x14ac:dyDescent="0.3">
      <c r="A8" s="139" t="s">
        <v>11</v>
      </c>
      <c r="B8" s="147">
        <v>27</v>
      </c>
      <c r="C8" s="147"/>
      <c r="D8" s="140" t="s">
        <v>14</v>
      </c>
      <c r="E8" s="141" t="s">
        <v>112</v>
      </c>
      <c r="F8" s="142" t="s">
        <v>41</v>
      </c>
      <c r="G8" s="39"/>
    </row>
    <row r="9" spans="1:7" s="40" customFormat="1" ht="30" customHeight="1" thickBot="1" x14ac:dyDescent="0.3">
      <c r="A9" s="63" t="s">
        <v>5</v>
      </c>
      <c r="B9" s="144" t="s">
        <v>40</v>
      </c>
      <c r="C9" s="143"/>
      <c r="D9" s="63" t="s">
        <v>12</v>
      </c>
      <c r="E9" s="221" t="s">
        <v>13</v>
      </c>
      <c r="F9" s="222"/>
      <c r="G9" s="39"/>
    </row>
    <row r="10" spans="1:7" s="44" customFormat="1" ht="27" x14ac:dyDescent="0.3">
      <c r="A10" s="41" t="s">
        <v>15</v>
      </c>
      <c r="B10" s="42">
        <v>46</v>
      </c>
      <c r="C10" s="135" t="str">
        <f xml:space="preserve"> IF(B10="","",setValueToTime(B10))</f>
        <v>3h50min</v>
      </c>
      <c r="D10" s="159" t="s">
        <v>238</v>
      </c>
      <c r="E10" s="213"/>
      <c r="F10" s="214"/>
      <c r="G10" s="3"/>
    </row>
    <row r="11" spans="1:7" s="44" customFormat="1" ht="27.75" thickBot="1" x14ac:dyDescent="0.35">
      <c r="A11" s="45" t="s">
        <v>16</v>
      </c>
      <c r="B11" s="46">
        <v>3</v>
      </c>
      <c r="C11" s="136" t="str">
        <f t="shared" ref="C11" si="1" xml:space="preserve"> IF(B11="","",setValueToTime(B11))</f>
        <v>0h15min</v>
      </c>
      <c r="D11" s="158" t="s">
        <v>235</v>
      </c>
      <c r="E11" s="215"/>
      <c r="F11" s="216"/>
      <c r="G11" s="3"/>
    </row>
    <row r="12" spans="1:7" s="44" customFormat="1" ht="15" thickBot="1" x14ac:dyDescent="0.35">
      <c r="A12" s="145" t="s">
        <v>28</v>
      </c>
      <c r="B12" s="68">
        <f>SUM(B10:B11)</f>
        <v>49</v>
      </c>
      <c r="C12" s="145" t="str">
        <f xml:space="preserve"> setValueToTime(B12)</f>
        <v>4h5min</v>
      </c>
      <c r="D12" s="105"/>
      <c r="E12" s="219"/>
      <c r="F12" s="220"/>
      <c r="G12" s="3"/>
    </row>
    <row r="13" spans="1:7" s="44" customFormat="1" ht="15" thickBot="1" x14ac:dyDescent="0.35">
      <c r="A13" s="62"/>
      <c r="B13" s="62"/>
      <c r="C13" s="62"/>
      <c r="D13" s="62"/>
      <c r="E13" s="62"/>
      <c r="F13" s="62"/>
      <c r="G13" s="3"/>
    </row>
    <row r="14" spans="1:7" s="40" customFormat="1" ht="30" customHeight="1" thickBot="1" x14ac:dyDescent="0.3">
      <c r="A14" s="139" t="s">
        <v>11</v>
      </c>
      <c r="B14" s="147">
        <v>26</v>
      </c>
      <c r="C14" s="147"/>
      <c r="D14" s="140" t="s">
        <v>14</v>
      </c>
      <c r="E14" s="141" t="s">
        <v>232</v>
      </c>
      <c r="F14" s="142" t="s">
        <v>41</v>
      </c>
      <c r="G14" s="39"/>
    </row>
    <row r="15" spans="1:7" s="40" customFormat="1" ht="30" customHeight="1" thickBot="1" x14ac:dyDescent="0.3">
      <c r="A15" s="63" t="s">
        <v>5</v>
      </c>
      <c r="B15" s="144" t="s">
        <v>40</v>
      </c>
      <c r="C15" s="143"/>
      <c r="D15" s="63" t="s">
        <v>12</v>
      </c>
      <c r="E15" s="221" t="s">
        <v>13</v>
      </c>
      <c r="F15" s="222"/>
      <c r="G15" s="39"/>
    </row>
    <row r="16" spans="1:7" s="44" customFormat="1" x14ac:dyDescent="0.3">
      <c r="A16" s="41" t="s">
        <v>15</v>
      </c>
      <c r="B16" s="42">
        <v>34</v>
      </c>
      <c r="C16" s="135" t="str">
        <f xml:space="preserve"> IF(B16="","",setValueToTime(B16))</f>
        <v>2h50min</v>
      </c>
      <c r="D16" s="159" t="s">
        <v>233</v>
      </c>
      <c r="E16" s="213"/>
      <c r="F16" s="214"/>
      <c r="G16" s="3"/>
    </row>
    <row r="17" spans="1:7" s="44" customFormat="1" ht="41.25" thickBot="1" x14ac:dyDescent="0.35">
      <c r="A17" s="45" t="s">
        <v>16</v>
      </c>
      <c r="B17" s="46">
        <v>2</v>
      </c>
      <c r="C17" s="136" t="str">
        <f t="shared" ref="C17" si="2" xml:space="preserve"> IF(B17="","",setValueToTime(B17))</f>
        <v>0h10min</v>
      </c>
      <c r="D17" s="158" t="s">
        <v>234</v>
      </c>
      <c r="E17" s="215"/>
      <c r="F17" s="216"/>
      <c r="G17" s="3"/>
    </row>
    <row r="18" spans="1:7" s="44" customFormat="1" ht="15" thickBot="1" x14ac:dyDescent="0.35">
      <c r="A18" s="145" t="s">
        <v>28</v>
      </c>
      <c r="B18" s="68">
        <f>SUM(B16:B17)</f>
        <v>36</v>
      </c>
      <c r="C18" s="145" t="str">
        <f xml:space="preserve"> setValueToTime(B18)</f>
        <v>3h</v>
      </c>
      <c r="D18" s="105"/>
      <c r="E18" s="219"/>
      <c r="F18" s="220"/>
      <c r="G18" s="3"/>
    </row>
    <row r="19" spans="1:7" s="44" customFormat="1" ht="15" thickBot="1" x14ac:dyDescent="0.35">
      <c r="A19" s="62"/>
      <c r="B19" s="62"/>
      <c r="C19" s="62"/>
      <c r="D19" s="62"/>
      <c r="E19" s="62"/>
      <c r="F19" s="62"/>
      <c r="G19" s="3"/>
    </row>
    <row r="20" spans="1:7" s="40" customFormat="1" ht="30" customHeight="1" thickBot="1" x14ac:dyDescent="0.3">
      <c r="A20" s="139" t="s">
        <v>11</v>
      </c>
      <c r="B20" s="147">
        <v>25</v>
      </c>
      <c r="C20" s="147"/>
      <c r="D20" s="140" t="s">
        <v>14</v>
      </c>
      <c r="E20" s="141" t="s">
        <v>111</v>
      </c>
      <c r="F20" s="142" t="s">
        <v>42</v>
      </c>
      <c r="G20" s="39"/>
    </row>
    <row r="21" spans="1:7" s="40" customFormat="1" ht="30" customHeight="1" thickBot="1" x14ac:dyDescent="0.3">
      <c r="A21" s="63" t="s">
        <v>5</v>
      </c>
      <c r="B21" s="144" t="s">
        <v>40</v>
      </c>
      <c r="C21" s="143"/>
      <c r="D21" s="63" t="s">
        <v>12</v>
      </c>
      <c r="E21" s="221" t="s">
        <v>13</v>
      </c>
      <c r="F21" s="222"/>
      <c r="G21" s="39"/>
    </row>
    <row r="22" spans="1:7" s="44" customFormat="1" ht="40.5" x14ac:dyDescent="0.3">
      <c r="A22" s="41" t="s">
        <v>15</v>
      </c>
      <c r="B22" s="42">
        <v>36</v>
      </c>
      <c r="C22" s="135" t="str">
        <f xml:space="preserve"> IF(B22="","",setValueToTime(B22))</f>
        <v>3h</v>
      </c>
      <c r="D22" s="159" t="s">
        <v>228</v>
      </c>
      <c r="E22" s="213"/>
      <c r="F22" s="214"/>
      <c r="G22" s="3"/>
    </row>
    <row r="23" spans="1:7" s="44" customFormat="1" ht="41.25" thickBot="1" x14ac:dyDescent="0.35">
      <c r="A23" s="45" t="s">
        <v>16</v>
      </c>
      <c r="B23" s="46">
        <v>2</v>
      </c>
      <c r="C23" s="136" t="str">
        <f t="shared" ref="C23" si="3" xml:space="preserve"> IF(B23="","",setValueToTime(B23))</f>
        <v>0h10min</v>
      </c>
      <c r="D23" s="158" t="s">
        <v>229</v>
      </c>
      <c r="E23" s="215"/>
      <c r="F23" s="216"/>
      <c r="G23" s="3"/>
    </row>
    <row r="24" spans="1:7" s="44" customFormat="1" ht="15" thickBot="1" x14ac:dyDescent="0.35">
      <c r="A24" s="145" t="s">
        <v>28</v>
      </c>
      <c r="B24" s="68">
        <f>SUM(B22:B23)</f>
        <v>38</v>
      </c>
      <c r="C24" s="145" t="str">
        <f xml:space="preserve"> setValueToTime(B24)</f>
        <v>3h10min</v>
      </c>
      <c r="D24" s="105"/>
      <c r="E24" s="219"/>
      <c r="F24" s="220"/>
      <c r="G24" s="3"/>
    </row>
    <row r="25" spans="1:7" s="44" customFormat="1" ht="15" thickBot="1" x14ac:dyDescent="0.35">
      <c r="A25" s="62"/>
      <c r="B25" s="62"/>
      <c r="C25" s="62"/>
      <c r="D25" s="62"/>
      <c r="E25" s="62"/>
      <c r="F25" s="62"/>
      <c r="G25" s="3"/>
    </row>
    <row r="26" spans="1:7" s="40" customFormat="1" ht="30" customHeight="1" thickBot="1" x14ac:dyDescent="0.3">
      <c r="A26" s="139" t="s">
        <v>11</v>
      </c>
      <c r="B26" s="147">
        <v>24</v>
      </c>
      <c r="C26" s="147"/>
      <c r="D26" s="140" t="s">
        <v>14</v>
      </c>
      <c r="E26" s="141" t="s">
        <v>111</v>
      </c>
      <c r="F26" s="142" t="s">
        <v>41</v>
      </c>
      <c r="G26" s="39"/>
    </row>
    <row r="27" spans="1:7" s="40" customFormat="1" ht="30" customHeight="1" thickBot="1" x14ac:dyDescent="0.3">
      <c r="A27" s="63" t="s">
        <v>5</v>
      </c>
      <c r="B27" s="144" t="s">
        <v>40</v>
      </c>
      <c r="C27" s="143"/>
      <c r="D27" s="63" t="s">
        <v>12</v>
      </c>
      <c r="E27" s="221" t="s">
        <v>13</v>
      </c>
      <c r="F27" s="222"/>
      <c r="G27" s="39"/>
    </row>
    <row r="28" spans="1:7" s="44" customFormat="1" ht="27.75" thickBot="1" x14ac:dyDescent="0.35">
      <c r="A28" s="41" t="s">
        <v>66</v>
      </c>
      <c r="B28" s="42">
        <v>4</v>
      </c>
      <c r="C28" s="135" t="str">
        <f xml:space="preserve"> IF(B28="","",setValueToTime(B28))</f>
        <v>0h20min</v>
      </c>
      <c r="D28" s="159" t="s">
        <v>222</v>
      </c>
      <c r="E28" s="223" t="s">
        <v>221</v>
      </c>
      <c r="F28" s="214"/>
      <c r="G28" s="3"/>
    </row>
    <row r="29" spans="1:7" s="44" customFormat="1" x14ac:dyDescent="0.3">
      <c r="A29" s="41" t="s">
        <v>15</v>
      </c>
      <c r="B29" s="46">
        <v>42</v>
      </c>
      <c r="C29" s="136" t="str">
        <f t="shared" ref="C29:C30" si="4" xml:space="preserve"> IF(B29="","",setValueToTime(B29))</f>
        <v>3h30min</v>
      </c>
      <c r="D29" s="158" t="s">
        <v>226</v>
      </c>
      <c r="E29" s="215"/>
      <c r="F29" s="216"/>
      <c r="G29" s="3"/>
    </row>
    <row r="30" spans="1:7" s="44" customFormat="1" ht="27.75" thickBot="1" x14ac:dyDescent="0.35">
      <c r="A30" s="45" t="s">
        <v>16</v>
      </c>
      <c r="B30" s="46">
        <v>2</v>
      </c>
      <c r="C30" s="136" t="str">
        <f t="shared" si="4"/>
        <v>0h10min</v>
      </c>
      <c r="D30" s="158" t="s">
        <v>227</v>
      </c>
      <c r="E30" s="215"/>
      <c r="F30" s="216"/>
      <c r="G30" s="3"/>
    </row>
    <row r="31" spans="1:7" s="44" customFormat="1" ht="15" thickBot="1" x14ac:dyDescent="0.35">
      <c r="A31" s="145" t="s">
        <v>28</v>
      </c>
      <c r="B31" s="68">
        <f>SUM(B28:B30)</f>
        <v>48</v>
      </c>
      <c r="C31" s="145" t="str">
        <f xml:space="preserve"> setValueToTime(B31)</f>
        <v>4h</v>
      </c>
      <c r="D31" s="105"/>
      <c r="E31" s="219"/>
      <c r="F31" s="220"/>
      <c r="G31" s="3"/>
    </row>
    <row r="32" spans="1:7" s="44" customFormat="1" ht="15" thickBot="1" x14ac:dyDescent="0.35">
      <c r="A32" s="62"/>
      <c r="B32" s="62"/>
      <c r="C32" s="62"/>
      <c r="D32" s="62"/>
      <c r="E32" s="62"/>
      <c r="F32" s="62"/>
      <c r="G32" s="3"/>
    </row>
    <row r="33" spans="1:7" s="40" customFormat="1" ht="30" customHeight="1" thickBot="1" x14ac:dyDescent="0.3">
      <c r="A33" s="139" t="s">
        <v>11</v>
      </c>
      <c r="B33" s="147">
        <v>23</v>
      </c>
      <c r="C33" s="147"/>
      <c r="D33" s="140" t="s">
        <v>14</v>
      </c>
      <c r="E33" s="141" t="s">
        <v>110</v>
      </c>
      <c r="F33" s="142" t="s">
        <v>42</v>
      </c>
      <c r="G33" s="39"/>
    </row>
    <row r="34" spans="1:7" s="40" customFormat="1" ht="30" customHeight="1" thickBot="1" x14ac:dyDescent="0.3">
      <c r="A34" s="63" t="s">
        <v>5</v>
      </c>
      <c r="B34" s="144" t="s">
        <v>40</v>
      </c>
      <c r="C34" s="143"/>
      <c r="D34" s="63" t="s">
        <v>12</v>
      </c>
      <c r="E34" s="221" t="s">
        <v>13</v>
      </c>
      <c r="F34" s="222"/>
      <c r="G34" s="39"/>
    </row>
    <row r="35" spans="1:7" s="44" customFormat="1" x14ac:dyDescent="0.3">
      <c r="A35" s="41" t="s">
        <v>15</v>
      </c>
      <c r="B35" s="42">
        <v>36</v>
      </c>
      <c r="C35" s="135" t="str">
        <f xml:space="preserve"> IF(B35="","",setValueToTime(B35))</f>
        <v>3h</v>
      </c>
      <c r="D35" s="159" t="s">
        <v>224</v>
      </c>
      <c r="E35" s="213"/>
      <c r="F35" s="214"/>
      <c r="G35" s="3"/>
    </row>
    <row r="36" spans="1:7" s="44" customFormat="1" ht="68.25" thickBot="1" x14ac:dyDescent="0.35">
      <c r="A36" s="45" t="s">
        <v>16</v>
      </c>
      <c r="B36" s="46">
        <v>2</v>
      </c>
      <c r="C36" s="136" t="str">
        <f xml:space="preserve"> IF(B36="","",setValueToTime(B36))</f>
        <v>0h10min</v>
      </c>
      <c r="D36" s="158" t="s">
        <v>225</v>
      </c>
      <c r="E36" s="215"/>
      <c r="F36" s="216"/>
      <c r="G36" s="3"/>
    </row>
    <row r="37" spans="1:7" s="44" customFormat="1" ht="15" thickBot="1" x14ac:dyDescent="0.35">
      <c r="A37" s="145" t="s">
        <v>28</v>
      </c>
      <c r="B37" s="68">
        <f>SUM(B35:B36)</f>
        <v>38</v>
      </c>
      <c r="C37" s="145" t="str">
        <f xml:space="preserve"> setValueToTime(B37)</f>
        <v>3h10min</v>
      </c>
      <c r="D37" s="105"/>
      <c r="E37" s="219"/>
      <c r="F37" s="220"/>
      <c r="G37" s="3"/>
    </row>
    <row r="38" spans="1:7" s="44" customFormat="1" ht="15" thickBot="1" x14ac:dyDescent="0.35">
      <c r="A38" s="62"/>
      <c r="B38" s="62"/>
      <c r="C38" s="62"/>
      <c r="D38" s="62"/>
      <c r="E38" s="62"/>
      <c r="F38" s="62"/>
      <c r="G38" s="3"/>
    </row>
    <row r="39" spans="1:7" s="40" customFormat="1" ht="30" customHeight="1" thickBot="1" x14ac:dyDescent="0.3">
      <c r="A39" s="139" t="s">
        <v>11</v>
      </c>
      <c r="B39" s="147">
        <v>22</v>
      </c>
      <c r="C39" s="147"/>
      <c r="D39" s="140" t="s">
        <v>14</v>
      </c>
      <c r="E39" s="141" t="s">
        <v>110</v>
      </c>
      <c r="F39" s="142" t="s">
        <v>41</v>
      </c>
      <c r="G39" s="39"/>
    </row>
    <row r="40" spans="1:7" s="40" customFormat="1" ht="30" customHeight="1" thickBot="1" x14ac:dyDescent="0.3">
      <c r="A40" s="63" t="s">
        <v>5</v>
      </c>
      <c r="B40" s="144" t="s">
        <v>40</v>
      </c>
      <c r="C40" s="143"/>
      <c r="D40" s="63" t="s">
        <v>12</v>
      </c>
      <c r="E40" s="221" t="s">
        <v>13</v>
      </c>
      <c r="F40" s="222"/>
      <c r="G40" s="39"/>
    </row>
    <row r="41" spans="1:7" s="44" customFormat="1" x14ac:dyDescent="0.3">
      <c r="A41" s="41" t="s">
        <v>15</v>
      </c>
      <c r="B41" s="42">
        <v>46</v>
      </c>
      <c r="C41" s="135" t="str">
        <f xml:space="preserve"> IF(B41="","",setValueToTime(B41))</f>
        <v>3h50min</v>
      </c>
      <c r="D41" s="159" t="s">
        <v>223</v>
      </c>
      <c r="E41" s="213"/>
      <c r="F41" s="214"/>
      <c r="G41" s="3"/>
    </row>
    <row r="42" spans="1:7" s="44" customFormat="1" ht="41.25" thickBot="1" x14ac:dyDescent="0.35">
      <c r="A42" s="45" t="s">
        <v>16</v>
      </c>
      <c r="B42" s="46">
        <v>2</v>
      </c>
      <c r="C42" s="136" t="str">
        <f t="shared" ref="C42" si="5" xml:space="preserve"> IF(B42="","",setValueToTime(B42))</f>
        <v>0h10min</v>
      </c>
      <c r="D42" s="158" t="s">
        <v>219</v>
      </c>
      <c r="E42" s="215"/>
      <c r="F42" s="216"/>
      <c r="G42" s="3"/>
    </row>
    <row r="43" spans="1:7" s="44" customFormat="1" ht="15" thickBot="1" x14ac:dyDescent="0.35">
      <c r="A43" s="145" t="s">
        <v>28</v>
      </c>
      <c r="B43" s="68">
        <f>SUM(B41:B42)</f>
        <v>48</v>
      </c>
      <c r="C43" s="145" t="str">
        <f xml:space="preserve"> setValueToTime(B43)</f>
        <v>4h</v>
      </c>
      <c r="D43" s="105"/>
      <c r="E43" s="219"/>
      <c r="F43" s="220"/>
      <c r="G43" s="3"/>
    </row>
    <row r="44" spans="1:7" s="44" customFormat="1" ht="15" thickBot="1" x14ac:dyDescent="0.35">
      <c r="A44" s="62"/>
      <c r="B44" s="62"/>
      <c r="C44" s="62"/>
      <c r="D44" s="62"/>
      <c r="E44" s="62"/>
      <c r="F44" s="62"/>
      <c r="G44" s="3"/>
    </row>
    <row r="45" spans="1:7" s="40" customFormat="1" ht="30" customHeight="1" thickBot="1" x14ac:dyDescent="0.3">
      <c r="A45" s="139" t="s">
        <v>11</v>
      </c>
      <c r="B45" s="147">
        <v>21</v>
      </c>
      <c r="C45" s="147"/>
      <c r="D45" s="140" t="s">
        <v>14</v>
      </c>
      <c r="E45" s="141" t="s">
        <v>109</v>
      </c>
      <c r="F45" s="142" t="s">
        <v>41</v>
      </c>
      <c r="G45" s="39"/>
    </row>
    <row r="46" spans="1:7" s="40" customFormat="1" ht="30" customHeight="1" thickBot="1" x14ac:dyDescent="0.3">
      <c r="A46" s="63" t="s">
        <v>5</v>
      </c>
      <c r="B46" s="144" t="s">
        <v>40</v>
      </c>
      <c r="C46" s="143"/>
      <c r="D46" s="63" t="s">
        <v>12</v>
      </c>
      <c r="E46" s="221" t="s">
        <v>13</v>
      </c>
      <c r="F46" s="222"/>
      <c r="G46" s="39"/>
    </row>
    <row r="47" spans="1:7" s="44" customFormat="1" x14ac:dyDescent="0.3">
      <c r="A47" s="41" t="s">
        <v>15</v>
      </c>
      <c r="B47" s="42">
        <v>26</v>
      </c>
      <c r="C47" s="135" t="str">
        <f xml:space="preserve"> IF(B47="","",setValueToTime(B47))</f>
        <v>2h10min</v>
      </c>
      <c r="D47" s="159" t="s">
        <v>218</v>
      </c>
      <c r="E47" s="213"/>
      <c r="F47" s="214"/>
      <c r="G47" s="3"/>
    </row>
    <row r="48" spans="1:7" s="44" customFormat="1" ht="54.75" thickBot="1" x14ac:dyDescent="0.35">
      <c r="A48" s="45" t="s">
        <v>16</v>
      </c>
      <c r="B48" s="46">
        <v>2</v>
      </c>
      <c r="C48" s="136" t="str">
        <f t="shared" ref="C48" si="6" xml:space="preserve"> IF(B48="","",setValueToTime(B48))</f>
        <v>0h10min</v>
      </c>
      <c r="D48" s="158" t="s">
        <v>220</v>
      </c>
      <c r="E48" s="215"/>
      <c r="F48" s="216"/>
      <c r="G48" s="3"/>
    </row>
    <row r="49" spans="1:7" s="44" customFormat="1" ht="15" thickBot="1" x14ac:dyDescent="0.35">
      <c r="A49" s="145" t="s">
        <v>28</v>
      </c>
      <c r="B49" s="68">
        <f>SUM(B47:B48)</f>
        <v>28</v>
      </c>
      <c r="C49" s="145" t="str">
        <f xml:space="preserve"> setValueToTime(B49)</f>
        <v>2h20min</v>
      </c>
      <c r="D49" s="105"/>
      <c r="E49" s="219"/>
      <c r="F49" s="220"/>
      <c r="G49" s="3"/>
    </row>
    <row r="50" spans="1:7" s="44" customFormat="1" ht="15" thickBot="1" x14ac:dyDescent="0.35">
      <c r="A50" s="62"/>
      <c r="B50" s="62"/>
      <c r="C50" s="62"/>
      <c r="D50" s="62"/>
      <c r="E50" s="62"/>
      <c r="F50" s="62"/>
      <c r="G50" s="3"/>
    </row>
    <row r="51" spans="1:7" s="40" customFormat="1" ht="30" customHeight="1" thickBot="1" x14ac:dyDescent="0.3">
      <c r="A51" s="139" t="s">
        <v>11</v>
      </c>
      <c r="B51" s="147">
        <v>20</v>
      </c>
      <c r="C51" s="147"/>
      <c r="D51" s="140" t="s">
        <v>14</v>
      </c>
      <c r="E51" s="141" t="s">
        <v>108</v>
      </c>
      <c r="F51" s="142" t="s">
        <v>42</v>
      </c>
      <c r="G51" s="39"/>
    </row>
    <row r="52" spans="1:7" s="40" customFormat="1" ht="30" customHeight="1" thickBot="1" x14ac:dyDescent="0.3">
      <c r="A52" s="63" t="s">
        <v>5</v>
      </c>
      <c r="B52" s="144" t="s">
        <v>40</v>
      </c>
      <c r="C52" s="143"/>
      <c r="D52" s="63" t="s">
        <v>12</v>
      </c>
      <c r="E52" s="221" t="s">
        <v>13</v>
      </c>
      <c r="F52" s="222"/>
      <c r="G52" s="39"/>
    </row>
    <row r="53" spans="1:7" s="44" customFormat="1" ht="27" x14ac:dyDescent="0.3">
      <c r="A53" s="41" t="s">
        <v>15</v>
      </c>
      <c r="B53" s="42">
        <v>26</v>
      </c>
      <c r="C53" s="135" t="str">
        <f xml:space="preserve"> IF(B53="","",setValueToTime(B53))</f>
        <v>2h10min</v>
      </c>
      <c r="D53" s="159" t="s">
        <v>216</v>
      </c>
      <c r="E53" s="213"/>
      <c r="F53" s="214"/>
      <c r="G53" s="3"/>
    </row>
    <row r="54" spans="1:7" s="44" customFormat="1" ht="54.75" thickBot="1" x14ac:dyDescent="0.35">
      <c r="A54" s="45" t="s">
        <v>16</v>
      </c>
      <c r="B54" s="46">
        <v>2</v>
      </c>
      <c r="C54" s="136" t="str">
        <f t="shared" ref="C54" si="7" xml:space="preserve"> IF(B54="","",setValueToTime(B54))</f>
        <v>0h10min</v>
      </c>
      <c r="D54" s="158" t="s">
        <v>217</v>
      </c>
      <c r="E54" s="215"/>
      <c r="F54" s="216"/>
      <c r="G54" s="3"/>
    </row>
    <row r="55" spans="1:7" s="44" customFormat="1" ht="15" thickBot="1" x14ac:dyDescent="0.35">
      <c r="A55" s="145" t="s">
        <v>28</v>
      </c>
      <c r="B55" s="68">
        <f>SUM(B53:B54)</f>
        <v>28</v>
      </c>
      <c r="C55" s="145" t="str">
        <f xml:space="preserve"> setValueToTime(B55)</f>
        <v>2h20min</v>
      </c>
      <c r="D55" s="105"/>
      <c r="E55" s="219"/>
      <c r="F55" s="220"/>
      <c r="G55" s="3"/>
    </row>
    <row r="56" spans="1:7" s="44" customFormat="1" ht="15" thickBot="1" x14ac:dyDescent="0.35">
      <c r="A56" s="62"/>
      <c r="B56" s="62"/>
      <c r="C56" s="62"/>
      <c r="D56" s="62"/>
      <c r="E56" s="62"/>
      <c r="F56" s="62"/>
      <c r="G56" s="3"/>
    </row>
    <row r="57" spans="1:7" s="40" customFormat="1" ht="30" customHeight="1" thickBot="1" x14ac:dyDescent="0.3">
      <c r="A57" s="139" t="s">
        <v>11</v>
      </c>
      <c r="B57" s="147">
        <v>19</v>
      </c>
      <c r="C57" s="147"/>
      <c r="D57" s="140" t="s">
        <v>14</v>
      </c>
      <c r="E57" s="141" t="s">
        <v>108</v>
      </c>
      <c r="F57" s="142" t="s">
        <v>41</v>
      </c>
      <c r="G57" s="39"/>
    </row>
    <row r="58" spans="1:7" s="40" customFormat="1" ht="30" customHeight="1" thickBot="1" x14ac:dyDescent="0.3">
      <c r="A58" s="63" t="s">
        <v>5</v>
      </c>
      <c r="B58" s="144" t="s">
        <v>40</v>
      </c>
      <c r="C58" s="143"/>
      <c r="D58" s="63" t="s">
        <v>12</v>
      </c>
      <c r="E58" s="221" t="s">
        <v>13</v>
      </c>
      <c r="F58" s="222"/>
      <c r="G58" s="39"/>
    </row>
    <row r="59" spans="1:7" s="44" customFormat="1" ht="27" x14ac:dyDescent="0.3">
      <c r="A59" s="41" t="s">
        <v>82</v>
      </c>
      <c r="B59" s="42">
        <v>6</v>
      </c>
      <c r="C59" s="135" t="str">
        <f xml:space="preserve"> IF(B59="","",setValueToTime(B59))</f>
        <v>0h30min</v>
      </c>
      <c r="D59" s="159" t="s">
        <v>209</v>
      </c>
      <c r="E59" s="213"/>
      <c r="F59" s="214"/>
      <c r="G59" s="3"/>
    </row>
    <row r="60" spans="1:7" s="44" customFormat="1" ht="27" x14ac:dyDescent="0.3">
      <c r="A60" s="45" t="s">
        <v>66</v>
      </c>
      <c r="B60" s="46">
        <v>4</v>
      </c>
      <c r="C60" s="136" t="str">
        <f t="shared" ref="C60:C63" si="8" xml:space="preserve"> IF(B60="","",setValueToTime(B60))</f>
        <v>0h20min</v>
      </c>
      <c r="D60" s="158" t="s">
        <v>215</v>
      </c>
      <c r="E60" s="224" t="s">
        <v>206</v>
      </c>
      <c r="F60" s="216"/>
      <c r="G60" s="3"/>
    </row>
    <row r="61" spans="1:7" s="44" customFormat="1" ht="67.5" x14ac:dyDescent="0.3">
      <c r="A61" s="45" t="s">
        <v>53</v>
      </c>
      <c r="B61" s="46">
        <v>30</v>
      </c>
      <c r="C61" s="136" t="str">
        <f t="shared" si="8"/>
        <v>2h30min</v>
      </c>
      <c r="D61" s="158" t="s">
        <v>207</v>
      </c>
      <c r="E61" s="215"/>
      <c r="F61" s="216"/>
      <c r="G61" s="3"/>
    </row>
    <row r="62" spans="1:7" s="44" customFormat="1" ht="67.5" x14ac:dyDescent="0.3">
      <c r="A62" s="45" t="s">
        <v>82</v>
      </c>
      <c r="B62" s="46">
        <v>6</v>
      </c>
      <c r="C62" s="136" t="str">
        <f t="shared" si="8"/>
        <v>0h30min</v>
      </c>
      <c r="D62" s="158" t="s">
        <v>208</v>
      </c>
      <c r="E62" s="215"/>
      <c r="F62" s="216"/>
      <c r="G62" s="3"/>
    </row>
    <row r="63" spans="1:7" s="44" customFormat="1" ht="68.25" thickBot="1" x14ac:dyDescent="0.35">
      <c r="A63" s="46" t="s">
        <v>16</v>
      </c>
      <c r="B63" s="46">
        <v>2</v>
      </c>
      <c r="C63" s="137" t="str">
        <f t="shared" si="8"/>
        <v>0h10min</v>
      </c>
      <c r="D63" s="158" t="s">
        <v>210</v>
      </c>
      <c r="E63" s="215"/>
      <c r="F63" s="216"/>
      <c r="G63" s="3"/>
    </row>
    <row r="64" spans="1:7" s="44" customFormat="1" ht="15" thickBot="1" x14ac:dyDescent="0.35">
      <c r="A64" s="145" t="s">
        <v>28</v>
      </c>
      <c r="B64" s="68">
        <f>SUM(B59:B63)</f>
        <v>48</v>
      </c>
      <c r="C64" s="145" t="str">
        <f xml:space="preserve"> setValueToTime(B64)</f>
        <v>4h</v>
      </c>
      <c r="D64" s="105"/>
      <c r="E64" s="219"/>
      <c r="F64" s="220"/>
      <c r="G64" s="3"/>
    </row>
    <row r="65" spans="1:7" s="44" customFormat="1" ht="15" thickBot="1" x14ac:dyDescent="0.35">
      <c r="A65" s="62"/>
      <c r="B65" s="62"/>
      <c r="C65" s="62"/>
      <c r="D65" s="62"/>
      <c r="E65" s="62"/>
      <c r="F65" s="62"/>
      <c r="G65" s="3"/>
    </row>
    <row r="66" spans="1:7" s="40" customFormat="1" ht="30" customHeight="1" thickBot="1" x14ac:dyDescent="0.3">
      <c r="A66" s="139" t="s">
        <v>11</v>
      </c>
      <c r="B66" s="147">
        <v>18</v>
      </c>
      <c r="C66" s="147"/>
      <c r="D66" s="140" t="s">
        <v>14</v>
      </c>
      <c r="E66" s="141" t="s">
        <v>107</v>
      </c>
      <c r="F66" s="142" t="s">
        <v>42</v>
      </c>
      <c r="G66" s="39"/>
    </row>
    <row r="67" spans="1:7" s="40" customFormat="1" ht="30" customHeight="1" thickBot="1" x14ac:dyDescent="0.3">
      <c r="A67" s="63" t="s">
        <v>5</v>
      </c>
      <c r="B67" s="144" t="s">
        <v>40</v>
      </c>
      <c r="C67" s="143"/>
      <c r="D67" s="63" t="s">
        <v>12</v>
      </c>
      <c r="E67" s="221" t="s">
        <v>13</v>
      </c>
      <c r="F67" s="222"/>
      <c r="G67" s="39"/>
    </row>
    <row r="68" spans="1:7" s="44" customFormat="1" ht="27.75" thickBot="1" x14ac:dyDescent="0.35">
      <c r="A68" s="41" t="s">
        <v>66</v>
      </c>
      <c r="B68" s="42">
        <v>2</v>
      </c>
      <c r="C68" s="135" t="str">
        <f xml:space="preserve"> IF(B68="","",setValueToTime(B68))</f>
        <v>0h10min</v>
      </c>
      <c r="D68" s="159" t="s">
        <v>203</v>
      </c>
      <c r="E68" s="223" t="s">
        <v>202</v>
      </c>
      <c r="F68" s="214"/>
      <c r="G68" s="3"/>
    </row>
    <row r="69" spans="1:7" s="44" customFormat="1" ht="94.5" x14ac:dyDescent="0.3">
      <c r="A69" s="41" t="s">
        <v>79</v>
      </c>
      <c r="B69" s="42">
        <v>24</v>
      </c>
      <c r="C69" s="136" t="str">
        <f t="shared" ref="C69:C70" si="9" xml:space="preserve"> IF(B69="","",setValueToTime(B69))</f>
        <v>2h</v>
      </c>
      <c r="D69" s="158" t="s">
        <v>205</v>
      </c>
      <c r="E69" s="215"/>
      <c r="F69" s="216"/>
      <c r="G69" s="3"/>
    </row>
    <row r="70" spans="1:7" s="44" customFormat="1" ht="54.75" thickBot="1" x14ac:dyDescent="0.35">
      <c r="A70" s="45" t="s">
        <v>16</v>
      </c>
      <c r="B70" s="46">
        <v>2</v>
      </c>
      <c r="C70" s="136" t="str">
        <f t="shared" si="9"/>
        <v>0h10min</v>
      </c>
      <c r="D70" s="158" t="s">
        <v>204</v>
      </c>
      <c r="E70" s="215"/>
      <c r="F70" s="216"/>
      <c r="G70" s="3"/>
    </row>
    <row r="71" spans="1:7" s="44" customFormat="1" ht="15" thickBot="1" x14ac:dyDescent="0.35">
      <c r="A71" s="145" t="s">
        <v>28</v>
      </c>
      <c r="B71" s="68">
        <f>SUM(B68:B70)</f>
        <v>28</v>
      </c>
      <c r="C71" s="145" t="str">
        <f xml:space="preserve"> setValueToTime(B71)</f>
        <v>2h20min</v>
      </c>
      <c r="D71" s="105"/>
      <c r="E71" s="219"/>
      <c r="F71" s="220"/>
      <c r="G71" s="3"/>
    </row>
    <row r="72" spans="1:7" s="44" customFormat="1" ht="15" thickBot="1" x14ac:dyDescent="0.35">
      <c r="A72" s="62"/>
      <c r="B72" s="62"/>
      <c r="C72" s="62"/>
      <c r="D72" s="62"/>
      <c r="E72" s="62"/>
      <c r="F72" s="62"/>
      <c r="G72" s="3"/>
    </row>
    <row r="73" spans="1:7" s="40" customFormat="1" ht="30" customHeight="1" thickBot="1" x14ac:dyDescent="0.3">
      <c r="A73" s="139" t="s">
        <v>11</v>
      </c>
      <c r="B73" s="147">
        <v>17</v>
      </c>
      <c r="C73" s="147"/>
      <c r="D73" s="140" t="s">
        <v>14</v>
      </c>
      <c r="E73" s="141" t="s">
        <v>107</v>
      </c>
      <c r="F73" s="142" t="s">
        <v>41</v>
      </c>
      <c r="G73" s="39"/>
    </row>
    <row r="74" spans="1:7" s="40" customFormat="1" ht="30" customHeight="1" thickBot="1" x14ac:dyDescent="0.3">
      <c r="A74" s="63" t="s">
        <v>5</v>
      </c>
      <c r="B74" s="144" t="s">
        <v>40</v>
      </c>
      <c r="C74" s="143"/>
      <c r="D74" s="63" t="s">
        <v>12</v>
      </c>
      <c r="E74" s="221" t="s">
        <v>13</v>
      </c>
      <c r="F74" s="222"/>
      <c r="G74" s="39"/>
    </row>
    <row r="75" spans="1:7" s="44" customFormat="1" ht="27.75" thickBot="1" x14ac:dyDescent="0.35">
      <c r="A75" s="41" t="s">
        <v>66</v>
      </c>
      <c r="B75" s="42">
        <v>4</v>
      </c>
      <c r="C75" s="135" t="str">
        <f xml:space="preserve"> IF(B75="","",setValueToTime(B75))</f>
        <v>0h20min</v>
      </c>
      <c r="D75" s="159" t="s">
        <v>201</v>
      </c>
      <c r="E75" s="223" t="s">
        <v>200</v>
      </c>
      <c r="F75" s="214"/>
      <c r="G75" s="3"/>
    </row>
    <row r="76" spans="1:7" s="44" customFormat="1" ht="40.5" x14ac:dyDescent="0.3">
      <c r="A76" s="41" t="s">
        <v>50</v>
      </c>
      <c r="B76" s="42">
        <v>8</v>
      </c>
      <c r="C76" s="136" t="str">
        <f t="shared" ref="C76:C80" si="10" xml:space="preserve"> IF(B76="","",setValueToTime(B76))</f>
        <v>0h40min</v>
      </c>
      <c r="D76" s="159" t="s">
        <v>199</v>
      </c>
      <c r="E76" s="215"/>
      <c r="F76" s="216"/>
      <c r="G76" s="3"/>
    </row>
    <row r="77" spans="1:7" s="44" customFormat="1" ht="54" x14ac:dyDescent="0.3">
      <c r="A77" s="45" t="s">
        <v>52</v>
      </c>
      <c r="B77" s="46">
        <v>24</v>
      </c>
      <c r="C77" s="136" t="str">
        <f t="shared" si="10"/>
        <v>2h</v>
      </c>
      <c r="D77" s="158" t="s">
        <v>211</v>
      </c>
      <c r="E77" s="215"/>
      <c r="F77" s="216"/>
      <c r="G77" s="3"/>
    </row>
    <row r="78" spans="1:7" s="44" customFormat="1" ht="40.5" x14ac:dyDescent="0.3">
      <c r="A78" s="45" t="s">
        <v>79</v>
      </c>
      <c r="B78" s="46">
        <v>4</v>
      </c>
      <c r="C78" s="136" t="str">
        <f t="shared" si="10"/>
        <v>0h20min</v>
      </c>
      <c r="D78" s="158" t="s">
        <v>212</v>
      </c>
      <c r="E78" s="215"/>
      <c r="F78" s="216"/>
      <c r="G78" s="3"/>
    </row>
    <row r="79" spans="1:7" s="44" customFormat="1" ht="54" x14ac:dyDescent="0.3">
      <c r="A79" s="45" t="s">
        <v>82</v>
      </c>
      <c r="B79" s="46">
        <v>6</v>
      </c>
      <c r="C79" s="137" t="str">
        <f t="shared" si="10"/>
        <v>0h30min</v>
      </c>
      <c r="D79" s="158" t="s">
        <v>213</v>
      </c>
      <c r="E79" s="215"/>
      <c r="F79" s="216"/>
      <c r="G79" s="3"/>
    </row>
    <row r="80" spans="1:7" s="44" customFormat="1" ht="68.25" thickBot="1" x14ac:dyDescent="0.35">
      <c r="A80" s="46" t="s">
        <v>16</v>
      </c>
      <c r="B80" s="46">
        <v>2</v>
      </c>
      <c r="C80" s="137" t="str">
        <f t="shared" si="10"/>
        <v>0h10min</v>
      </c>
      <c r="D80" s="158" t="s">
        <v>214</v>
      </c>
      <c r="E80" s="215"/>
      <c r="F80" s="216"/>
      <c r="G80" s="3"/>
    </row>
    <row r="81" spans="1:7" s="44" customFormat="1" ht="15" thickBot="1" x14ac:dyDescent="0.35">
      <c r="A81" s="145" t="s">
        <v>28</v>
      </c>
      <c r="B81" s="68">
        <f>SUM(B75:B80)</f>
        <v>48</v>
      </c>
      <c r="C81" s="145" t="str">
        <f xml:space="preserve"> setValueToTime(B81)</f>
        <v>4h</v>
      </c>
      <c r="D81" s="105"/>
      <c r="E81" s="219"/>
      <c r="F81" s="220"/>
      <c r="G81" s="3"/>
    </row>
    <row r="82" spans="1:7" s="44" customFormat="1" ht="15" thickBot="1" x14ac:dyDescent="0.35">
      <c r="A82" s="62"/>
      <c r="B82" s="62"/>
      <c r="C82" s="62"/>
      <c r="D82" s="62"/>
      <c r="E82" s="62"/>
      <c r="F82" s="62"/>
      <c r="G82" s="3"/>
    </row>
    <row r="83" spans="1:7" s="40" customFormat="1" ht="30" customHeight="1" thickBot="1" x14ac:dyDescent="0.3">
      <c r="A83" s="139" t="s">
        <v>11</v>
      </c>
      <c r="B83" s="147">
        <v>16</v>
      </c>
      <c r="C83" s="147"/>
      <c r="D83" s="140" t="s">
        <v>14</v>
      </c>
      <c r="E83" s="141" t="s">
        <v>106</v>
      </c>
      <c r="F83" s="142" t="s">
        <v>42</v>
      </c>
      <c r="G83" s="39"/>
    </row>
    <row r="84" spans="1:7" s="40" customFormat="1" ht="30" customHeight="1" thickBot="1" x14ac:dyDescent="0.3">
      <c r="A84" s="63" t="s">
        <v>5</v>
      </c>
      <c r="B84" s="144" t="s">
        <v>40</v>
      </c>
      <c r="C84" s="143"/>
      <c r="D84" s="63" t="s">
        <v>12</v>
      </c>
      <c r="E84" s="221" t="s">
        <v>13</v>
      </c>
      <c r="F84" s="222"/>
      <c r="G84" s="39"/>
    </row>
    <row r="85" spans="1:7" s="44" customFormat="1" ht="94.5" x14ac:dyDescent="0.3">
      <c r="A85" s="41" t="s">
        <v>15</v>
      </c>
      <c r="B85" s="42">
        <v>34</v>
      </c>
      <c r="C85" s="135" t="str">
        <f xml:space="preserve"> IF(B85="","",setValueToTime(B85))</f>
        <v>2h50min</v>
      </c>
      <c r="D85" s="159" t="s">
        <v>197</v>
      </c>
      <c r="E85" s="213"/>
      <c r="F85" s="214"/>
      <c r="G85" s="3"/>
    </row>
    <row r="86" spans="1:7" s="44" customFormat="1" ht="68.25" thickBot="1" x14ac:dyDescent="0.35">
      <c r="A86" s="45" t="s">
        <v>16</v>
      </c>
      <c r="B86" s="46">
        <v>4</v>
      </c>
      <c r="C86" s="136" t="str">
        <f t="shared" ref="C86" si="11" xml:space="preserve"> IF(B86="","",setValueToTime(B86))</f>
        <v>0h20min</v>
      </c>
      <c r="D86" s="158" t="s">
        <v>198</v>
      </c>
      <c r="E86" s="215"/>
      <c r="F86" s="216"/>
      <c r="G86" s="3"/>
    </row>
    <row r="87" spans="1:7" s="44" customFormat="1" ht="15" thickBot="1" x14ac:dyDescent="0.35">
      <c r="A87" s="145" t="s">
        <v>28</v>
      </c>
      <c r="B87" s="68">
        <f>SUM(B85:B86)</f>
        <v>38</v>
      </c>
      <c r="C87" s="145" t="str">
        <f xml:space="preserve"> setValueToTime(B87)</f>
        <v>3h10min</v>
      </c>
      <c r="D87" s="105"/>
      <c r="E87" s="219"/>
      <c r="F87" s="220"/>
      <c r="G87" s="3"/>
    </row>
    <row r="88" spans="1:7" s="44" customFormat="1" ht="15" thickBot="1" x14ac:dyDescent="0.35">
      <c r="A88" s="62"/>
      <c r="B88" s="62"/>
      <c r="C88" s="62"/>
      <c r="D88" s="62"/>
      <c r="E88" s="62"/>
      <c r="F88" s="62"/>
      <c r="G88" s="3"/>
    </row>
    <row r="89" spans="1:7" s="40" customFormat="1" ht="30" customHeight="1" thickBot="1" x14ac:dyDescent="0.3">
      <c r="A89" s="139" t="s">
        <v>11</v>
      </c>
      <c r="B89" s="147">
        <v>15</v>
      </c>
      <c r="C89" s="147"/>
      <c r="D89" s="140" t="s">
        <v>14</v>
      </c>
      <c r="E89" s="141" t="s">
        <v>106</v>
      </c>
      <c r="F89" s="142" t="s">
        <v>41</v>
      </c>
      <c r="G89" s="39"/>
    </row>
    <row r="90" spans="1:7" s="40" customFormat="1" ht="30" customHeight="1" thickBot="1" x14ac:dyDescent="0.3">
      <c r="A90" s="63" t="s">
        <v>5</v>
      </c>
      <c r="B90" s="144" t="s">
        <v>40</v>
      </c>
      <c r="C90" s="143"/>
      <c r="D90" s="63" t="s">
        <v>12</v>
      </c>
      <c r="E90" s="221" t="s">
        <v>13</v>
      </c>
      <c r="F90" s="222"/>
      <c r="G90" s="39"/>
    </row>
    <row r="91" spans="1:7" s="44" customFormat="1" ht="108" x14ac:dyDescent="0.3">
      <c r="A91" s="41" t="s">
        <v>82</v>
      </c>
      <c r="B91" s="42">
        <v>18</v>
      </c>
      <c r="C91" s="135" t="str">
        <f xml:space="preserve"> IF(B91="","",setValueToTime(B91))</f>
        <v>1h30min</v>
      </c>
      <c r="D91" s="159" t="s">
        <v>191</v>
      </c>
      <c r="E91" s="213"/>
      <c r="F91" s="214"/>
      <c r="G91" s="3"/>
    </row>
    <row r="92" spans="1:7" s="44" customFormat="1" ht="27" x14ac:dyDescent="0.3">
      <c r="A92" s="45" t="s">
        <v>79</v>
      </c>
      <c r="B92" s="46">
        <v>28</v>
      </c>
      <c r="C92" s="136" t="str">
        <f t="shared" ref="C92:C93" si="12" xml:space="preserve"> IF(B92="","",setValueToTime(B92))</f>
        <v>2h20min</v>
      </c>
      <c r="D92" s="158" t="s">
        <v>192</v>
      </c>
      <c r="E92" s="215"/>
      <c r="F92" s="216"/>
      <c r="G92" s="3"/>
    </row>
    <row r="93" spans="1:7" s="44" customFormat="1" ht="54.75" thickBot="1" x14ac:dyDescent="0.35">
      <c r="A93" s="45" t="s">
        <v>16</v>
      </c>
      <c r="B93" s="46">
        <v>2</v>
      </c>
      <c r="C93" s="136" t="str">
        <f t="shared" si="12"/>
        <v>0h10min</v>
      </c>
      <c r="D93" s="158" t="s">
        <v>193</v>
      </c>
      <c r="E93" s="215"/>
      <c r="F93" s="216"/>
      <c r="G93" s="3"/>
    </row>
    <row r="94" spans="1:7" s="44" customFormat="1" ht="15" thickBot="1" x14ac:dyDescent="0.35">
      <c r="A94" s="145" t="s">
        <v>28</v>
      </c>
      <c r="B94" s="68">
        <f>SUM(B91:B93)</f>
        <v>48</v>
      </c>
      <c r="C94" s="145" t="str">
        <f xml:space="preserve"> setValueToTime(B94)</f>
        <v>4h</v>
      </c>
      <c r="D94" s="105"/>
      <c r="E94" s="219"/>
      <c r="F94" s="220"/>
      <c r="G94" s="3"/>
    </row>
    <row r="95" spans="1:7" s="44" customFormat="1" ht="15" thickBot="1" x14ac:dyDescent="0.35">
      <c r="A95" s="62"/>
      <c r="B95" s="62"/>
      <c r="C95" s="62"/>
      <c r="D95" s="62"/>
      <c r="E95" s="62"/>
      <c r="F95" s="62"/>
      <c r="G95" s="3"/>
    </row>
    <row r="96" spans="1:7" s="40" customFormat="1" ht="30" customHeight="1" thickBot="1" x14ac:dyDescent="0.3">
      <c r="A96" s="139" t="s">
        <v>11</v>
      </c>
      <c r="B96" s="147">
        <v>14</v>
      </c>
      <c r="C96" s="147"/>
      <c r="D96" s="140" t="s">
        <v>14</v>
      </c>
      <c r="E96" s="141" t="s">
        <v>105</v>
      </c>
      <c r="F96" s="142" t="s">
        <v>42</v>
      </c>
      <c r="G96" s="39"/>
    </row>
    <row r="97" spans="1:7" s="40" customFormat="1" ht="30" customHeight="1" thickBot="1" x14ac:dyDescent="0.3">
      <c r="A97" s="63" t="s">
        <v>5</v>
      </c>
      <c r="B97" s="144" t="s">
        <v>40</v>
      </c>
      <c r="C97" s="143"/>
      <c r="D97" s="63" t="s">
        <v>12</v>
      </c>
      <c r="E97" s="221" t="s">
        <v>13</v>
      </c>
      <c r="F97" s="222"/>
      <c r="G97" s="39"/>
    </row>
    <row r="98" spans="1:7" s="44" customFormat="1" ht="40.5" x14ac:dyDescent="0.3">
      <c r="A98" s="41" t="s">
        <v>50</v>
      </c>
      <c r="B98" s="42">
        <v>36</v>
      </c>
      <c r="C98" s="135" t="str">
        <f xml:space="preserve"> IF(B98="","",setValueToTime(B98))</f>
        <v>3h</v>
      </c>
      <c r="D98" s="159" t="s">
        <v>189</v>
      </c>
      <c r="E98" s="213"/>
      <c r="F98" s="214"/>
      <c r="G98" s="3"/>
    </row>
    <row r="99" spans="1:7" s="44" customFormat="1" ht="27.75" thickBot="1" x14ac:dyDescent="0.35">
      <c r="A99" s="45" t="s">
        <v>16</v>
      </c>
      <c r="B99" s="46">
        <v>2</v>
      </c>
      <c r="C99" s="136" t="str">
        <f t="shared" ref="C99" si="13" xml:space="preserve"> IF(B99="","",setValueToTime(B99))</f>
        <v>0h10min</v>
      </c>
      <c r="D99" s="158" t="s">
        <v>190</v>
      </c>
      <c r="E99" s="215"/>
      <c r="F99" s="216"/>
      <c r="G99" s="3"/>
    </row>
    <row r="100" spans="1:7" s="44" customFormat="1" ht="15" thickBot="1" x14ac:dyDescent="0.35">
      <c r="A100" s="145" t="s">
        <v>28</v>
      </c>
      <c r="B100" s="68">
        <f>SUM(B98:B99)</f>
        <v>38</v>
      </c>
      <c r="C100" s="145" t="str">
        <f xml:space="preserve"> setValueToTime(B100)</f>
        <v>3h10min</v>
      </c>
      <c r="D100" s="105"/>
      <c r="E100" s="219"/>
      <c r="F100" s="220"/>
      <c r="G100" s="3"/>
    </row>
    <row r="101" spans="1:7" s="44" customFormat="1" ht="15" thickBot="1" x14ac:dyDescent="0.35">
      <c r="A101" s="62"/>
      <c r="B101" s="62"/>
      <c r="C101" s="62"/>
      <c r="D101" s="62"/>
      <c r="E101" s="62"/>
      <c r="F101" s="62"/>
      <c r="G101" s="3"/>
    </row>
    <row r="102" spans="1:7" s="40" customFormat="1" ht="30" customHeight="1" thickBot="1" x14ac:dyDescent="0.3">
      <c r="A102" s="139" t="s">
        <v>11</v>
      </c>
      <c r="B102" s="147">
        <v>13</v>
      </c>
      <c r="C102" s="147"/>
      <c r="D102" s="140" t="s">
        <v>14</v>
      </c>
      <c r="E102" s="141" t="s">
        <v>105</v>
      </c>
      <c r="F102" s="142" t="s">
        <v>41</v>
      </c>
      <c r="G102" s="39"/>
    </row>
    <row r="103" spans="1:7" s="40" customFormat="1" ht="30" customHeight="1" thickBot="1" x14ac:dyDescent="0.3">
      <c r="A103" s="63" t="s">
        <v>5</v>
      </c>
      <c r="B103" s="144" t="s">
        <v>40</v>
      </c>
      <c r="C103" s="143"/>
      <c r="D103" s="63" t="s">
        <v>12</v>
      </c>
      <c r="E103" s="221" t="s">
        <v>13</v>
      </c>
      <c r="F103" s="222"/>
      <c r="G103" s="39"/>
    </row>
    <row r="104" spans="1:7" s="44" customFormat="1" ht="54.75" thickBot="1" x14ac:dyDescent="0.35">
      <c r="A104" s="41" t="s">
        <v>82</v>
      </c>
      <c r="B104" s="42">
        <v>8</v>
      </c>
      <c r="C104" s="135" t="str">
        <f xml:space="preserve"> IF(B104="","",setValueToTime(B104))</f>
        <v>0h40min</v>
      </c>
      <c r="D104" s="159" t="s">
        <v>187</v>
      </c>
      <c r="E104" s="213"/>
      <c r="F104" s="214"/>
      <c r="G104" s="3"/>
    </row>
    <row r="105" spans="1:7" s="44" customFormat="1" ht="27.75" thickBot="1" x14ac:dyDescent="0.35">
      <c r="A105" s="41" t="s">
        <v>66</v>
      </c>
      <c r="B105" s="42">
        <v>2</v>
      </c>
      <c r="C105" s="136" t="str">
        <f t="shared" ref="C105:C107" si="14" xml:space="preserve"> IF(B105="","",setValueToTime(B105))</f>
        <v>0h10min</v>
      </c>
      <c r="D105" s="159" t="s">
        <v>196</v>
      </c>
      <c r="E105" s="224" t="s">
        <v>195</v>
      </c>
      <c r="F105" s="216"/>
      <c r="G105" s="3"/>
    </row>
    <row r="106" spans="1:7" s="44" customFormat="1" ht="40.5" x14ac:dyDescent="0.3">
      <c r="A106" s="41" t="s">
        <v>50</v>
      </c>
      <c r="B106" s="46">
        <v>36</v>
      </c>
      <c r="C106" s="136" t="str">
        <f t="shared" si="14"/>
        <v>3h</v>
      </c>
      <c r="D106" s="158" t="s">
        <v>188</v>
      </c>
      <c r="E106" s="215"/>
      <c r="F106" s="216"/>
      <c r="G106" s="3"/>
    </row>
    <row r="107" spans="1:7" s="44" customFormat="1" ht="41.25" thickBot="1" x14ac:dyDescent="0.35">
      <c r="A107" s="45" t="s">
        <v>16</v>
      </c>
      <c r="B107" s="46">
        <v>2</v>
      </c>
      <c r="C107" s="136" t="str">
        <f t="shared" si="14"/>
        <v>0h10min</v>
      </c>
      <c r="D107" s="158" t="s">
        <v>186</v>
      </c>
      <c r="E107" s="215"/>
      <c r="F107" s="216"/>
      <c r="G107" s="3"/>
    </row>
    <row r="108" spans="1:7" s="44" customFormat="1" ht="15" thickBot="1" x14ac:dyDescent="0.35">
      <c r="A108" s="145" t="s">
        <v>28</v>
      </c>
      <c r="B108" s="68">
        <f>SUM(B104:B107)</f>
        <v>48</v>
      </c>
      <c r="C108" s="145" t="str">
        <f xml:space="preserve"> setValueToTime(B108)</f>
        <v>4h</v>
      </c>
      <c r="D108" s="105"/>
      <c r="E108" s="219"/>
      <c r="F108" s="220"/>
      <c r="G108" s="3"/>
    </row>
    <row r="109" spans="1:7" s="44" customFormat="1" ht="15" thickBot="1" x14ac:dyDescent="0.35">
      <c r="A109" s="62"/>
      <c r="B109" s="62"/>
      <c r="C109" s="62"/>
      <c r="D109" s="62"/>
      <c r="E109" s="62"/>
      <c r="F109" s="62"/>
      <c r="G109" s="3"/>
    </row>
    <row r="110" spans="1:7" s="40" customFormat="1" ht="30" customHeight="1" thickBot="1" x14ac:dyDescent="0.3">
      <c r="A110" s="139" t="s">
        <v>11</v>
      </c>
      <c r="B110" s="147">
        <v>12</v>
      </c>
      <c r="C110" s="147"/>
      <c r="D110" s="140" t="s">
        <v>14</v>
      </c>
      <c r="E110" s="141" t="s">
        <v>104</v>
      </c>
      <c r="F110" s="142" t="s">
        <v>41</v>
      </c>
      <c r="G110" s="39"/>
    </row>
    <row r="111" spans="1:7" s="40" customFormat="1" ht="30" customHeight="1" thickBot="1" x14ac:dyDescent="0.3">
      <c r="A111" s="63" t="s">
        <v>5</v>
      </c>
      <c r="B111" s="144" t="s">
        <v>40</v>
      </c>
      <c r="C111" s="143"/>
      <c r="D111" s="63" t="s">
        <v>12</v>
      </c>
      <c r="E111" s="221" t="s">
        <v>13</v>
      </c>
      <c r="F111" s="222"/>
      <c r="G111" s="39"/>
    </row>
    <row r="112" spans="1:7" s="44" customFormat="1" ht="67.5" x14ac:dyDescent="0.3">
      <c r="A112" s="41" t="s">
        <v>82</v>
      </c>
      <c r="B112" s="42">
        <v>6</v>
      </c>
      <c r="C112" s="135" t="str">
        <f xml:space="preserve"> IF(B112="","",setValueToTime(B112))</f>
        <v>0h30min</v>
      </c>
      <c r="D112" s="159" t="s">
        <v>181</v>
      </c>
      <c r="E112" s="213"/>
      <c r="F112" s="214"/>
      <c r="G112" s="3"/>
    </row>
    <row r="113" spans="1:7" s="44" customFormat="1" ht="27" x14ac:dyDescent="0.3">
      <c r="A113" s="45" t="s">
        <v>182</v>
      </c>
      <c r="B113" s="46">
        <v>16</v>
      </c>
      <c r="C113" s="136" t="str">
        <f t="shared" ref="C113:C115" si="15" xml:space="preserve"> IF(B113="","",setValueToTime(B113))</f>
        <v>1h20min</v>
      </c>
      <c r="D113" s="158" t="s">
        <v>184</v>
      </c>
      <c r="E113" s="215"/>
      <c r="F113" s="216"/>
      <c r="G113" s="3"/>
    </row>
    <row r="114" spans="1:7" s="44" customFormat="1" ht="27" x14ac:dyDescent="0.3">
      <c r="A114" s="45" t="s">
        <v>15</v>
      </c>
      <c r="B114" s="46">
        <v>4</v>
      </c>
      <c r="C114" s="136" t="str">
        <f t="shared" si="15"/>
        <v>0h20min</v>
      </c>
      <c r="D114" s="158" t="s">
        <v>183</v>
      </c>
      <c r="E114" s="215"/>
      <c r="F114" s="216"/>
      <c r="G114" s="3"/>
    </row>
    <row r="115" spans="1:7" s="44" customFormat="1" ht="81.75" thickBot="1" x14ac:dyDescent="0.35">
      <c r="A115" s="45" t="s">
        <v>16</v>
      </c>
      <c r="B115" s="46">
        <v>2</v>
      </c>
      <c r="C115" s="136" t="str">
        <f t="shared" si="15"/>
        <v>0h10min</v>
      </c>
      <c r="D115" s="158" t="s">
        <v>185</v>
      </c>
      <c r="E115" s="215"/>
      <c r="F115" s="216"/>
      <c r="G115" s="3"/>
    </row>
    <row r="116" spans="1:7" s="44" customFormat="1" ht="15" thickBot="1" x14ac:dyDescent="0.35">
      <c r="A116" s="145" t="s">
        <v>28</v>
      </c>
      <c r="B116" s="68">
        <f>SUM(B112:B115)</f>
        <v>28</v>
      </c>
      <c r="C116" s="145" t="str">
        <f xml:space="preserve"> setValueToTime(B116)</f>
        <v>2h20min</v>
      </c>
      <c r="D116" s="105"/>
      <c r="E116" s="219"/>
      <c r="F116" s="220"/>
      <c r="G116" s="3"/>
    </row>
    <row r="117" spans="1:7" s="44" customFormat="1" ht="15" thickBot="1" x14ac:dyDescent="0.35">
      <c r="A117" s="62"/>
      <c r="B117" s="62"/>
      <c r="C117" s="62"/>
      <c r="D117" s="62"/>
      <c r="E117" s="62"/>
      <c r="F117" s="62"/>
      <c r="G117" s="3"/>
    </row>
    <row r="118" spans="1:7" s="40" customFormat="1" ht="30" customHeight="1" thickBot="1" x14ac:dyDescent="0.3">
      <c r="A118" s="139" t="s">
        <v>11</v>
      </c>
      <c r="B118" s="147">
        <v>11</v>
      </c>
      <c r="C118" s="147"/>
      <c r="D118" s="140" t="s">
        <v>14</v>
      </c>
      <c r="E118" s="141" t="s">
        <v>103</v>
      </c>
      <c r="F118" s="142" t="s">
        <v>42</v>
      </c>
      <c r="G118" s="39"/>
    </row>
    <row r="119" spans="1:7" s="40" customFormat="1" ht="30" customHeight="1" thickBot="1" x14ac:dyDescent="0.3">
      <c r="A119" s="63" t="s">
        <v>5</v>
      </c>
      <c r="B119" s="144" t="s">
        <v>40</v>
      </c>
      <c r="C119" s="143"/>
      <c r="D119" s="63" t="s">
        <v>12</v>
      </c>
      <c r="E119" s="221" t="s">
        <v>13</v>
      </c>
      <c r="F119" s="222"/>
      <c r="G119" s="39"/>
    </row>
    <row r="120" spans="1:7" s="44" customFormat="1" ht="27.75" thickBot="1" x14ac:dyDescent="0.35">
      <c r="A120" s="41" t="s">
        <v>66</v>
      </c>
      <c r="B120" s="42">
        <v>2</v>
      </c>
      <c r="C120" s="135" t="str">
        <f xml:space="preserve"> IF(B120="","",setValueToTime(B120))</f>
        <v>0h10min</v>
      </c>
      <c r="D120" s="159" t="s">
        <v>230</v>
      </c>
      <c r="E120" s="223" t="s">
        <v>194</v>
      </c>
      <c r="F120" s="214"/>
      <c r="G120" s="3"/>
    </row>
    <row r="121" spans="1:7" s="44" customFormat="1" ht="27" x14ac:dyDescent="0.3">
      <c r="A121" s="41" t="s">
        <v>49</v>
      </c>
      <c r="B121" s="42">
        <v>17</v>
      </c>
      <c r="C121" s="136" t="str">
        <f t="shared" ref="C121:C123" si="16" xml:space="preserve"> IF(B121="","",setValueToTime(B121))</f>
        <v>1h25min</v>
      </c>
      <c r="D121" s="159" t="s">
        <v>175</v>
      </c>
      <c r="E121" s="215"/>
      <c r="F121" s="216"/>
      <c r="G121" s="3"/>
    </row>
    <row r="122" spans="1:7" s="44" customFormat="1" ht="27" x14ac:dyDescent="0.3">
      <c r="A122" s="45" t="s">
        <v>15</v>
      </c>
      <c r="B122" s="46">
        <v>7</v>
      </c>
      <c r="C122" s="136" t="str">
        <f t="shared" si="16"/>
        <v>0h35min</v>
      </c>
      <c r="D122" s="158" t="s">
        <v>179</v>
      </c>
      <c r="E122" s="215"/>
      <c r="F122" s="216"/>
      <c r="G122" s="3"/>
    </row>
    <row r="123" spans="1:7" s="44" customFormat="1" ht="54.75" thickBot="1" x14ac:dyDescent="0.35">
      <c r="A123" s="45" t="s">
        <v>16</v>
      </c>
      <c r="B123" s="46">
        <v>2</v>
      </c>
      <c r="C123" s="136" t="str">
        <f t="shared" si="16"/>
        <v>0h10min</v>
      </c>
      <c r="D123" s="158" t="s">
        <v>180</v>
      </c>
      <c r="E123" s="215"/>
      <c r="F123" s="216"/>
      <c r="G123" s="3"/>
    </row>
    <row r="124" spans="1:7" s="44" customFormat="1" ht="15" thickBot="1" x14ac:dyDescent="0.35">
      <c r="A124" s="145" t="s">
        <v>28</v>
      </c>
      <c r="B124" s="68">
        <f>SUM(B120:B123)</f>
        <v>28</v>
      </c>
      <c r="C124" s="145" t="str">
        <f xml:space="preserve"> setValueToTime(B124)</f>
        <v>2h20min</v>
      </c>
      <c r="D124" s="105"/>
      <c r="E124" s="219"/>
      <c r="F124" s="220"/>
      <c r="G124" s="3"/>
    </row>
    <row r="125" spans="1:7" s="44" customFormat="1" ht="15" thickBot="1" x14ac:dyDescent="0.35">
      <c r="A125" s="62"/>
      <c r="B125" s="62"/>
      <c r="C125" s="62"/>
      <c r="D125" s="62"/>
      <c r="E125" s="62"/>
      <c r="F125" s="62"/>
      <c r="G125" s="3"/>
    </row>
    <row r="126" spans="1:7" s="40" customFormat="1" ht="30" customHeight="1" thickBot="1" x14ac:dyDescent="0.3">
      <c r="A126" s="139" t="s">
        <v>11</v>
      </c>
      <c r="B126" s="147">
        <v>10</v>
      </c>
      <c r="C126" s="147"/>
      <c r="D126" s="140" t="s">
        <v>14</v>
      </c>
      <c r="E126" s="141" t="s">
        <v>103</v>
      </c>
      <c r="F126" s="142" t="s">
        <v>41</v>
      </c>
      <c r="G126" s="39"/>
    </row>
    <row r="127" spans="1:7" s="40" customFormat="1" ht="30" customHeight="1" thickBot="1" x14ac:dyDescent="0.3">
      <c r="A127" s="63" t="s">
        <v>5</v>
      </c>
      <c r="B127" s="144" t="s">
        <v>40</v>
      </c>
      <c r="C127" s="143"/>
      <c r="D127" s="63" t="s">
        <v>12</v>
      </c>
      <c r="E127" s="221" t="s">
        <v>13</v>
      </c>
      <c r="F127" s="222"/>
      <c r="G127" s="39"/>
    </row>
    <row r="128" spans="1:7" s="44" customFormat="1" ht="27" x14ac:dyDescent="0.3">
      <c r="A128" s="41" t="s">
        <v>49</v>
      </c>
      <c r="B128" s="42">
        <v>40</v>
      </c>
      <c r="C128" s="135" t="str">
        <f xml:space="preserve"> IF(B128="","",setValueToTime(B128))</f>
        <v>3h20min</v>
      </c>
      <c r="D128" s="159" t="s">
        <v>176</v>
      </c>
      <c r="E128" s="213"/>
      <c r="F128" s="214"/>
      <c r="G128" s="3"/>
    </row>
    <row r="129" spans="1:7" s="44" customFormat="1" ht="40.5" x14ac:dyDescent="0.3">
      <c r="A129" s="45" t="s">
        <v>56</v>
      </c>
      <c r="B129" s="46">
        <v>6</v>
      </c>
      <c r="C129" s="136" t="str">
        <f t="shared" ref="C129:C130" si="17" xml:space="preserve"> IF(B129="","",setValueToTime(B129))</f>
        <v>0h30min</v>
      </c>
      <c r="D129" s="158" t="s">
        <v>178</v>
      </c>
      <c r="E129" s="215"/>
      <c r="F129" s="216"/>
      <c r="G129" s="3"/>
    </row>
    <row r="130" spans="1:7" s="44" customFormat="1" ht="54.75" thickBot="1" x14ac:dyDescent="0.35">
      <c r="A130" s="45" t="s">
        <v>16</v>
      </c>
      <c r="B130" s="46">
        <v>2</v>
      </c>
      <c r="C130" s="136" t="str">
        <f t="shared" si="17"/>
        <v>0h10min</v>
      </c>
      <c r="D130" s="158" t="s">
        <v>177</v>
      </c>
      <c r="E130" s="215"/>
      <c r="F130" s="216"/>
      <c r="G130" s="3"/>
    </row>
    <row r="131" spans="1:7" s="44" customFormat="1" ht="15" thickBot="1" x14ac:dyDescent="0.35">
      <c r="A131" s="145" t="s">
        <v>28</v>
      </c>
      <c r="B131" s="68">
        <f>SUM(B128:B130)</f>
        <v>48</v>
      </c>
      <c r="C131" s="145" t="str">
        <f xml:space="preserve"> setValueToTime(B131)</f>
        <v>4h</v>
      </c>
      <c r="D131" s="105"/>
      <c r="E131" s="219"/>
      <c r="F131" s="220"/>
      <c r="G131" s="3"/>
    </row>
    <row r="132" spans="1:7" s="44" customFormat="1" ht="15" thickBot="1" x14ac:dyDescent="0.35">
      <c r="A132" s="62"/>
      <c r="B132" s="62"/>
      <c r="C132" s="62"/>
      <c r="D132" s="62"/>
      <c r="E132" s="62"/>
      <c r="F132" s="62"/>
      <c r="G132" s="3"/>
    </row>
    <row r="133" spans="1:7" s="40" customFormat="1" ht="30" customHeight="1" thickBot="1" x14ac:dyDescent="0.3">
      <c r="A133" s="139" t="s">
        <v>11</v>
      </c>
      <c r="B133" s="147">
        <v>9</v>
      </c>
      <c r="C133" s="147"/>
      <c r="D133" s="140" t="s">
        <v>14</v>
      </c>
      <c r="E133" s="141" t="s">
        <v>102</v>
      </c>
      <c r="F133" s="142" t="s">
        <v>42</v>
      </c>
      <c r="G133" s="39"/>
    </row>
    <row r="134" spans="1:7" s="40" customFormat="1" ht="30" customHeight="1" thickBot="1" x14ac:dyDescent="0.3">
      <c r="A134" s="63" t="s">
        <v>5</v>
      </c>
      <c r="B134" s="144" t="s">
        <v>40</v>
      </c>
      <c r="C134" s="143"/>
      <c r="D134" s="63" t="s">
        <v>12</v>
      </c>
      <c r="E134" s="221" t="s">
        <v>13</v>
      </c>
      <c r="F134" s="222"/>
      <c r="G134" s="39"/>
    </row>
    <row r="135" spans="1:7" s="44" customFormat="1" ht="40.5" x14ac:dyDescent="0.3">
      <c r="A135" s="41" t="s">
        <v>155</v>
      </c>
      <c r="B135" s="42">
        <v>24</v>
      </c>
      <c r="C135" s="135" t="str">
        <f xml:space="preserve"> IF(B135="","",setValueToTime(B135))</f>
        <v>2h</v>
      </c>
      <c r="D135" s="158" t="s">
        <v>165</v>
      </c>
      <c r="E135" s="213"/>
      <c r="F135" s="214"/>
      <c r="G135" s="3"/>
    </row>
    <row r="136" spans="1:7" s="44" customFormat="1" ht="27" x14ac:dyDescent="0.3">
      <c r="A136" s="45" t="s">
        <v>15</v>
      </c>
      <c r="B136" s="46">
        <v>10</v>
      </c>
      <c r="C136" s="136" t="str">
        <f t="shared" ref="C136:C137" si="18" xml:space="preserve"> IF(B136="","",setValueToTime(B136))</f>
        <v>0h50min</v>
      </c>
      <c r="D136" s="158" t="s">
        <v>167</v>
      </c>
      <c r="E136" s="215"/>
      <c r="F136" s="216"/>
      <c r="G136" s="3"/>
    </row>
    <row r="137" spans="1:7" s="44" customFormat="1" ht="41.25" thickBot="1" x14ac:dyDescent="0.35">
      <c r="A137" s="45" t="s">
        <v>16</v>
      </c>
      <c r="B137" s="46">
        <v>4</v>
      </c>
      <c r="C137" s="136" t="str">
        <f t="shared" si="18"/>
        <v>0h20min</v>
      </c>
      <c r="D137" s="158" t="s">
        <v>166</v>
      </c>
      <c r="E137" s="215"/>
      <c r="F137" s="216"/>
      <c r="G137" s="3"/>
    </row>
    <row r="138" spans="1:7" s="44" customFormat="1" ht="15" thickBot="1" x14ac:dyDescent="0.35">
      <c r="A138" s="145" t="s">
        <v>28</v>
      </c>
      <c r="B138" s="68">
        <f>SUM(B135:B137)</f>
        <v>38</v>
      </c>
      <c r="C138" s="145" t="str">
        <f xml:space="preserve"> setValueToTime(B138)</f>
        <v>3h10min</v>
      </c>
      <c r="D138" s="105"/>
      <c r="E138" s="219"/>
      <c r="F138" s="220"/>
      <c r="G138" s="3"/>
    </row>
    <row r="139" spans="1:7" s="44" customFormat="1" ht="15" thickBot="1" x14ac:dyDescent="0.35">
      <c r="A139" s="62"/>
      <c r="B139" s="62"/>
      <c r="C139" s="62"/>
      <c r="D139" s="62"/>
      <c r="E139" s="62"/>
      <c r="F139" s="62"/>
      <c r="G139" s="3"/>
    </row>
    <row r="140" spans="1:7" s="40" customFormat="1" ht="30" customHeight="1" thickBot="1" x14ac:dyDescent="0.3">
      <c r="A140" s="139" t="s">
        <v>11</v>
      </c>
      <c r="B140" s="147">
        <v>8</v>
      </c>
      <c r="C140" s="147"/>
      <c r="D140" s="140" t="s">
        <v>14</v>
      </c>
      <c r="E140" s="141" t="s">
        <v>102</v>
      </c>
      <c r="F140" s="142" t="s">
        <v>41</v>
      </c>
      <c r="G140" s="39"/>
    </row>
    <row r="141" spans="1:7" s="40" customFormat="1" ht="30" customHeight="1" thickBot="1" x14ac:dyDescent="0.3">
      <c r="A141" s="63" t="s">
        <v>5</v>
      </c>
      <c r="B141" s="144" t="s">
        <v>40</v>
      </c>
      <c r="C141" s="143"/>
      <c r="D141" s="63" t="s">
        <v>12</v>
      </c>
      <c r="E141" s="221" t="s">
        <v>13</v>
      </c>
      <c r="F141" s="222"/>
      <c r="G141" s="39"/>
    </row>
    <row r="142" spans="1:7" s="44" customFormat="1" ht="40.5" x14ac:dyDescent="0.3">
      <c r="A142" s="41" t="s">
        <v>66</v>
      </c>
      <c r="B142" s="42">
        <v>3</v>
      </c>
      <c r="C142" s="135" t="str">
        <f xml:space="preserve"> IF(B142="","",setValueToTime(B142))</f>
        <v>0h15min</v>
      </c>
      <c r="D142" s="159" t="s">
        <v>158</v>
      </c>
      <c r="E142" s="223" t="s">
        <v>157</v>
      </c>
      <c r="F142" s="214"/>
      <c r="G142" s="3"/>
    </row>
    <row r="143" spans="1:7" s="44" customFormat="1" ht="27" x14ac:dyDescent="0.3">
      <c r="A143" s="45" t="s">
        <v>56</v>
      </c>
      <c r="B143" s="46">
        <v>14</v>
      </c>
      <c r="C143" s="136" t="str">
        <f t="shared" ref="C143:C147" si="19" xml:space="preserve"> IF(B143="","",setValueToTime(B143))</f>
        <v>1h10min</v>
      </c>
      <c r="D143" s="158" t="s">
        <v>156</v>
      </c>
      <c r="E143" s="215"/>
      <c r="F143" s="216"/>
      <c r="G143" s="3"/>
    </row>
    <row r="144" spans="1:7" s="44" customFormat="1" ht="27" x14ac:dyDescent="0.3">
      <c r="A144" s="45" t="s">
        <v>15</v>
      </c>
      <c r="B144" s="46">
        <v>6</v>
      </c>
      <c r="C144" s="136" t="str">
        <f t="shared" si="19"/>
        <v>0h30min</v>
      </c>
      <c r="D144" s="158" t="s">
        <v>159</v>
      </c>
      <c r="E144" s="215"/>
      <c r="F144" s="216"/>
      <c r="G144" s="3"/>
    </row>
    <row r="145" spans="1:7" s="44" customFormat="1" ht="27" x14ac:dyDescent="0.3">
      <c r="A145" s="45" t="s">
        <v>93</v>
      </c>
      <c r="B145" s="46">
        <v>9</v>
      </c>
      <c r="C145" s="136" t="str">
        <f t="shared" si="19"/>
        <v>0h45min</v>
      </c>
      <c r="D145" s="158" t="s">
        <v>162</v>
      </c>
      <c r="E145" s="215"/>
      <c r="F145" s="216"/>
      <c r="G145" s="3"/>
    </row>
    <row r="146" spans="1:7" s="44" customFormat="1" ht="27" x14ac:dyDescent="0.3">
      <c r="A146" s="45" t="s">
        <v>54</v>
      </c>
      <c r="B146" s="46">
        <v>12</v>
      </c>
      <c r="C146" s="137" t="str">
        <f t="shared" si="19"/>
        <v>1h</v>
      </c>
      <c r="D146" s="158" t="s">
        <v>160</v>
      </c>
      <c r="E146" s="215"/>
      <c r="F146" s="216"/>
      <c r="G146" s="3"/>
    </row>
    <row r="147" spans="1:7" s="44" customFormat="1" ht="27.75" thickBot="1" x14ac:dyDescent="0.35">
      <c r="A147" s="46" t="s">
        <v>16</v>
      </c>
      <c r="B147" s="46">
        <v>4</v>
      </c>
      <c r="C147" s="137" t="str">
        <f t="shared" si="19"/>
        <v>0h20min</v>
      </c>
      <c r="D147" s="158" t="s">
        <v>168</v>
      </c>
      <c r="E147" s="215"/>
      <c r="F147" s="216"/>
      <c r="G147" s="3"/>
    </row>
    <row r="148" spans="1:7" s="44" customFormat="1" ht="15" thickBot="1" x14ac:dyDescent="0.35">
      <c r="A148" s="145" t="s">
        <v>28</v>
      </c>
      <c r="B148" s="68">
        <f>SUM(B142:B147)</f>
        <v>48</v>
      </c>
      <c r="C148" s="145" t="str">
        <f xml:space="preserve"> setValueToTime(B148)</f>
        <v>4h</v>
      </c>
      <c r="D148" s="105"/>
      <c r="E148" s="219"/>
      <c r="F148" s="220"/>
      <c r="G148" s="3"/>
    </row>
    <row r="149" spans="1:7" s="44" customFormat="1" ht="15" thickBot="1" x14ac:dyDescent="0.35">
      <c r="A149" s="62"/>
      <c r="B149" s="62"/>
      <c r="C149" s="62"/>
      <c r="D149" s="62"/>
      <c r="E149" s="62"/>
      <c r="F149" s="62"/>
      <c r="G149" s="3"/>
    </row>
    <row r="150" spans="1:7" s="40" customFormat="1" ht="30" customHeight="1" thickBot="1" x14ac:dyDescent="0.3">
      <c r="A150" s="139" t="s">
        <v>11</v>
      </c>
      <c r="B150" s="147">
        <v>7</v>
      </c>
      <c r="C150" s="147"/>
      <c r="D150" s="140" t="s">
        <v>14</v>
      </c>
      <c r="E150" s="141" t="s">
        <v>101</v>
      </c>
      <c r="F150" s="142" t="s">
        <v>42</v>
      </c>
      <c r="G150" s="39"/>
    </row>
    <row r="151" spans="1:7" s="40" customFormat="1" ht="30" customHeight="1" thickBot="1" x14ac:dyDescent="0.3">
      <c r="A151" s="63" t="s">
        <v>5</v>
      </c>
      <c r="B151" s="144" t="s">
        <v>40</v>
      </c>
      <c r="C151" s="143"/>
      <c r="D151" s="63" t="s">
        <v>12</v>
      </c>
      <c r="E151" s="221" t="s">
        <v>13</v>
      </c>
      <c r="F151" s="222"/>
      <c r="G151" s="39"/>
    </row>
    <row r="152" spans="1:7" s="44" customFormat="1" ht="27" x14ac:dyDescent="0.3">
      <c r="A152" s="41" t="s">
        <v>55</v>
      </c>
      <c r="B152" s="42">
        <v>18</v>
      </c>
      <c r="C152" s="135" t="str">
        <f xml:space="preserve"> IF(B152="","",setValueToTime(B152))</f>
        <v>1h30min</v>
      </c>
      <c r="D152" s="159" t="s">
        <v>153</v>
      </c>
      <c r="E152" s="213"/>
      <c r="F152" s="214"/>
      <c r="G152" s="3"/>
    </row>
    <row r="153" spans="1:7" s="44" customFormat="1" ht="40.5" x14ac:dyDescent="0.3">
      <c r="A153" s="45" t="s">
        <v>15</v>
      </c>
      <c r="B153" s="46">
        <v>9</v>
      </c>
      <c r="C153" s="136" t="str">
        <f t="shared" ref="C153:C155" si="20" xml:space="preserve"> IF(B153="","",setValueToTime(B153))</f>
        <v>0h45min</v>
      </c>
      <c r="D153" s="158" t="s">
        <v>163</v>
      </c>
      <c r="E153" s="215"/>
      <c r="F153" s="216"/>
      <c r="G153" s="3"/>
    </row>
    <row r="154" spans="1:7" s="44" customFormat="1" ht="27" x14ac:dyDescent="0.3">
      <c r="A154" s="170" t="s">
        <v>56</v>
      </c>
      <c r="B154" s="46">
        <v>9</v>
      </c>
      <c r="C154" s="136" t="str">
        <f t="shared" si="20"/>
        <v>0h45min</v>
      </c>
      <c r="D154" s="158" t="s">
        <v>154</v>
      </c>
      <c r="E154" s="225" t="s">
        <v>231</v>
      </c>
      <c r="F154" s="216"/>
      <c r="G154" s="3"/>
    </row>
    <row r="155" spans="1:7" s="44" customFormat="1" ht="41.25" thickBot="1" x14ac:dyDescent="0.35">
      <c r="A155" s="45" t="s">
        <v>16</v>
      </c>
      <c r="B155" s="46">
        <v>2</v>
      </c>
      <c r="C155" s="136" t="str">
        <f t="shared" si="20"/>
        <v>0h10min</v>
      </c>
      <c r="D155" s="158" t="s">
        <v>161</v>
      </c>
      <c r="E155" s="215"/>
      <c r="F155" s="216"/>
      <c r="G155" s="3"/>
    </row>
    <row r="156" spans="1:7" s="44" customFormat="1" ht="15" thickBot="1" x14ac:dyDescent="0.35">
      <c r="A156" s="145" t="s">
        <v>28</v>
      </c>
      <c r="B156" s="68">
        <f>SUM(B152:B155)</f>
        <v>38</v>
      </c>
      <c r="C156" s="145" t="str">
        <f xml:space="preserve"> setValueToTime(B156)</f>
        <v>3h10min</v>
      </c>
      <c r="D156" s="105"/>
      <c r="E156" s="219"/>
      <c r="F156" s="220"/>
      <c r="G156" s="3"/>
    </row>
    <row r="157" spans="1:7" s="44" customFormat="1" ht="15" thickBot="1" x14ac:dyDescent="0.35">
      <c r="A157" s="62"/>
      <c r="B157" s="62"/>
      <c r="C157" s="62"/>
      <c r="D157" s="62"/>
      <c r="E157" s="62"/>
      <c r="F157" s="62"/>
      <c r="G157" s="3"/>
    </row>
    <row r="158" spans="1:7" s="40" customFormat="1" ht="30" customHeight="1" thickBot="1" x14ac:dyDescent="0.3">
      <c r="A158" s="139" t="s">
        <v>11</v>
      </c>
      <c r="B158" s="147">
        <v>6</v>
      </c>
      <c r="C158" s="147"/>
      <c r="D158" s="140" t="s">
        <v>14</v>
      </c>
      <c r="E158" s="141" t="s">
        <v>101</v>
      </c>
      <c r="F158" s="142" t="s">
        <v>41</v>
      </c>
      <c r="G158" s="39"/>
    </row>
    <row r="159" spans="1:7" s="40" customFormat="1" ht="30" customHeight="1" thickBot="1" x14ac:dyDescent="0.3">
      <c r="A159" s="63" t="s">
        <v>5</v>
      </c>
      <c r="B159" s="144" t="s">
        <v>40</v>
      </c>
      <c r="C159" s="143"/>
      <c r="D159" s="63" t="s">
        <v>12</v>
      </c>
      <c r="E159" s="221" t="s">
        <v>13</v>
      </c>
      <c r="F159" s="222"/>
      <c r="G159" s="39"/>
    </row>
    <row r="160" spans="1:7" s="44" customFormat="1" ht="27" x14ac:dyDescent="0.3">
      <c r="A160" s="41" t="s">
        <v>55</v>
      </c>
      <c r="B160" s="42">
        <v>44</v>
      </c>
      <c r="C160" s="135" t="str">
        <f xml:space="preserve"> IF(B160="","",setValueToTime(B160))</f>
        <v>3h40min</v>
      </c>
      <c r="D160" s="159" t="s">
        <v>150</v>
      </c>
      <c r="E160" s="213"/>
      <c r="F160" s="214"/>
      <c r="G160" s="3"/>
    </row>
    <row r="161" spans="1:7" s="44" customFormat="1" ht="27" x14ac:dyDescent="0.3">
      <c r="A161" s="45" t="s">
        <v>66</v>
      </c>
      <c r="B161" s="46">
        <v>2</v>
      </c>
      <c r="C161" s="136" t="str">
        <f t="shared" ref="C161:C162" si="21" xml:space="preserve"> IF(B161="","",setValueToTime(B161))</f>
        <v>0h10min</v>
      </c>
      <c r="D161" s="158" t="s">
        <v>151</v>
      </c>
      <c r="E161" s="224" t="s">
        <v>152</v>
      </c>
      <c r="F161" s="216"/>
      <c r="G161" s="3"/>
    </row>
    <row r="162" spans="1:7" s="44" customFormat="1" ht="41.25" thickBot="1" x14ac:dyDescent="0.35">
      <c r="A162" s="45" t="s">
        <v>16</v>
      </c>
      <c r="B162" s="46">
        <v>2</v>
      </c>
      <c r="C162" s="136" t="str">
        <f t="shared" si="21"/>
        <v>0h10min</v>
      </c>
      <c r="D162" s="158" t="s">
        <v>164</v>
      </c>
      <c r="E162" s="215"/>
      <c r="F162" s="216"/>
      <c r="G162" s="3"/>
    </row>
    <row r="163" spans="1:7" s="44" customFormat="1" ht="15" thickBot="1" x14ac:dyDescent="0.35">
      <c r="A163" s="145" t="s">
        <v>28</v>
      </c>
      <c r="B163" s="68">
        <f>SUM(B160:B162)</f>
        <v>48</v>
      </c>
      <c r="C163" s="145" t="str">
        <f xml:space="preserve"> setValueToTime(B163)</f>
        <v>4h</v>
      </c>
      <c r="D163" s="105"/>
      <c r="E163" s="219"/>
      <c r="F163" s="220"/>
      <c r="G163" s="3"/>
    </row>
    <row r="164" spans="1:7" s="44" customFormat="1" ht="15" thickBot="1" x14ac:dyDescent="0.35">
      <c r="A164" s="62"/>
      <c r="B164" s="62"/>
      <c r="C164" s="62"/>
      <c r="D164" s="62"/>
      <c r="E164" s="62"/>
      <c r="F164" s="62"/>
      <c r="G164" s="3"/>
    </row>
    <row r="165" spans="1:7" s="40" customFormat="1" ht="30" customHeight="1" thickBot="1" x14ac:dyDescent="0.3">
      <c r="A165" s="139" t="s">
        <v>11</v>
      </c>
      <c r="B165" s="147">
        <v>5</v>
      </c>
      <c r="C165" s="147"/>
      <c r="D165" s="140" t="s">
        <v>14</v>
      </c>
      <c r="E165" s="141" t="s">
        <v>100</v>
      </c>
      <c r="F165" s="142" t="s">
        <v>41</v>
      </c>
      <c r="G165" s="39"/>
    </row>
    <row r="166" spans="1:7" s="40" customFormat="1" ht="30" customHeight="1" thickBot="1" x14ac:dyDescent="0.3">
      <c r="A166" s="63" t="s">
        <v>5</v>
      </c>
      <c r="B166" s="144" t="s">
        <v>40</v>
      </c>
      <c r="C166" s="143"/>
      <c r="D166" s="63" t="s">
        <v>12</v>
      </c>
      <c r="E166" s="221" t="s">
        <v>13</v>
      </c>
      <c r="F166" s="222"/>
      <c r="G166" s="39"/>
    </row>
    <row r="167" spans="1:7" s="44" customFormat="1" ht="54" x14ac:dyDescent="0.3">
      <c r="A167" s="41" t="s">
        <v>55</v>
      </c>
      <c r="B167" s="42">
        <v>12</v>
      </c>
      <c r="C167" s="135" t="str">
        <f xml:space="preserve"> IF(B167="","",setValueToTime(B167))</f>
        <v>1h</v>
      </c>
      <c r="D167" s="159" t="s">
        <v>147</v>
      </c>
      <c r="E167" s="223" t="s">
        <v>148</v>
      </c>
      <c r="F167" s="214"/>
      <c r="G167" s="3"/>
    </row>
    <row r="168" spans="1:7" s="44" customFormat="1" ht="54" x14ac:dyDescent="0.3">
      <c r="A168" s="45" t="s">
        <v>15</v>
      </c>
      <c r="B168" s="46">
        <v>12</v>
      </c>
      <c r="C168" s="136" t="str">
        <f t="shared" ref="C168:C169" si="22" xml:space="preserve"> IF(B168="","",setValueToTime(B168))</f>
        <v>1h</v>
      </c>
      <c r="D168" s="158" t="s">
        <v>149</v>
      </c>
      <c r="E168" s="215"/>
      <c r="F168" s="216"/>
      <c r="G168" s="3"/>
    </row>
    <row r="169" spans="1:7" s="44" customFormat="1" ht="54.75" thickBot="1" x14ac:dyDescent="0.35">
      <c r="A169" s="45" t="s">
        <v>16</v>
      </c>
      <c r="B169" s="46">
        <v>4</v>
      </c>
      <c r="C169" s="136" t="str">
        <f t="shared" si="22"/>
        <v>0h20min</v>
      </c>
      <c r="D169" s="158" t="s">
        <v>146</v>
      </c>
      <c r="E169" s="215"/>
      <c r="F169" s="216"/>
      <c r="G169" s="3"/>
    </row>
    <row r="170" spans="1:7" s="44" customFormat="1" ht="15" thickBot="1" x14ac:dyDescent="0.35">
      <c r="A170" s="145" t="s">
        <v>28</v>
      </c>
      <c r="B170" s="68">
        <f>SUM(B167:B169)</f>
        <v>28</v>
      </c>
      <c r="C170" s="145" t="str">
        <f xml:space="preserve"> setValueToTime(B170)</f>
        <v>2h20min</v>
      </c>
      <c r="D170" s="105"/>
      <c r="E170" s="219"/>
      <c r="F170" s="220"/>
      <c r="G170" s="3"/>
    </row>
    <row r="171" spans="1:7" s="44" customFormat="1" ht="15" thickBot="1" x14ac:dyDescent="0.35">
      <c r="A171" s="62"/>
      <c r="B171" s="62"/>
      <c r="C171" s="62"/>
      <c r="D171" s="62"/>
      <c r="E171" s="62"/>
      <c r="F171" s="62"/>
      <c r="G171" s="3"/>
    </row>
    <row r="172" spans="1:7" s="40" customFormat="1" ht="30" customHeight="1" thickBot="1" x14ac:dyDescent="0.3">
      <c r="A172" s="139" t="s">
        <v>11</v>
      </c>
      <c r="B172" s="147">
        <v>4</v>
      </c>
      <c r="C172" s="147"/>
      <c r="D172" s="140" t="s">
        <v>14</v>
      </c>
      <c r="E172" s="141" t="s">
        <v>99</v>
      </c>
      <c r="F172" s="142" t="s">
        <v>42</v>
      </c>
      <c r="G172" s="39"/>
    </row>
    <row r="173" spans="1:7" s="40" customFormat="1" ht="30" customHeight="1" thickBot="1" x14ac:dyDescent="0.3">
      <c r="A173" s="63" t="s">
        <v>5</v>
      </c>
      <c r="B173" s="144" t="s">
        <v>40</v>
      </c>
      <c r="C173" s="143"/>
      <c r="D173" s="63" t="s">
        <v>12</v>
      </c>
      <c r="E173" s="221" t="s">
        <v>13</v>
      </c>
      <c r="F173" s="222"/>
      <c r="G173" s="39"/>
    </row>
    <row r="174" spans="1:7" s="44" customFormat="1" ht="27" x14ac:dyDescent="0.3">
      <c r="A174" s="41" t="s">
        <v>55</v>
      </c>
      <c r="B174" s="42">
        <v>5</v>
      </c>
      <c r="C174" s="135" t="str">
        <f xml:space="preserve"> IF(B174="","",setValueToTime(B174))</f>
        <v>0h25min</v>
      </c>
      <c r="D174" s="159" t="s">
        <v>143</v>
      </c>
      <c r="E174" s="223" t="s">
        <v>144</v>
      </c>
      <c r="F174" s="214"/>
      <c r="G174" s="3"/>
    </row>
    <row r="175" spans="1:7" s="44" customFormat="1" ht="27" x14ac:dyDescent="0.3">
      <c r="A175" s="45" t="s">
        <v>15</v>
      </c>
      <c r="B175" s="46">
        <v>21</v>
      </c>
      <c r="C175" s="136" t="str">
        <f t="shared" ref="C175:C176" si="23" xml:space="preserve"> IF(B175="","",setValueToTime(B175))</f>
        <v>1h45min</v>
      </c>
      <c r="D175" s="158" t="s">
        <v>145</v>
      </c>
      <c r="E175" s="215"/>
      <c r="F175" s="216"/>
      <c r="G175" s="3"/>
    </row>
    <row r="176" spans="1:7" s="44" customFormat="1" ht="27.75" thickBot="1" x14ac:dyDescent="0.35">
      <c r="A176" s="45" t="s">
        <v>16</v>
      </c>
      <c r="B176" s="46">
        <v>2</v>
      </c>
      <c r="C176" s="136" t="str">
        <f t="shared" si="23"/>
        <v>0h10min</v>
      </c>
      <c r="D176" s="158" t="s">
        <v>174</v>
      </c>
      <c r="E176" s="215"/>
      <c r="F176" s="216"/>
      <c r="G176" s="3"/>
    </row>
    <row r="177" spans="1:7" s="44" customFormat="1" ht="15" thickBot="1" x14ac:dyDescent="0.35">
      <c r="A177" s="145" t="s">
        <v>28</v>
      </c>
      <c r="B177" s="68">
        <f>SUM(B174:B176)</f>
        <v>28</v>
      </c>
      <c r="C177" s="145" t="str">
        <f xml:space="preserve"> setValueToTime(B177)</f>
        <v>2h20min</v>
      </c>
      <c r="D177" s="105"/>
      <c r="E177" s="219"/>
      <c r="F177" s="220"/>
      <c r="G177" s="3"/>
    </row>
    <row r="178" spans="1:7" s="44" customFormat="1" ht="15" thickBot="1" x14ac:dyDescent="0.35">
      <c r="A178" s="62"/>
      <c r="B178" s="62"/>
      <c r="C178" s="62"/>
      <c r="D178" s="62"/>
      <c r="E178" s="62"/>
      <c r="F178" s="62"/>
      <c r="G178" s="3"/>
    </row>
    <row r="179" spans="1:7" s="40" customFormat="1" ht="30" customHeight="1" thickBot="1" x14ac:dyDescent="0.3">
      <c r="A179" s="139" t="s">
        <v>11</v>
      </c>
      <c r="B179" s="147">
        <v>3</v>
      </c>
      <c r="C179" s="147"/>
      <c r="D179" s="140" t="s">
        <v>14</v>
      </c>
      <c r="E179" s="141" t="s">
        <v>99</v>
      </c>
      <c r="F179" s="142" t="s">
        <v>41</v>
      </c>
      <c r="G179" s="39"/>
    </row>
    <row r="180" spans="1:7" s="40" customFormat="1" ht="30" customHeight="1" thickBot="1" x14ac:dyDescent="0.3">
      <c r="A180" s="63" t="s">
        <v>5</v>
      </c>
      <c r="B180" s="144" t="s">
        <v>40</v>
      </c>
      <c r="C180" s="143"/>
      <c r="D180" s="63" t="s">
        <v>12</v>
      </c>
      <c r="E180" s="221" t="s">
        <v>13</v>
      </c>
      <c r="F180" s="222"/>
      <c r="G180" s="39"/>
    </row>
    <row r="181" spans="1:7" s="44" customFormat="1" ht="27" x14ac:dyDescent="0.3">
      <c r="A181" s="41" t="s">
        <v>31</v>
      </c>
      <c r="B181" s="42">
        <v>46</v>
      </c>
      <c r="C181" s="135" t="str">
        <f xml:space="preserve"> IF(B181="","",setValueToTime(B181))</f>
        <v>3h50min</v>
      </c>
      <c r="D181" s="158" t="s">
        <v>169</v>
      </c>
      <c r="E181" s="213"/>
      <c r="F181" s="214"/>
      <c r="G181" s="3"/>
    </row>
    <row r="182" spans="1:7" s="44" customFormat="1" ht="27.75" thickBot="1" x14ac:dyDescent="0.35">
      <c r="A182" s="45" t="s">
        <v>16</v>
      </c>
      <c r="B182" s="46">
        <v>2</v>
      </c>
      <c r="C182" s="136" t="str">
        <f t="shared" ref="C182" si="24" xml:space="preserve"> IF(B182="","",setValueToTime(B182))</f>
        <v>0h10min</v>
      </c>
      <c r="D182" s="158" t="s">
        <v>170</v>
      </c>
      <c r="E182" s="215"/>
      <c r="F182" s="216"/>
      <c r="G182" s="3"/>
    </row>
    <row r="183" spans="1:7" s="44" customFormat="1" ht="15" thickBot="1" x14ac:dyDescent="0.35">
      <c r="A183" s="145" t="s">
        <v>28</v>
      </c>
      <c r="B183" s="68">
        <f>SUM(B181:B182)</f>
        <v>48</v>
      </c>
      <c r="C183" s="145" t="str">
        <f xml:space="preserve"> setValueToTime(B183)</f>
        <v>4h</v>
      </c>
      <c r="D183" s="105"/>
      <c r="E183" s="219"/>
      <c r="F183" s="220"/>
      <c r="G183" s="3"/>
    </row>
    <row r="184" spans="1:7" s="44" customFormat="1" ht="15" thickBot="1" x14ac:dyDescent="0.35">
      <c r="A184" s="62"/>
      <c r="B184" s="62"/>
      <c r="C184" s="62"/>
      <c r="D184" s="62"/>
      <c r="E184" s="62"/>
      <c r="F184" s="62"/>
      <c r="G184" s="3"/>
    </row>
    <row r="185" spans="1:7" s="40" customFormat="1" ht="30" customHeight="1" thickBot="1" x14ac:dyDescent="0.3">
      <c r="A185" s="139" t="s">
        <v>11</v>
      </c>
      <c r="B185" s="147">
        <v>2</v>
      </c>
      <c r="C185" s="147"/>
      <c r="D185" s="140" t="s">
        <v>14</v>
      </c>
      <c r="E185" s="141" t="s">
        <v>98</v>
      </c>
      <c r="F185" s="142" t="s">
        <v>42</v>
      </c>
      <c r="G185" s="39"/>
    </row>
    <row r="186" spans="1:7" s="40" customFormat="1" ht="30" customHeight="1" thickBot="1" x14ac:dyDescent="0.3">
      <c r="A186" s="63" t="s">
        <v>5</v>
      </c>
      <c r="B186" s="144" t="s">
        <v>40</v>
      </c>
      <c r="C186" s="143"/>
      <c r="D186" s="63" t="s">
        <v>12</v>
      </c>
      <c r="E186" s="221" t="s">
        <v>13</v>
      </c>
      <c r="F186" s="222"/>
      <c r="G186" s="39"/>
    </row>
    <row r="187" spans="1:7" s="44" customFormat="1" ht="27" x14ac:dyDescent="0.3">
      <c r="A187" s="41" t="s">
        <v>31</v>
      </c>
      <c r="B187" s="42">
        <v>26</v>
      </c>
      <c r="C187" s="135" t="str">
        <f xml:space="preserve"> IF(B187="","",setValueToTime(B187))</f>
        <v>2h10min</v>
      </c>
      <c r="D187" s="158" t="s">
        <v>173</v>
      </c>
      <c r="E187" s="213"/>
      <c r="F187" s="214"/>
      <c r="G187" s="3"/>
    </row>
    <row r="188" spans="1:7" s="44" customFormat="1" ht="27" x14ac:dyDescent="0.3">
      <c r="A188" s="45" t="s">
        <v>16</v>
      </c>
      <c r="B188" s="46">
        <v>2</v>
      </c>
      <c r="C188" s="136" t="str">
        <f t="shared" ref="C188:C189" si="25" xml:space="preserve"> IF(B188="","",setValueToTime(B188))</f>
        <v>0h10min</v>
      </c>
      <c r="D188" s="158" t="s">
        <v>171</v>
      </c>
      <c r="E188" s="215"/>
      <c r="F188" s="216"/>
      <c r="G188" s="3"/>
    </row>
    <row r="189" spans="1:7" s="44" customFormat="1" ht="15" thickBot="1" x14ac:dyDescent="0.35">
      <c r="A189" s="48"/>
      <c r="B189" s="48"/>
      <c r="C189" s="138" t="str">
        <f t="shared" si="25"/>
        <v/>
      </c>
      <c r="D189" s="49"/>
      <c r="E189" s="217"/>
      <c r="F189" s="218"/>
      <c r="G189" s="3"/>
    </row>
    <row r="190" spans="1:7" s="44" customFormat="1" ht="15" thickBot="1" x14ac:dyDescent="0.35">
      <c r="A190" s="145" t="s">
        <v>28</v>
      </c>
      <c r="B190" s="68">
        <f>SUM(B187:B189)</f>
        <v>28</v>
      </c>
      <c r="C190" s="145" t="str">
        <f xml:space="preserve"> setValueToTime(B190)</f>
        <v>2h20min</v>
      </c>
      <c r="D190" s="105"/>
      <c r="E190" s="219"/>
      <c r="F190" s="220"/>
      <c r="G190" s="3"/>
    </row>
    <row r="191" spans="1:7" s="44" customFormat="1" ht="15" thickBot="1" x14ac:dyDescent="0.35">
      <c r="A191" s="62"/>
      <c r="B191" s="62"/>
      <c r="C191" s="62"/>
      <c r="D191" s="62"/>
      <c r="E191" s="62"/>
      <c r="F191" s="62"/>
      <c r="G191" s="3"/>
    </row>
    <row r="192" spans="1:7" s="40" customFormat="1" ht="30" customHeight="1" thickBot="1" x14ac:dyDescent="0.3">
      <c r="A192" s="139" t="s">
        <v>11</v>
      </c>
      <c r="B192" s="147">
        <v>1</v>
      </c>
      <c r="C192" s="147"/>
      <c r="D192" s="140" t="s">
        <v>14</v>
      </c>
      <c r="E192" s="141" t="s">
        <v>98</v>
      </c>
      <c r="F192" s="142" t="s">
        <v>41</v>
      </c>
      <c r="G192" s="39"/>
    </row>
    <row r="193" spans="1:7" s="40" customFormat="1" ht="30" customHeight="1" thickBot="1" x14ac:dyDescent="0.3">
      <c r="A193" s="63" t="s">
        <v>5</v>
      </c>
      <c r="B193" s="144" t="s">
        <v>40</v>
      </c>
      <c r="C193" s="143"/>
      <c r="D193" s="63" t="s">
        <v>12</v>
      </c>
      <c r="E193" s="221" t="s">
        <v>13</v>
      </c>
      <c r="F193" s="222"/>
      <c r="G193" s="39"/>
    </row>
    <row r="194" spans="1:7" s="44" customFormat="1" x14ac:dyDescent="0.3">
      <c r="A194" s="41" t="s">
        <v>48</v>
      </c>
      <c r="B194" s="42">
        <v>12</v>
      </c>
      <c r="C194" s="135" t="str">
        <f xml:space="preserve"> IF(B194="","",setValueToTime(B194))</f>
        <v>1h</v>
      </c>
      <c r="D194" s="159" t="s">
        <v>142</v>
      </c>
      <c r="E194" s="213"/>
      <c r="F194" s="214"/>
      <c r="G194" s="3"/>
    </row>
    <row r="195" spans="1:7" s="44" customFormat="1" ht="27" x14ac:dyDescent="0.3">
      <c r="A195" s="45" t="s">
        <v>31</v>
      </c>
      <c r="B195" s="46">
        <v>34</v>
      </c>
      <c r="C195" s="136" t="str">
        <f t="shared" ref="C195:C201" si="26" xml:space="preserve"> IF(B195="","",setValueToTime(B195))</f>
        <v>2h50min</v>
      </c>
      <c r="D195" s="158" t="s">
        <v>172</v>
      </c>
      <c r="E195" s="215"/>
      <c r="F195" s="216"/>
      <c r="G195" s="3"/>
    </row>
    <row r="196" spans="1:7" s="44" customFormat="1" ht="27" x14ac:dyDescent="0.3">
      <c r="A196" s="45" t="s">
        <v>16</v>
      </c>
      <c r="B196" s="46">
        <v>2</v>
      </c>
      <c r="C196" s="136" t="str">
        <f t="shared" si="26"/>
        <v>0h10min</v>
      </c>
      <c r="D196" s="158" t="s">
        <v>92</v>
      </c>
      <c r="E196" s="215"/>
      <c r="F196" s="216"/>
      <c r="G196" s="3"/>
    </row>
    <row r="197" spans="1:7" s="44" customFormat="1" x14ac:dyDescent="0.3">
      <c r="A197" s="45"/>
      <c r="B197" s="46"/>
      <c r="C197" s="136" t="str">
        <f t="shared" si="26"/>
        <v/>
      </c>
      <c r="D197" s="47"/>
      <c r="E197" s="215"/>
      <c r="F197" s="216"/>
      <c r="G197" s="3"/>
    </row>
    <row r="198" spans="1:7" s="44" customFormat="1" x14ac:dyDescent="0.3">
      <c r="A198" s="46"/>
      <c r="B198" s="46"/>
      <c r="C198" s="137" t="str">
        <f t="shared" si="26"/>
        <v/>
      </c>
      <c r="D198" s="47"/>
      <c r="E198" s="215"/>
      <c r="F198" s="216"/>
      <c r="G198" s="3"/>
    </row>
    <row r="199" spans="1:7" s="44" customFormat="1" x14ac:dyDescent="0.3">
      <c r="A199" s="46"/>
      <c r="B199" s="46"/>
      <c r="C199" s="137" t="str">
        <f t="shared" si="26"/>
        <v/>
      </c>
      <c r="D199" s="47"/>
      <c r="E199" s="215"/>
      <c r="F199" s="216"/>
      <c r="G199" s="3"/>
    </row>
    <row r="200" spans="1:7" s="44" customFormat="1" x14ac:dyDescent="0.3">
      <c r="A200" s="46"/>
      <c r="B200" s="46"/>
      <c r="C200" s="137" t="str">
        <f t="shared" si="26"/>
        <v/>
      </c>
      <c r="D200" s="47"/>
      <c r="E200" s="215"/>
      <c r="F200" s="216"/>
      <c r="G200" s="3"/>
    </row>
    <row r="201" spans="1:7" s="44" customFormat="1" ht="15" thickBot="1" x14ac:dyDescent="0.35">
      <c r="A201" s="48"/>
      <c r="B201" s="48"/>
      <c r="C201" s="138" t="str">
        <f t="shared" si="26"/>
        <v/>
      </c>
      <c r="D201" s="49"/>
      <c r="E201" s="217"/>
      <c r="F201" s="218"/>
      <c r="G201" s="3"/>
    </row>
    <row r="202" spans="1:7" s="44" customFormat="1" ht="15" thickBot="1" x14ac:dyDescent="0.35">
      <c r="A202" s="145" t="s">
        <v>28</v>
      </c>
      <c r="B202" s="68">
        <f>SUM(B194:B201)</f>
        <v>48</v>
      </c>
      <c r="C202" s="145" t="str">
        <f xml:space="preserve"> setValueToTime(B202)</f>
        <v>4h</v>
      </c>
      <c r="D202" s="105"/>
      <c r="E202" s="219"/>
      <c r="F202" s="220"/>
      <c r="G202" s="3"/>
    </row>
    <row r="203" spans="1:7" s="44" customFormat="1" x14ac:dyDescent="0.3">
      <c r="A203" s="62"/>
      <c r="B203" s="62"/>
      <c r="C203" s="62"/>
      <c r="D203" s="62"/>
      <c r="E203" s="62"/>
      <c r="F203" s="62"/>
      <c r="G203" s="3"/>
    </row>
  </sheetData>
  <sheetProtection formatRows="0" insertRows="0" insertHyperlinks="0" deleteRows="0" selectLockedCells="1"/>
  <mergeCells count="146">
    <mergeCell ref="E27:F27"/>
    <mergeCell ref="E28:F28"/>
    <mergeCell ref="E29:F29"/>
    <mergeCell ref="E30:F30"/>
    <mergeCell ref="E31:F31"/>
    <mergeCell ref="E34:F34"/>
    <mergeCell ref="E35:F35"/>
    <mergeCell ref="E36:F36"/>
    <mergeCell ref="E9:F9"/>
    <mergeCell ref="E10:F10"/>
    <mergeCell ref="E11:F11"/>
    <mergeCell ref="E24:F24"/>
    <mergeCell ref="E15:F15"/>
    <mergeCell ref="E16:F16"/>
    <mergeCell ref="E17:F17"/>
    <mergeCell ref="E12:F12"/>
    <mergeCell ref="E18:F18"/>
    <mergeCell ref="E21:F21"/>
    <mergeCell ref="E22:F22"/>
    <mergeCell ref="E23:F23"/>
    <mergeCell ref="E49:F49"/>
    <mergeCell ref="E40:F40"/>
    <mergeCell ref="E41:F41"/>
    <mergeCell ref="E42:F42"/>
    <mergeCell ref="E43:F43"/>
    <mergeCell ref="E46:F46"/>
    <mergeCell ref="E47:F47"/>
    <mergeCell ref="E48:F48"/>
    <mergeCell ref="E37:F37"/>
    <mergeCell ref="E64:F64"/>
    <mergeCell ref="E52:F52"/>
    <mergeCell ref="E53:F53"/>
    <mergeCell ref="E54:F54"/>
    <mergeCell ref="E55:F55"/>
    <mergeCell ref="E58:F58"/>
    <mergeCell ref="E59:F59"/>
    <mergeCell ref="E60:F60"/>
    <mergeCell ref="E61:F61"/>
    <mergeCell ref="E62:F62"/>
    <mergeCell ref="E63:F63"/>
    <mergeCell ref="E81:F81"/>
    <mergeCell ref="E67:F67"/>
    <mergeCell ref="E68:F68"/>
    <mergeCell ref="E69:F69"/>
    <mergeCell ref="E70:F70"/>
    <mergeCell ref="E71:F71"/>
    <mergeCell ref="E74:F74"/>
    <mergeCell ref="E75:F75"/>
    <mergeCell ref="E76:F76"/>
    <mergeCell ref="E77:F77"/>
    <mergeCell ref="E78:F78"/>
    <mergeCell ref="E79:F79"/>
    <mergeCell ref="E80:F80"/>
    <mergeCell ref="E94:F94"/>
    <mergeCell ref="E84:F84"/>
    <mergeCell ref="E85:F85"/>
    <mergeCell ref="E86:F86"/>
    <mergeCell ref="E87:F87"/>
    <mergeCell ref="E90:F90"/>
    <mergeCell ref="E91:F91"/>
    <mergeCell ref="E92:F92"/>
    <mergeCell ref="E93:F93"/>
    <mergeCell ref="E108:F108"/>
    <mergeCell ref="E97:F97"/>
    <mergeCell ref="E98:F98"/>
    <mergeCell ref="E99:F99"/>
    <mergeCell ref="E100:F100"/>
    <mergeCell ref="E103:F103"/>
    <mergeCell ref="E104:F104"/>
    <mergeCell ref="E105:F105"/>
    <mergeCell ref="E106:F106"/>
    <mergeCell ref="E107:F107"/>
    <mergeCell ref="E124:F124"/>
    <mergeCell ref="E111:F111"/>
    <mergeCell ref="E112:F112"/>
    <mergeCell ref="E113:F113"/>
    <mergeCell ref="E114:F114"/>
    <mergeCell ref="E115:F115"/>
    <mergeCell ref="E116:F116"/>
    <mergeCell ref="E119:F119"/>
    <mergeCell ref="E120:F120"/>
    <mergeCell ref="E121:F121"/>
    <mergeCell ref="E122:F122"/>
    <mergeCell ref="E123:F123"/>
    <mergeCell ref="E138:F138"/>
    <mergeCell ref="E127:F127"/>
    <mergeCell ref="E128:F128"/>
    <mergeCell ref="E129:F129"/>
    <mergeCell ref="E130:F130"/>
    <mergeCell ref="E131:F131"/>
    <mergeCell ref="E134:F134"/>
    <mergeCell ref="E135:F135"/>
    <mergeCell ref="E136:F136"/>
    <mergeCell ref="E137:F137"/>
    <mergeCell ref="E156:F156"/>
    <mergeCell ref="E141:F141"/>
    <mergeCell ref="E142:F142"/>
    <mergeCell ref="E143:F143"/>
    <mergeCell ref="E144:F144"/>
    <mergeCell ref="E145:F145"/>
    <mergeCell ref="E146:F146"/>
    <mergeCell ref="E147:F147"/>
    <mergeCell ref="E148:F148"/>
    <mergeCell ref="E151:F151"/>
    <mergeCell ref="E152:F152"/>
    <mergeCell ref="E153:F153"/>
    <mergeCell ref="E154:F154"/>
    <mergeCell ref="E155:F155"/>
    <mergeCell ref="E177:F177"/>
    <mergeCell ref="E180:F180"/>
    <mergeCell ref="E181:F181"/>
    <mergeCell ref="E182:F182"/>
    <mergeCell ref="E170:F170"/>
    <mergeCell ref="E159:F159"/>
    <mergeCell ref="E160:F160"/>
    <mergeCell ref="E161:F161"/>
    <mergeCell ref="E162:F162"/>
    <mergeCell ref="E163:F163"/>
    <mergeCell ref="E166:F166"/>
    <mergeCell ref="E167:F167"/>
    <mergeCell ref="E168:F168"/>
    <mergeCell ref="E169:F169"/>
    <mergeCell ref="E6:F6"/>
    <mergeCell ref="E3:F3"/>
    <mergeCell ref="E4:F4"/>
    <mergeCell ref="E5:F5"/>
    <mergeCell ref="E199:F199"/>
    <mergeCell ref="E200:F200"/>
    <mergeCell ref="E201:F201"/>
    <mergeCell ref="E202:F202"/>
    <mergeCell ref="E186:F186"/>
    <mergeCell ref="E187:F187"/>
    <mergeCell ref="E188:F188"/>
    <mergeCell ref="E193:F193"/>
    <mergeCell ref="E194:F194"/>
    <mergeCell ref="E195:F195"/>
    <mergeCell ref="E196:F196"/>
    <mergeCell ref="E197:F197"/>
    <mergeCell ref="E198:F198"/>
    <mergeCell ref="E189:F189"/>
    <mergeCell ref="E190:F190"/>
    <mergeCell ref="E183:F183"/>
    <mergeCell ref="E173:F173"/>
    <mergeCell ref="E174:F174"/>
    <mergeCell ref="E175:F175"/>
    <mergeCell ref="E176:F176"/>
  </mergeCells>
  <phoneticPr fontId="0" type="noConversion"/>
  <conditionalFormatting sqref="B202">
    <cfRule type="cellIs" dxfId="29" priority="28" operator="greaterThan">
      <formula>60</formula>
    </cfRule>
  </conditionalFormatting>
  <conditionalFormatting sqref="B190">
    <cfRule type="cellIs" dxfId="28" priority="27" operator="greaterThan">
      <formula>60</formula>
    </cfRule>
  </conditionalFormatting>
  <conditionalFormatting sqref="B183">
    <cfRule type="cellIs" dxfId="27" priority="26" operator="greaterThan">
      <formula>60</formula>
    </cfRule>
  </conditionalFormatting>
  <conditionalFormatting sqref="B177">
    <cfRule type="cellIs" dxfId="26" priority="25" operator="greaterThan">
      <formula>60</formula>
    </cfRule>
  </conditionalFormatting>
  <conditionalFormatting sqref="B170">
    <cfRule type="cellIs" dxfId="25" priority="24" operator="greaterThan">
      <formula>60</formula>
    </cfRule>
  </conditionalFormatting>
  <conditionalFormatting sqref="B163">
    <cfRule type="cellIs" dxfId="24" priority="23" operator="greaterThan">
      <formula>60</formula>
    </cfRule>
  </conditionalFormatting>
  <conditionalFormatting sqref="B156">
    <cfRule type="cellIs" dxfId="23" priority="22" operator="greaterThan">
      <formula>60</formula>
    </cfRule>
  </conditionalFormatting>
  <conditionalFormatting sqref="B148">
    <cfRule type="cellIs" dxfId="22" priority="21" operator="greaterThan">
      <formula>60</formula>
    </cfRule>
  </conditionalFormatting>
  <conditionalFormatting sqref="B138">
    <cfRule type="cellIs" dxfId="21" priority="20" operator="greaterThan">
      <formula>60</formula>
    </cfRule>
  </conditionalFormatting>
  <conditionalFormatting sqref="B131">
    <cfRule type="cellIs" dxfId="20" priority="19" operator="greaterThan">
      <formula>60</formula>
    </cfRule>
  </conditionalFormatting>
  <conditionalFormatting sqref="B124">
    <cfRule type="cellIs" dxfId="19" priority="18" operator="greaterThan">
      <formula>60</formula>
    </cfRule>
  </conditionalFormatting>
  <conditionalFormatting sqref="B116">
    <cfRule type="cellIs" dxfId="18" priority="17" operator="greaterThan">
      <formula>60</formula>
    </cfRule>
  </conditionalFormatting>
  <conditionalFormatting sqref="B108">
    <cfRule type="cellIs" dxfId="17" priority="16" operator="greaterThan">
      <formula>60</formula>
    </cfRule>
  </conditionalFormatting>
  <conditionalFormatting sqref="B100">
    <cfRule type="cellIs" dxfId="16" priority="15" operator="greaterThan">
      <formula>60</formula>
    </cfRule>
  </conditionalFormatting>
  <conditionalFormatting sqref="B94">
    <cfRule type="cellIs" dxfId="15" priority="14" operator="greaterThan">
      <formula>60</formula>
    </cfRule>
  </conditionalFormatting>
  <conditionalFormatting sqref="B87">
    <cfRule type="cellIs" dxfId="14" priority="13" operator="greaterThan">
      <formula>60</formula>
    </cfRule>
  </conditionalFormatting>
  <conditionalFormatting sqref="B81">
    <cfRule type="cellIs" dxfId="13" priority="12" operator="greaterThan">
      <formula>60</formula>
    </cfRule>
  </conditionalFormatting>
  <conditionalFormatting sqref="B71">
    <cfRule type="cellIs" dxfId="12" priority="11" operator="greaterThan">
      <formula>60</formula>
    </cfRule>
  </conditionalFormatting>
  <conditionalFormatting sqref="B64">
    <cfRule type="cellIs" dxfId="11" priority="10" operator="greaterThan">
      <formula>60</formula>
    </cfRule>
  </conditionalFormatting>
  <conditionalFormatting sqref="B55">
    <cfRule type="cellIs" dxfId="10" priority="9" operator="greaterThan">
      <formula>60</formula>
    </cfRule>
  </conditionalFormatting>
  <conditionalFormatting sqref="B49">
    <cfRule type="cellIs" dxfId="9" priority="8" operator="greaterThan">
      <formula>60</formula>
    </cfRule>
  </conditionalFormatting>
  <conditionalFormatting sqref="B43">
    <cfRule type="cellIs" dxfId="8" priority="7" operator="greaterThan">
      <formula>60</formula>
    </cfRule>
  </conditionalFormatting>
  <conditionalFormatting sqref="B37">
    <cfRule type="cellIs" dxfId="7" priority="6" operator="greaterThan">
      <formula>60</formula>
    </cfRule>
  </conditionalFormatting>
  <conditionalFormatting sqref="B31">
    <cfRule type="cellIs" dxfId="6" priority="5" operator="greaterThan">
      <formula>60</formula>
    </cfRule>
  </conditionalFormatting>
  <conditionalFormatting sqref="B24">
    <cfRule type="cellIs" dxfId="5" priority="4" operator="greaterThan">
      <formula>60</formula>
    </cfRule>
  </conditionalFormatting>
  <conditionalFormatting sqref="B18">
    <cfRule type="cellIs" dxfId="4" priority="3" operator="greaterThan">
      <formula>60</formula>
    </cfRule>
  </conditionalFormatting>
  <conditionalFormatting sqref="B12">
    <cfRule type="cellIs" dxfId="3" priority="2" operator="greaterThan">
      <formula>60</formula>
    </cfRule>
  </conditionalFormatting>
  <conditionalFormatting sqref="B6">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152:B155 B194:B201 B181:B182 B135:B137 B142:B147 B128:B130 B112:B115 B91:B93 B98:B99 B120:B123 B85:B86 B104:B107 B75:B80 B59:B63 B53:B54 B47:B48 B41:B42 B35:B36 B28:B30 B22:B23 B16:B17 B68:B70 B174:B176 B187:B189 B167:B169 B160:B162 B10:B11 B4:B5" xr:uid="{943E9BDE-73EF-4A95-BC47-CBA2647AF06F}">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02 B190 B183 B177 B170 B163 B156 B148 B138 B131 B124 B116 B108 B100 B94 B87 B81 B71 B64 B55 B49 B43 B37 B31 B24 B18 B12 B6" xr:uid="{CDC3C591-DBC7-4743-94D6-33FB3688A951}">
      <formula1>0</formula1>
      <formula2>60</formula2>
    </dataValidation>
    <dataValidation type="list" allowBlank="1" showInputMessage="1" showErrorMessage="1" sqref="A16:A17 A194:A201 A181:A182 A135:A137 A142:A147 A128:A130 A112:A115 A120:A123 A98:A99 A91:A93 A85:A86 A104:A107 A75:A80 A59:A63 A53:A54 A68:A70 A47:A48 A35:A36 A41:A42 A28:A30 A152:A155 A22:A23 A174:A176 A187:A189 A167:A169 A160:A162 A10:A11 A4:A5" xr:uid="{CF2692C6-A7DE-4816-9B6D-D62C09B0B2AB}">
      <formula1>ListeTaches</formula1>
    </dataValidation>
  </dataValidations>
  <hyperlinks>
    <hyperlink ref="E174" r:id="rId1" xr:uid="{ACE62511-1489-4178-A5B0-A4F08A20F0D8}"/>
    <hyperlink ref="E167" r:id="rId2" xr:uid="{56EF14DE-35E3-473A-80F0-D5F336595C86}"/>
    <hyperlink ref="E161" r:id="rId3" location="query=outdoor%20sport&amp;position=8&amp;from_view=keyword&amp;track=ais_user&amp;uuid=b546840f-12c3-457d-b737-46b77639cda2" xr:uid="{E72408EB-0F80-471C-9300-24601D17A7D3}"/>
    <hyperlink ref="E142" r:id="rId4" display="https://www.lucidchart.com/blog/fr/bases-de-donnees-mcd-mld-et-mpd" xr:uid="{2DA369D0-260C-44DA-800B-81469D6A7277}"/>
    <hyperlink ref="E120" r:id="rId5" xr:uid="{3B07162F-EC11-488F-8348-920531579608}"/>
    <hyperlink ref="E105" r:id="rId6" xr:uid="{7B031803-4AEE-4583-BB93-40A1E80FA8F6}"/>
    <hyperlink ref="E75" r:id="rId7" xr:uid="{A316F8D3-C9DF-4608-9463-DAB3ADDDC151}"/>
    <hyperlink ref="E68" r:id="rId8" xr:uid="{445163EB-1786-46F3-9A0B-A00B67EAF2B4}"/>
    <hyperlink ref="E60" r:id="rId9" xr:uid="{F1E26810-60EC-4A56-A218-2FA6C427AFE4}"/>
    <hyperlink ref="E28" r:id="rId10" xr:uid="{211C40E2-604B-4AD3-AB5E-40F6DD2A472A}"/>
    <hyperlink ref="E154" r:id="rId11" xr:uid="{9CD933C2-BE6C-49CB-A393-D8880E20CFD9}"/>
  </hyperlinks>
  <printOptions horizontalCentered="1" verticalCentered="1"/>
  <pageMargins left="0.78740157480314965" right="0.78740157480314965" top="0.98425196850393704" bottom="0.98425196850393704" header="0.51181102362204722" footer="0.51181102362204722"/>
  <pageSetup paperSize="9" scale="24" fitToHeight="4" orientation="landscape" r:id="rId12"/>
  <headerFooter alignWithMargins="0">
    <oddHeader>&amp;L&amp;"ETML,Normal"&amp;14ETML&amp;R&amp;14&amp;USection Informatique</oddHeader>
    <oddFooter>&amp;L&amp;14&amp;D - GGZ&amp;C&amp;14&amp;F - &amp;A&amp;R&amp;14&amp;P/&amp;N</oddFooter>
  </headerFooter>
  <drawing r:id="rId13"/>
  <legacyDrawing r:id="rId14"/>
  <controls>
    <mc:AlternateContent xmlns:mc="http://schemas.openxmlformats.org/markup-compatibility/2006">
      <mc:Choice Requires="x14">
        <control shapeId="9224" r:id="rId15" name="btnRapatriementJournal">
          <controlPr defaultSize="0" autoLine="0" r:id="rId16">
            <anchor moveWithCells="1">
              <from>
                <xdr:col>0</xdr:col>
                <xdr:colOff>104775</xdr:colOff>
                <xdr:row>0</xdr:row>
                <xdr:rowOff>85725</xdr:rowOff>
              </from>
              <to>
                <xdr:col>1</xdr:col>
                <xdr:colOff>457200</xdr:colOff>
                <xdr:row>0</xdr:row>
                <xdr:rowOff>552450</xdr:rowOff>
              </to>
            </anchor>
          </controlPr>
        </control>
      </mc:Choice>
      <mc:Fallback>
        <control shapeId="9224" r:id="rId15" name="btnRapatriementJournal"/>
      </mc:Fallback>
    </mc:AlternateContent>
    <mc:AlternateContent xmlns:mc="http://schemas.openxmlformats.org/markup-compatibility/2006">
      <mc:Choice Requires="x14">
        <control shapeId="9220" r:id="rId17" name="btnAjoutSeqJournal">
          <controlPr defaultSize="0" autoLine="0" r:id="rId18">
            <anchor moveWithCells="1">
              <from>
                <xdr:col>2</xdr:col>
                <xdr:colOff>85725</xdr:colOff>
                <xdr:row>0</xdr:row>
                <xdr:rowOff>85725</xdr:rowOff>
              </from>
              <to>
                <xdr:col>3</xdr:col>
                <xdr:colOff>914400</xdr:colOff>
                <xdr:row>0</xdr:row>
                <xdr:rowOff>561975</xdr:rowOff>
              </to>
            </anchor>
          </controlPr>
        </control>
      </mc:Choice>
      <mc:Fallback>
        <control shapeId="9220" r:id="rId1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90"/>
      <c r="B10" s="190"/>
      <c r="C10" s="190"/>
      <c r="D10" s="190"/>
      <c r="E10" s="190"/>
      <c r="F10" s="190"/>
      <c r="G10" s="190"/>
      <c r="H10" s="190"/>
      <c r="I10" s="190"/>
      <c r="J10" s="190"/>
      <c r="K10" s="190"/>
      <c r="L10" s="190"/>
      <c r="M10" s="190"/>
      <c r="N10" s="190"/>
      <c r="O10" s="190"/>
      <c r="P10" s="190"/>
      <c r="Q10" s="190"/>
      <c r="R10" s="190"/>
      <c r="S10" s="190"/>
      <c r="T10" s="190"/>
      <c r="U10" s="190"/>
      <c r="V10" s="190"/>
      <c r="W10" s="190"/>
      <c r="X10" s="190"/>
      <c r="Y10" s="190"/>
      <c r="Z10" s="190"/>
      <c r="AA10" s="190"/>
      <c r="AB10" s="190"/>
      <c r="AC10" s="190"/>
      <c r="AD10" s="190"/>
      <c r="AE10" s="190"/>
      <c r="AF10" s="190"/>
      <c r="AG10" s="190"/>
      <c r="AH10" s="190"/>
      <c r="AI10" s="190"/>
      <c r="AJ10" s="190"/>
      <c r="AK10" s="190"/>
      <c r="AL10" s="190"/>
      <c r="AM10" s="190"/>
      <c r="AN10" s="190"/>
      <c r="AO10" s="190"/>
      <c r="AP10" s="190"/>
      <c r="AQ10" s="190"/>
      <c r="AR10" s="190"/>
      <c r="AS10" s="190"/>
      <c r="AT10" s="190"/>
      <c r="AU10" s="190"/>
      <c r="AV10" s="190"/>
      <c r="AW10" s="190"/>
      <c r="AX10" s="190"/>
      <c r="AY10" s="190"/>
      <c r="AZ10" s="190"/>
      <c r="BA10" s="190"/>
      <c r="BB10" s="190"/>
      <c r="BC10" s="190"/>
      <c r="BD10" s="190"/>
      <c r="BE10" s="190"/>
      <c r="BF10" s="190"/>
      <c r="BG10" s="190"/>
      <c r="BH10" s="190"/>
      <c r="BI10" s="75"/>
    </row>
    <row r="11" spans="1:61" ht="18" x14ac:dyDescent="0.25">
      <c r="A11" s="194"/>
      <c r="B11" s="194"/>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194"/>
      <c r="AG11" s="194"/>
      <c r="AH11" s="194"/>
      <c r="AI11" s="194"/>
      <c r="AJ11" s="194"/>
      <c r="AK11" s="194"/>
      <c r="AL11" s="194"/>
      <c r="AM11" s="194"/>
      <c r="AN11" s="194"/>
      <c r="AO11" s="194"/>
      <c r="AP11" s="194"/>
      <c r="AQ11" s="194"/>
      <c r="AR11" s="194"/>
      <c r="AS11" s="194"/>
      <c r="AT11" s="194"/>
      <c r="AU11" s="194"/>
      <c r="AV11" s="194"/>
      <c r="AW11" s="194"/>
      <c r="AX11" s="194"/>
      <c r="AY11" s="194"/>
      <c r="AZ11" s="194"/>
      <c r="BA11" s="194"/>
      <c r="BB11" s="194"/>
      <c r="BC11" s="194"/>
      <c r="BD11" s="194"/>
      <c r="BE11" s="194"/>
      <c r="BF11" s="194"/>
      <c r="BG11" s="194"/>
      <c r="BH11" s="194"/>
      <c r="BI11" s="75"/>
    </row>
    <row r="12" spans="1:61" ht="18.75" thickBot="1" x14ac:dyDescent="0.3">
      <c r="A12" s="195"/>
      <c r="B12" s="195"/>
      <c r="C12" s="195"/>
      <c r="D12" s="195"/>
      <c r="E12" s="195"/>
      <c r="F12" s="195"/>
      <c r="G12" s="195"/>
      <c r="H12" s="195"/>
      <c r="I12" s="195"/>
      <c r="J12" s="195"/>
      <c r="K12" s="195"/>
      <c r="L12" s="195"/>
      <c r="M12" s="195"/>
      <c r="N12" s="195"/>
      <c r="O12" s="195"/>
      <c r="P12" s="195"/>
      <c r="Q12" s="195"/>
      <c r="R12" s="195"/>
      <c r="S12" s="195"/>
      <c r="T12" s="195"/>
      <c r="U12" s="195"/>
      <c r="V12" s="195"/>
      <c r="W12" s="195"/>
      <c r="X12" s="195"/>
      <c r="Y12" s="195"/>
      <c r="Z12" s="195"/>
      <c r="AA12" s="195"/>
      <c r="AB12" s="195"/>
      <c r="AC12" s="195"/>
      <c r="AD12" s="195"/>
      <c r="AE12" s="195"/>
      <c r="AF12" s="195"/>
      <c r="AG12" s="195"/>
      <c r="AH12" s="195"/>
      <c r="AI12" s="195"/>
      <c r="AJ12" s="195"/>
      <c r="AK12" s="195"/>
      <c r="AL12" s="195"/>
      <c r="AM12" s="195"/>
      <c r="AN12" s="195"/>
      <c r="AO12" s="195"/>
      <c r="AP12" s="195"/>
      <c r="AQ12" s="195"/>
      <c r="AR12" s="195"/>
      <c r="AS12" s="195"/>
      <c r="AT12" s="195"/>
      <c r="AU12" s="195"/>
      <c r="AV12" s="195"/>
      <c r="AW12" s="195"/>
      <c r="AX12" s="195"/>
      <c r="AY12" s="195"/>
      <c r="AZ12" s="195"/>
      <c r="BA12" s="195"/>
      <c r="BB12" s="195"/>
      <c r="BC12" s="195"/>
      <c r="BD12" s="195"/>
      <c r="BE12" s="195"/>
      <c r="BF12" s="195"/>
      <c r="BG12" s="195"/>
      <c r="BH12" s="195"/>
      <c r="BI12" s="75"/>
    </row>
    <row r="13" spans="1:61" ht="18.75" thickBot="1" x14ac:dyDescent="0.3">
      <c r="A13" s="196" t="s">
        <v>11</v>
      </c>
      <c r="B13" s="197"/>
      <c r="C13" s="197"/>
      <c r="D13" s="197"/>
      <c r="E13" s="197"/>
      <c r="F13" s="197"/>
      <c r="G13" s="197"/>
      <c r="H13" s="197"/>
      <c r="I13" s="197"/>
      <c r="J13" s="197"/>
      <c r="K13" s="197"/>
      <c r="L13" s="197"/>
      <c r="M13" s="197"/>
      <c r="N13" s="197"/>
      <c r="O13" s="197"/>
      <c r="P13" s="197"/>
      <c r="Q13" s="197"/>
      <c r="R13" s="197"/>
      <c r="S13" s="197"/>
      <c r="T13" s="197"/>
      <c r="U13" s="197"/>
      <c r="V13" s="197"/>
      <c r="W13" s="197"/>
      <c r="X13" s="197"/>
      <c r="Y13" s="197"/>
      <c r="Z13" s="197"/>
      <c r="AA13" s="197"/>
      <c r="AB13" s="197"/>
      <c r="AC13" s="197"/>
      <c r="AD13" s="197"/>
      <c r="AE13" s="197"/>
      <c r="AF13" s="197"/>
      <c r="AG13" s="197"/>
      <c r="AH13" s="197"/>
      <c r="AI13" s="197"/>
      <c r="AJ13" s="197"/>
      <c r="AK13" s="197"/>
      <c r="AL13" s="197"/>
      <c r="AM13" s="197"/>
      <c r="AN13" s="197"/>
      <c r="AO13" s="197"/>
      <c r="AP13" s="197"/>
      <c r="AQ13" s="197"/>
      <c r="AR13" s="197"/>
      <c r="AS13" s="197"/>
      <c r="AT13" s="197"/>
      <c r="AU13" s="197"/>
      <c r="AV13" s="197"/>
      <c r="AW13" s="197"/>
      <c r="AX13" s="197"/>
      <c r="AY13" s="197"/>
      <c r="AZ13" s="197"/>
      <c r="BA13" s="197"/>
      <c r="BB13" s="197"/>
      <c r="BC13" s="197"/>
      <c r="BD13" s="197"/>
      <c r="BE13" s="197"/>
      <c r="BF13" s="197"/>
      <c r="BG13" s="197"/>
      <c r="BH13" s="198"/>
      <c r="BI13" s="75"/>
    </row>
    <row r="14" spans="1:61" ht="15.75" thickBot="1" x14ac:dyDescent="0.35">
      <c r="A14" s="87"/>
      <c r="B14" s="88"/>
      <c r="C14" s="88"/>
      <c r="D14" s="88"/>
      <c r="E14" s="183" t="s">
        <v>34</v>
      </c>
      <c r="F14" s="183"/>
      <c r="G14" s="183"/>
      <c r="H14" s="183"/>
      <c r="I14" s="88"/>
      <c r="J14" s="88"/>
      <c r="K14" s="184" t="s">
        <v>23</v>
      </c>
      <c r="L14" s="184"/>
      <c r="M14" s="184"/>
      <c r="N14" s="184"/>
      <c r="O14" s="112"/>
      <c r="P14" s="112"/>
      <c r="Q14" s="183" t="s">
        <v>35</v>
      </c>
      <c r="R14" s="183"/>
      <c r="S14" s="183"/>
      <c r="T14" s="183"/>
      <c r="U14" s="88"/>
      <c r="V14" s="88"/>
      <c r="W14" s="184" t="s">
        <v>24</v>
      </c>
      <c r="X14" s="184"/>
      <c r="Y14" s="184"/>
      <c r="Z14" s="184"/>
      <c r="AA14" s="112"/>
      <c r="AB14" s="112"/>
      <c r="AC14" s="183" t="s">
        <v>36</v>
      </c>
      <c r="AD14" s="183"/>
      <c r="AE14" s="183"/>
      <c r="AF14" s="183"/>
      <c r="AG14" s="88"/>
      <c r="AH14" s="88"/>
      <c r="AI14" s="184" t="s">
        <v>25</v>
      </c>
      <c r="AJ14" s="184"/>
      <c r="AK14" s="184"/>
      <c r="AL14" s="184"/>
      <c r="AM14" s="112"/>
      <c r="AN14" s="112"/>
      <c r="AO14" s="183" t="s">
        <v>37</v>
      </c>
      <c r="AP14" s="183"/>
      <c r="AQ14" s="183"/>
      <c r="AR14" s="183"/>
      <c r="AS14" s="88"/>
      <c r="AT14" s="88"/>
      <c r="AU14" s="184" t="s">
        <v>26</v>
      </c>
      <c r="AV14" s="184"/>
      <c r="AW14" s="184"/>
      <c r="AX14" s="184"/>
      <c r="AY14" s="112"/>
      <c r="AZ14" s="112"/>
      <c r="BA14" s="183" t="s">
        <v>38</v>
      </c>
      <c r="BB14" s="183"/>
      <c r="BC14" s="183"/>
      <c r="BD14" s="183"/>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11</v>
      </c>
      <c r="B1" s="146">
        <v>1</v>
      </c>
      <c r="C1" s="146"/>
      <c r="D1" s="67" t="s">
        <v>14</v>
      </c>
      <c r="E1" s="79"/>
      <c r="F1" s="110"/>
      <c r="G1" s="39"/>
    </row>
    <row r="2" spans="1:7" s="40" customFormat="1" ht="30" customHeight="1" thickBot="1" x14ac:dyDescent="0.3">
      <c r="A2" s="65" t="s">
        <v>5</v>
      </c>
      <c r="B2" s="133" t="s">
        <v>40</v>
      </c>
      <c r="C2" s="134"/>
      <c r="D2" s="65" t="s">
        <v>12</v>
      </c>
      <c r="E2" s="211" t="s">
        <v>13</v>
      </c>
      <c r="F2" s="212"/>
      <c r="G2" s="39"/>
    </row>
    <row r="3" spans="1:7" s="44" customFormat="1" x14ac:dyDescent="0.3">
      <c r="A3" s="41"/>
      <c r="B3" s="42"/>
      <c r="C3" s="135" t="str">
        <f xml:space="preserve"> IF(B3="","",setValueToTime(B3))</f>
        <v/>
      </c>
      <c r="D3" s="43"/>
      <c r="E3" s="213"/>
      <c r="F3" s="214"/>
      <c r="G3" s="3"/>
    </row>
    <row r="4" spans="1:7" s="44" customFormat="1" x14ac:dyDescent="0.3">
      <c r="A4" s="45"/>
      <c r="B4" s="46"/>
      <c r="C4" s="136" t="str">
        <f t="shared" ref="C4:C10" si="0" xml:space="preserve"> IF(B4="","",setValueToTime(B4))</f>
        <v/>
      </c>
      <c r="D4" s="47"/>
      <c r="E4" s="215"/>
      <c r="F4" s="216"/>
      <c r="G4" s="3"/>
    </row>
    <row r="5" spans="1:7" s="44" customFormat="1" x14ac:dyDescent="0.3">
      <c r="A5" s="45"/>
      <c r="B5" s="46"/>
      <c r="C5" s="136" t="str">
        <f t="shared" si="0"/>
        <v/>
      </c>
      <c r="D5" s="47"/>
      <c r="E5" s="215"/>
      <c r="F5" s="216"/>
      <c r="G5" s="3"/>
    </row>
    <row r="6" spans="1:7" s="44" customFormat="1" x14ac:dyDescent="0.3">
      <c r="A6" s="45"/>
      <c r="B6" s="46"/>
      <c r="C6" s="136" t="str">
        <f t="shared" si="0"/>
        <v/>
      </c>
      <c r="D6" s="47"/>
      <c r="E6" s="215"/>
      <c r="F6" s="216"/>
      <c r="G6" s="3"/>
    </row>
    <row r="7" spans="1:7" s="44" customFormat="1" x14ac:dyDescent="0.3">
      <c r="A7" s="46"/>
      <c r="B7" s="46"/>
      <c r="C7" s="137" t="str">
        <f t="shared" si="0"/>
        <v/>
      </c>
      <c r="D7" s="47"/>
      <c r="E7" s="215"/>
      <c r="F7" s="216"/>
      <c r="G7" s="3"/>
    </row>
    <row r="8" spans="1:7" s="44" customFormat="1" x14ac:dyDescent="0.3">
      <c r="A8" s="46"/>
      <c r="B8" s="46"/>
      <c r="C8" s="137" t="str">
        <f t="shared" si="0"/>
        <v/>
      </c>
      <c r="D8" s="47"/>
      <c r="E8" s="215"/>
      <c r="F8" s="216"/>
      <c r="G8" s="3"/>
    </row>
    <row r="9" spans="1:7" s="44" customFormat="1" x14ac:dyDescent="0.3">
      <c r="A9" s="46"/>
      <c r="B9" s="46"/>
      <c r="C9" s="137" t="str">
        <f t="shared" si="0"/>
        <v/>
      </c>
      <c r="D9" s="47"/>
      <c r="E9" s="215"/>
      <c r="F9" s="216"/>
      <c r="G9" s="3"/>
    </row>
    <row r="10" spans="1:7" s="44" customFormat="1" ht="15" thickBot="1" x14ac:dyDescent="0.35">
      <c r="A10" s="48"/>
      <c r="B10" s="48"/>
      <c r="C10" s="138" t="str">
        <f t="shared" si="0"/>
        <v/>
      </c>
      <c r="D10" s="49"/>
      <c r="E10" s="217"/>
      <c r="F10" s="218"/>
      <c r="G10" s="3"/>
    </row>
    <row r="11" spans="1:7" s="44" customFormat="1" ht="15" thickBot="1" x14ac:dyDescent="0.35">
      <c r="A11" s="95" t="s">
        <v>28</v>
      </c>
      <c r="B11" s="69">
        <f>SUM(B3:B10)</f>
        <v>0</v>
      </c>
      <c r="C11" s="95" t="str">
        <f xml:space="preserve"> setValueToTime(B11)</f>
        <v>0h</v>
      </c>
      <c r="D11" s="104"/>
      <c r="E11" s="209"/>
      <c r="F11" s="210"/>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11</v>
      </c>
      <c r="B1" s="147">
        <v>1</v>
      </c>
      <c r="C1" s="147"/>
      <c r="D1" s="140" t="s">
        <v>14</v>
      </c>
      <c r="E1" s="141"/>
      <c r="F1" s="142"/>
      <c r="G1" s="39"/>
    </row>
    <row r="2" spans="1:7" s="40" customFormat="1" ht="30" customHeight="1" thickBot="1" x14ac:dyDescent="0.3">
      <c r="A2" s="63" t="s">
        <v>5</v>
      </c>
      <c r="B2" s="144" t="s">
        <v>40</v>
      </c>
      <c r="C2" s="143"/>
      <c r="D2" s="63" t="s">
        <v>12</v>
      </c>
      <c r="E2" s="221" t="s">
        <v>13</v>
      </c>
      <c r="F2" s="222"/>
      <c r="G2" s="39"/>
    </row>
    <row r="3" spans="1:7" s="44" customFormat="1" x14ac:dyDescent="0.3">
      <c r="A3" s="41"/>
      <c r="B3" s="42"/>
      <c r="C3" s="135" t="str">
        <f xml:space="preserve"> IF(B3="","",setValueToTime(B3))</f>
        <v/>
      </c>
      <c r="D3" s="43"/>
      <c r="E3" s="213"/>
      <c r="F3" s="214"/>
      <c r="G3" s="3"/>
    </row>
    <row r="4" spans="1:7" s="44" customFormat="1" x14ac:dyDescent="0.3">
      <c r="A4" s="45"/>
      <c r="B4" s="46"/>
      <c r="C4" s="136" t="str">
        <f t="shared" ref="C4:C10" si="0" xml:space="preserve"> IF(B4="","",setValueToTime(B4))</f>
        <v/>
      </c>
      <c r="D4" s="47"/>
      <c r="E4" s="215"/>
      <c r="F4" s="216"/>
      <c r="G4" s="3"/>
    </row>
    <row r="5" spans="1:7" s="44" customFormat="1" x14ac:dyDescent="0.3">
      <c r="A5" s="45"/>
      <c r="B5" s="46"/>
      <c r="C5" s="136" t="str">
        <f t="shared" si="0"/>
        <v/>
      </c>
      <c r="D5" s="47"/>
      <c r="E5" s="215"/>
      <c r="F5" s="216"/>
      <c r="G5" s="3"/>
    </row>
    <row r="6" spans="1:7" s="44" customFormat="1" x14ac:dyDescent="0.3">
      <c r="A6" s="45"/>
      <c r="B6" s="46"/>
      <c r="C6" s="136" t="str">
        <f t="shared" si="0"/>
        <v/>
      </c>
      <c r="D6" s="47"/>
      <c r="E6" s="215"/>
      <c r="F6" s="216"/>
      <c r="G6" s="3"/>
    </row>
    <row r="7" spans="1:7" s="44" customFormat="1" x14ac:dyDescent="0.3">
      <c r="A7" s="46"/>
      <c r="B7" s="46"/>
      <c r="C7" s="137" t="str">
        <f t="shared" si="0"/>
        <v/>
      </c>
      <c r="D7" s="47"/>
      <c r="E7" s="215"/>
      <c r="F7" s="216"/>
      <c r="G7" s="3"/>
    </row>
    <row r="8" spans="1:7" s="44" customFormat="1" x14ac:dyDescent="0.3">
      <c r="A8" s="46"/>
      <c r="B8" s="46"/>
      <c r="C8" s="137" t="str">
        <f t="shared" si="0"/>
        <v/>
      </c>
      <c r="D8" s="47"/>
      <c r="E8" s="215"/>
      <c r="F8" s="216"/>
      <c r="G8" s="3"/>
    </row>
    <row r="9" spans="1:7" s="44" customFormat="1" x14ac:dyDescent="0.3">
      <c r="A9" s="46"/>
      <c r="B9" s="46"/>
      <c r="C9" s="137" t="str">
        <f t="shared" si="0"/>
        <v/>
      </c>
      <c r="D9" s="47"/>
      <c r="E9" s="215"/>
      <c r="F9" s="216"/>
      <c r="G9" s="3"/>
    </row>
    <row r="10" spans="1:7" s="44" customFormat="1" ht="15" thickBot="1" x14ac:dyDescent="0.35">
      <c r="A10" s="48"/>
      <c r="B10" s="48"/>
      <c r="C10" s="138" t="str">
        <f t="shared" si="0"/>
        <v/>
      </c>
      <c r="D10" s="49"/>
      <c r="E10" s="217"/>
      <c r="F10" s="218"/>
      <c r="G10" s="3"/>
    </row>
    <row r="11" spans="1:7" s="44" customFormat="1" ht="15" thickBot="1" x14ac:dyDescent="0.35">
      <c r="A11" s="145" t="s">
        <v>28</v>
      </c>
      <c r="B11" s="68">
        <f>SUM(B3:B10)</f>
        <v>0</v>
      </c>
      <c r="C11" s="145" t="str">
        <f xml:space="preserve"> setValueToTime(B11)</f>
        <v>0h</v>
      </c>
      <c r="D11" s="105"/>
      <c r="E11" s="219"/>
      <c r="F11" s="220"/>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 Sadriu</dc:creator>
  <cp:lastModifiedBy>Leonar Sadriu</cp:lastModifiedBy>
  <cp:lastPrinted>2024-05-21T13:24:14Z</cp:lastPrinted>
  <dcterms:created xsi:type="dcterms:W3CDTF">1996-10-21T11:03:58Z</dcterms:created>
  <dcterms:modified xsi:type="dcterms:W3CDTF">2024-06-02T21:00:47Z</dcterms:modified>
</cp:coreProperties>
</file>