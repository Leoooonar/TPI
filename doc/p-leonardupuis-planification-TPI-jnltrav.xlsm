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808E1062-81CE-4FE5-8D86-66717A0D60A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318" i="12"/>
  <c r="C316" i="12"/>
  <c r="C24" i="12"/>
  <c r="C60" i="12"/>
  <c r="C48" i="12"/>
  <c r="C72" i="12"/>
  <c r="C156" i="12"/>
  <c r="C300" i="12"/>
  <c r="C36" i="12"/>
  <c r="C324" i="12"/>
  <c r="C292" i="12"/>
  <c r="C282" i="12"/>
  <c r="C108" i="12"/>
  <c r="C96" i="12"/>
  <c r="C304" i="12"/>
  <c r="C281" i="12"/>
  <c r="C312" i="12"/>
  <c r="C305" i="12"/>
  <c r="C288" i="12"/>
  <c r="C317" i="12"/>
  <c r="C280" i="12"/>
  <c r="C180" i="12"/>
  <c r="C12" i="12"/>
  <c r="C168" i="12"/>
  <c r="C84" i="12"/>
  <c r="C120" i="12"/>
  <c r="C132"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C199" i="12"/>
  <c r="C210" i="12"/>
  <c r="C198" i="12"/>
  <c r="C197" i="12"/>
  <c r="C196" i="12"/>
  <c r="C204" i="12"/>
  <c r="C209" i="12"/>
  <c r="C216" i="12"/>
  <c r="C208" i="12"/>
  <c r="C187" i="12"/>
  <c r="C186" i="12"/>
  <c r="C185" i="12"/>
  <c r="C192" i="12"/>
  <c r="C18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<sst xmlns="http://schemas.openxmlformats.org/spreadsheetml/2006/main" count="1163" uniqueCount="191">
  <si>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</si>
  <si>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</si>
  <si>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</si>
  <si>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</si>
  <si>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</si>
  <si>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</si>
  <si>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</si>
  <si>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</si>
  <si>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</si>
  <si>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</si>
  <si>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</si>
  <si>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</si>
  <si>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</si>
  <si>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</si>
  <si>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</si>
  <si>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</si>
  <si>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</si>
  <si>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</si>
  <si>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</si>
  <si>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</si>
  <si>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</si>
  <si>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</si>
  <si>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</si>
  <si>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</si>
  <si>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</si>
  <si>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</si>
  <si>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</si>
  <si>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</si>
  <si>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</si>
  <si>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</si>
  <si>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</si>
  <si>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</si>
  <si>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</si>
  <si>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</si>
  <si>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</si>
  <si>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</si>
  <si>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</si>
  <si>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</si>
  <si>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</si>
  <si>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</si>
  <si>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</si>
  <si>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</si>
  <si>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</si>
  <si>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</si>
  <si>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</si>
  <si>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</si>
  <si>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</si>
  <si>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</si>
  <si>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</si>
  <si>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</si>
  <si>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</si>
  <si>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</si>
  <si>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</si>
  <si>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</si>
  <si>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</si>
  <si>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</si>
  <si>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</si>
  <si>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</si>
  <si>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</si>
  <si>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</si>
  <si>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</si>
  <si>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</si>
  <si>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</si>
  <si>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</si>
  <si>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</si>
  <si>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</si>
  <si>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</si>
  <si>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</si>
  <si>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</si>
  <si>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</si>
  <si>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</si>
  <si>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</si>
  <si>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</si>
  <si>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</si>
  <si>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</si>
  <si>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</si>
  <si>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</si>
  <si>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</si>
  <si>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</si>
  <si>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</si>
  <si>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</si>
  <si>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</si>
  <si>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</si>
  <si>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</si>
  <si>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</si>
  <si>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</si>
  <si>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</si>
  <si>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</si>
  <si>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</si>
  <si>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</si>
  <si>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</si>
  <si>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</si>
  <si>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</si>
  <si>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</si>
  <si>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</si>
  <si>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</si>
  <si>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</si>
  <si>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</si>
  <si>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</si>
  <si>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</si>
  <si>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</si>
  <si>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</si>
  <si>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</si>
  <si>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</si>
  <si>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</si>
  <si>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</si>
  <si>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</si>
  <si>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</si>
  <si>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</si>
  <si>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</si>
  <si>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</si>
  <si>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</si>
  <si>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</si>
  <si>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</si>
  <si>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</si>
  <si>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</si>
  <si>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</si>
  <si>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</si>
  <si>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</si>
  <si>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</si>
  <si>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</si>
  <si>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</si>
  <si>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</si>
  <si>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</si>
  <si>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</si>
  <si>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</si>
  <si>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</si>
  <si>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</si>
  <si>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</si>
  <si>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</si>
  <si>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</si>
  <si>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</si>
  <si>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</si>
  <si>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</si>
  <si>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</si>
  <si>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</si>
  <si>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</si>
  <si>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</si>
  <si>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</si>
  <si>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</si>
  <si>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</si>
  <si>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</si>
  <si>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</si>
  <si>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</si>
  <si>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</si>
  <si>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</si>
  <si>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</si>
  <si>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</si>
  <si>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</si>
  <si>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</si>
  <si>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</si>
  <si>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</si>
  <si>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</si>
  <si>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</si>
  <si>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</si>
  <si>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</si>
  <si>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</si>
  <si>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</si>
  <si>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</si>
  <si>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</si>
  <si>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</si>
  <si>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</si>
  <si>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</si>
  <si>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</si>
  <si>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</si>
  <si>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</si>
  <si>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</si>
  <si>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</si>
  <si>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</si>
  <si>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</si>
  <si>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</si>
  <si>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</si>
  <si>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</si>
  <si>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</si>
  <si>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</si>
  <si>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</si>
  <si>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</si>
  <si>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</si>
  <si>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</si>
  <si>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https://www.w3schools.com/php/php_mysql_prepared_statements.asp</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</si>
  <si>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</si>
  <si>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</si>
  <si>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</si>
  <si>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</si>
  <si>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</si>
  <si>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Documentation concernant la structure d'un queryPrepare();</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</si>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</sst>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9"/>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strLit>
          </c:cat>
          <c:val>
            <c:numLit>
              <c:formatCode>General</c:formatCode>
              <c:ptCount val="19"/>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9"/>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freepik.com/free-vector/people-doing-summer-sports_9447449.ht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w3schools.com/php/php_mysql_prepared_statements.asp" TargetMode="External"/><Relationship Id="rId10" Type="http://schemas.openxmlformats.org/officeDocument/2006/relationships/image" Target="../media/image5.emf"/><Relationship Id="rId4" Type="http://schemas.openxmlformats.org/officeDocument/2006/relationships/hyperlink" Target="https://www.lucidchart.com/blog/fr/bases-de-donnees-mcd-mld-et-mpd"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t="s">
        <v>187</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170"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77" activePane="bottomLeft" state="frozen"/>
      <selection pane="bottomLeft" activeCell="E187" sqref="E187:F18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0</v>
      </c>
      <c r="C72" s="162" t="str">
        <f xml:space="preserve"> setValueToTime(B72)</f>
        <v>0h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0</v>
      </c>
      <c r="C84" s="162" t="str">
        <f xml:space="preserve"> setValueToTime(B84)</f>
        <v>0h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0</v>
      </c>
      <c r="C96" s="162" t="str">
        <f xml:space="preserve"> setValueToTime(B96)</f>
        <v>0h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0</v>
      </c>
      <c r="C108" s="162" t="str">
        <f xml:space="preserve"> setValueToTime(B108)</f>
        <v>0h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0</v>
      </c>
      <c r="C120" s="162" t="str">
        <f xml:space="preserve"> setValueToTime(B120)</f>
        <v>0h</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0</v>
      </c>
      <c r="C132" s="162" t="str">
        <f xml:space="preserve"> setValueToTime(B132)</f>
        <v>0h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0</v>
      </c>
      <c r="C144" s="162" t="str">
        <f xml:space="preserve"> setValueToTime(B144)</f>
        <v>0h</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0</v>
      </c>
      <c r="C156" s="162" t="str">
        <f xml:space="preserve"> setValueToTime(B156)</f>
        <v>0h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0</v>
      </c>
      <c r="C168" s="162" t="str">
        <f xml:space="preserve"> setValueToTime(B168)</f>
        <v>0h</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0</v>
      </c>
      <c r="C180" s="162" t="str">
        <f xml:space="preserve"> setValueToTime(B180)</f>
        <v>0h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ht="67.5" x14ac:dyDescent="0.3">
      <c r="A184" s="48" t="s">
        <v>83</v>
      </c>
      <c r="B184" s="49">
        <v>6</v>
      </c>
      <c r="C184" s="152" t="str">
        <f xml:space="preserve"> IF(B184="","",setValueToTime(B184))</f>
        <v>0h30min</v>
      </c>
      <c r="D184" s="179" t="s">
        <v>186</v>
      </c>
      <c r="E184" s="229"/>
      <c r="F184" s="230"/>
      <c r="G184" s="51"/>
    </row>
    <row r="185" spans="1:7" s="52" customFormat="1" ht="27" x14ac:dyDescent="0.3">
      <c r="A185" s="53" t="s">
        <v>187</v>
      </c>
      <c r="B185" s="54">
        <v>16</v>
      </c>
      <c r="C185" s="153" t="str">
        <f t="shared" ref="C185:C191" si="15" xml:space="preserve"> IF(B185="","",setValueToTime(B185))</f>
        <v>1h20min</v>
      </c>
      <c r="D185" s="178" t="s">
        <v>189</v>
      </c>
      <c r="E185" s="231"/>
      <c r="F185" s="232"/>
      <c r="G185" s="51"/>
    </row>
    <row r="186" spans="1:7" s="52" customFormat="1" ht="27" x14ac:dyDescent="0.3">
      <c r="A186" s="53" t="s">
        <v>15</v>
      </c>
      <c r="B186" s="54">
        <v>4</v>
      </c>
      <c r="C186" s="153" t="str">
        <f t="shared" si="15"/>
        <v>0h20min</v>
      </c>
      <c r="D186" s="178" t="s">
        <v>188</v>
      </c>
      <c r="E186" s="231"/>
      <c r="F186" s="232"/>
      <c r="G186" s="51"/>
    </row>
    <row r="187" spans="1:7" s="52" customFormat="1" ht="81" x14ac:dyDescent="0.3">
      <c r="A187" s="53" t="s">
        <v>16</v>
      </c>
      <c r="B187" s="54">
        <v>2</v>
      </c>
      <c r="C187" s="153" t="str">
        <f t="shared" si="15"/>
        <v>0h10min</v>
      </c>
      <c r="D187" s="178" t="s">
        <v>190</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28</v>
      </c>
      <c r="C192" s="162" t="str">
        <f xml:space="preserve"> setValueToTime(B192)</f>
        <v>2h20min</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ht="27.75" thickBot="1" x14ac:dyDescent="0.35">
      <c r="A196" s="48" t="s">
        <v>66</v>
      </c>
      <c r="B196" s="49">
        <v>2</v>
      </c>
      <c r="C196" s="152" t="str">
        <f xml:space="preserve"> IF(B196="","",setValueToTime(B196))</f>
        <v>0h10min</v>
      </c>
      <c r="D196" s="179" t="s">
        <v>185</v>
      </c>
      <c r="E196" s="241" t="s">
        <v>179</v>
      </c>
      <c r="F196" s="230"/>
      <c r="G196" s="51"/>
    </row>
    <row r="197" spans="1:7" s="52" customFormat="1" ht="27" x14ac:dyDescent="0.3">
      <c r="A197" s="48" t="s">
        <v>49</v>
      </c>
      <c r="B197" s="49">
        <v>17</v>
      </c>
      <c r="C197" s="153" t="str">
        <f t="shared" ref="C197:C203" si="16" xml:space="preserve"> IF(B197="","",setValueToTime(B197))</f>
        <v>1h25min</v>
      </c>
      <c r="D197" s="179" t="s">
        <v>178</v>
      </c>
      <c r="E197" s="231"/>
      <c r="F197" s="232"/>
      <c r="G197" s="51"/>
    </row>
    <row r="198" spans="1:7" s="52" customFormat="1" ht="27" x14ac:dyDescent="0.3">
      <c r="A198" s="53" t="s">
        <v>15</v>
      </c>
      <c r="B198" s="54">
        <v>7</v>
      </c>
      <c r="C198" s="153" t="str">
        <f t="shared" si="16"/>
        <v>0h35min</v>
      </c>
      <c r="D198" s="178" t="s">
        <v>183</v>
      </c>
      <c r="E198" s="231"/>
      <c r="F198" s="232"/>
      <c r="G198" s="51"/>
    </row>
    <row r="199" spans="1:7" s="52" customFormat="1" ht="54" x14ac:dyDescent="0.3">
      <c r="A199" s="53" t="s">
        <v>16</v>
      </c>
      <c r="B199" s="54">
        <v>2</v>
      </c>
      <c r="C199" s="153" t="str">
        <f t="shared" si="16"/>
        <v>0h10min</v>
      </c>
      <c r="D199" s="178" t="s">
        <v>184</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28</v>
      </c>
      <c r="C204" s="162" t="str">
        <f xml:space="preserve"> setValueToTime(B204)</f>
        <v>2h20min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ht="27" x14ac:dyDescent="0.3">
      <c r="A208" s="48" t="s">
        <v>49</v>
      </c>
      <c r="B208" s="49">
        <v>40</v>
      </c>
      <c r="C208" s="152" t="str">
        <f xml:space="preserve"> IF(B208="","",setValueToTime(B208))</f>
        <v>3h20min</v>
      </c>
      <c r="D208" s="179" t="s">
        <v>180</v>
      </c>
      <c r="E208" s="229"/>
      <c r="F208" s="230"/>
      <c r="G208" s="51"/>
    </row>
    <row r="209" spans="1:7" s="52" customFormat="1" ht="40.5" x14ac:dyDescent="0.3">
      <c r="A209" s="53" t="s">
        <v>56</v>
      </c>
      <c r="B209" s="54">
        <v>6</v>
      </c>
      <c r="C209" s="153" t="str">
        <f t="shared" ref="C209:C215" si="17" xml:space="preserve"> IF(B209="","",setValueToTime(B209))</f>
        <v>0h30min</v>
      </c>
      <c r="D209" s="178" t="s">
        <v>182</v>
      </c>
      <c r="E209" s="231"/>
      <c r="F209" s="232"/>
      <c r="G209" s="51"/>
    </row>
    <row r="210" spans="1:7" s="52" customFormat="1" ht="54" x14ac:dyDescent="0.3">
      <c r="A210" s="53" t="s">
        <v>16</v>
      </c>
      <c r="B210" s="54">
        <v>2</v>
      </c>
      <c r="C210" s="153" t="str">
        <f t="shared" si="17"/>
        <v>0h10min</v>
      </c>
      <c r="D210" s="178" t="s">
        <v>181</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48</v>
      </c>
      <c r="C216" s="162" t="str">
        <f xml:space="preserve"> setValueToTime(B216)</f>
        <v>4h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1"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2"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1"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1"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72:B179 B160:B167 B148:B155 B136:B143 B124:B131 B112:B119 B100:B107 B88:B95 B76:B83 B64:B71 B52:B59 B40:B47 B28:B35 B16:B23 B196:B203"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72:A179 A160:A167 A148:A155 A136:A143 A124:A131 A112:A119 A100:A107 A88:A95 A76:A83 A64:A71 A52:A59 A40:A47 A28:A35 A16:A23 A196:A203"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2024-05-22T09:22:06Z</dcterms:modified>
</cp:coreProperties>
</file>