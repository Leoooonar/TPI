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E850132D-5380-4928-BFEB-07420500C062}" xr6:coauthVersionLast="47" xr6:coauthVersionMax="47" xr10:uidLastSave="{00000000-0000-0000-0000-000000000000}"/>
  <bookViews>
    <workbookView xWindow="3180" yWindow="159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B156" i="12"/>
  <c r="C155" i="12"/>
  <c r="C154" i="12"/>
  <c r="C153" i="12"/>
  <c r="C152" i="12"/>
  <c r="B168" i="12"/>
  <c r="C167" i="12"/>
  <c r="C166" i="12"/>
  <c r="C165" i="12"/>
  <c r="C164" i="12"/>
  <c r="C163" i="12"/>
  <c r="C162" i="12"/>
  <c r="B180" i="12"/>
  <c r="C179" i="12"/>
  <c r="C178" i="12"/>
  <c r="C177" i="12"/>
  <c r="C176"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318" i="12"/>
  <c r="C316" i="12"/>
  <c r="C24" i="12"/>
  <c r="C60" i="12"/>
  <c r="C48" i="12"/>
  <c r="C72" i="12"/>
  <c r="C300" i="12"/>
  <c r="C36" i="12"/>
  <c r="C324" i="12"/>
  <c r="C292" i="12"/>
  <c r="C282" i="12"/>
  <c r="C108" i="12"/>
  <c r="C96" i="12"/>
  <c r="C304" i="12"/>
  <c r="C281" i="12"/>
  <c r="C312" i="12"/>
  <c r="C305" i="12"/>
  <c r="C288" i="12"/>
  <c r="C317" i="12"/>
  <c r="C280" i="12"/>
  <c r="C12" i="12"/>
  <c r="C84" i="12"/>
  <c r="C120" i="12"/>
  <c r="C132"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C199" i="12"/>
  <c r="C210" i="12"/>
  <c r="C198" i="12"/>
  <c r="C197" i="12"/>
  <c r="C196" i="12"/>
  <c r="C204" i="12"/>
  <c r="C209" i="12"/>
  <c r="C216" i="12"/>
  <c r="C208" i="12"/>
  <c r="C187" i="12"/>
  <c r="C186" i="12"/>
  <c r="C185" i="12"/>
  <c r="C192" i="12"/>
  <c r="C184" i="12"/>
  <c r="C161" i="12"/>
  <c r="C168" i="12"/>
  <c r="C160" i="12"/>
  <c r="C150" i="12"/>
  <c r="C151" i="12"/>
  <c r="C149" i="12"/>
  <c r="C156" i="12"/>
  <c r="C148" i="12"/>
  <c r="C137" i="12"/>
  <c r="C144" i="12"/>
  <c r="C136" i="12"/>
  <c r="C172" i="12"/>
  <c r="C173" i="12"/>
  <c r="C174" i="12"/>
  <c r="C180" i="12"/>
  <c r="C17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<sst xmlns="http://schemas.openxmlformats.org/spreadsheetml/2006/main" count="1186" uniqueCount="203">
  <si>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</si>
  <si>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</si>
  <si>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</si>
  <si>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</si>
  <si>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</si>
  <si>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</si>
  <si>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</si>
  <si>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</si>
  <si>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</si>
  <si>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</si>
  <si>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</si>
  <si>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</si>
  <si>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</si>
  <si>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</si>
  <si>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</si>
  <si>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</si>
  <si>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</si>
  <si>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</si>
  <si>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</si>
  <si>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</si>
  <si>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</si>
  <si>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</si>
  <si>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</si>
  <si>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</si>
  <si>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</si>
  <si>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</si>
  <si>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</si>
  <si>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</si>
  <si>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</si>
  <si>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</si>
  <si>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</si>
  <si>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</si>
  <si>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</si>
  <si>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</si>
  <si>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</si>
  <si>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</si>
  <si>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</si>
  <si>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</si>
  <si>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</si>
  <si>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</si>
  <si>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</si>
  <si>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</si>
  <si>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</si>
  <si>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</si>
  <si>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</si>
  <si>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</si>
  <si>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</si>
  <si>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</si>
  <si>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</si>
  <si>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</si>
  <si>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</si>
  <si>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</si>
  <si>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</si>
  <si>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</si>
  <si>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</si>
  <si>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</si>
  <si>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</si>
  <si>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</si>
  <si>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</si>
  <si>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</si>
  <si>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</si>
  <si>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</si>
  <si>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</si>
  <si>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</si>
  <si>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</si>
  <si>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</si>
  <si>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</si>
  <si>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</si>
  <si>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</si>
  <si>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</si>
  <si>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</si>
  <si>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</si>
  <si>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</si>
  <si>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</si>
  <si>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</si>
  <si>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</si>
  <si>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</si>
  <si>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</si>
  <si>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</si>
  <si>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</si>
  <si>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</si>
  <si>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</si>
  <si>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</si>
  <si>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</si>
  <si>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</si>
  <si>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</si>
  <si>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</si>
  <si>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</si>
  <si>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</si>
  <si>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</si>
  <si>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</si>
  <si>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</si>
  <si>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</si>
  <si>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</si>
  <si>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</si>
  <si>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</si>
  <si>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</si>
  <si>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</si>
  <si>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</si>
  <si>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</si>
  <si>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</si>
  <si>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</si>
  <si>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</si>
  <si>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</si>
  <si>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</si>
  <si>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</si>
  <si>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</si>
  <si>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</si>
  <si>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</si>
  <si>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</si>
  <si>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</si>
  <si>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</si>
  <si>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</si>
  <si>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</si>
  <si>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</si>
  <si>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</si>
  <si>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</si>
  <si>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</si>
  <si>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</si>
  <si>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</si>
  <si>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</si>
  <si>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</si>
  <si>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</si>
  <si>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</si>
  <si>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</si>
  <si>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</si>
  <si>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</si>
  <si>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</si>
  <si>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</si>
  <si>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</si>
  <si>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</si>
  <si>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</si>
  <si>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</si>
  <si>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</si>
  <si>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</si>
  <si>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</si>
  <si>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</si>
  <si>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</si>
  <si>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</si>
  <si>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</si>
  <si>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</si>
  <si>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</si>
  <si>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</si>
  <si>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</si>
  <si>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</si>
  <si>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</si>
  <si>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</si>
  <si>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</si>
  <si>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</si>
  <si>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</si>
  <si>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</si>
  <si>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</si>
  <si>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</si>
  <si>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</si>
  <si>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</si>
  <si>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</si>
  <si>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</si>
  <si>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</si>
  <si>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</si>
  <si>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</si>
  <si>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</si>
  <si>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</si>
  <si>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</si>
  <si>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</si>
  <si>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</si>
  <si>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</si>
  <si>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</si>
  <si>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</si>
  <si>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</si>
  <si>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</si>
  <si>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</si>
  <si>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</si>
  <si>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</si>
  <si>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</si>
  <si>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</si>
  <si>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</si>
  <si>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</si>
  <si>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</si>
  <si>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</si>
  <si>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</si>
  <si>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</si>
  <si>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</si>
  <si>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</si>
  <si>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</si>
  <si>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</si>
  <si>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</si>
  <si>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</si>
  <si>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</si>
  <si>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</si>
  <si>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</si>
  <si>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</si>
  <si>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</si>
  <si>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</si>
  <si>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</si>
  <si>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</si>
  <si>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</si>
  <si>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</si>
  <si>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Documentation concernant la structure d'un queryPrepare(); et pour la futur implémentation "CRUD" à faire</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</si>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</sst>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freepik.com/free-vector/people-doing-summer-sports_9447449.htm"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image" Target="../media/image5.emf"/><Relationship Id="rId5" Type="http://schemas.openxmlformats.org/officeDocument/2006/relationships/hyperlink" Target="https://www.w3schools.com/php/php_mysql_prepared_statements.asp" TargetMode="External"/><Relationship Id="rId10" Type="http://schemas.openxmlformats.org/officeDocument/2006/relationships/control" Target="../activeX/activeX4.xml"/><Relationship Id="rId4" Type="http://schemas.openxmlformats.org/officeDocument/2006/relationships/hyperlink" Target="https://www.lucidchart.com/blog/fr/bases-de-donnees-mcd-mld-et-mpd"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t="s">
        <v>185</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170"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36" activePane="bottomLeft" state="frozen"/>
      <selection pane="bottomLeft" activeCell="E137" sqref="E137:F13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0</v>
      </c>
      <c r="C72" s="162" t="str">
        <f xml:space="preserve"> setValueToTime(B72)</f>
        <v>0h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0</v>
      </c>
      <c r="C84" s="162" t="str">
        <f xml:space="preserve"> setValueToTime(B84)</f>
        <v>0h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0</v>
      </c>
      <c r="C96" s="162" t="str">
        <f xml:space="preserve"> setValueToTime(B96)</f>
        <v>0h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0</v>
      </c>
      <c r="C108" s="162" t="str">
        <f xml:space="preserve"> setValueToTime(B108)</f>
        <v>0h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0</v>
      </c>
      <c r="C120" s="162" t="str">
        <f xml:space="preserve"> setValueToTime(B120)</f>
        <v>0h</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0</v>
      </c>
      <c r="C132" s="162" t="str">
        <f xml:space="preserve"> setValueToTime(B132)</f>
        <v>0h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ht="94.5" x14ac:dyDescent="0.3">
      <c r="A136" s="48" t="s">
        <v>15</v>
      </c>
      <c r="B136" s="49">
        <v>34</v>
      </c>
      <c r="C136" s="152" t="str">
        <f xml:space="preserve"> IF(B136="","",setValueToTime(B136))</f>
        <v>2h50min</v>
      </c>
      <c r="D136" s="179" t="s">
        <v>201</v>
      </c>
      <c r="E136" s="229"/>
      <c r="F136" s="230"/>
      <c r="G136" s="51"/>
    </row>
    <row r="137" spans="1:7" s="52" customFormat="1" ht="67.5" x14ac:dyDescent="0.3">
      <c r="A137" s="53" t="s">
        <v>16</v>
      </c>
      <c r="B137" s="54">
        <v>4</v>
      </c>
      <c r="C137" s="153" t="str">
        <f t="shared" ref="C137:C143" si="11" xml:space="preserve"> IF(B137="","",setValueToTime(B137))</f>
        <v>0h20min</v>
      </c>
      <c r="D137" s="178" t="s">
        <v>202</v>
      </c>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38</v>
      </c>
      <c r="C144" s="162" t="str">
        <f xml:space="preserve"> setValueToTime(B144)</f>
        <v>3h10min</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ht="108" x14ac:dyDescent="0.3">
      <c r="A148" s="48" t="s">
        <v>83</v>
      </c>
      <c r="B148" s="49">
        <v>18</v>
      </c>
      <c r="C148" s="152" t="str">
        <f xml:space="preserve"> IF(B148="","",setValueToTime(B148))</f>
        <v>1h30min</v>
      </c>
      <c r="D148" s="179" t="s">
        <v>194</v>
      </c>
      <c r="E148" s="229"/>
      <c r="F148" s="230"/>
      <c r="G148" s="51"/>
    </row>
    <row r="149" spans="1:7" s="52" customFormat="1" ht="27" x14ac:dyDescent="0.3">
      <c r="A149" s="53" t="s">
        <v>80</v>
      </c>
      <c r="B149" s="54">
        <v>28</v>
      </c>
      <c r="C149" s="153" t="str">
        <f t="shared" ref="C149:C155" si="12" xml:space="preserve"> IF(B149="","",setValueToTime(B149))</f>
        <v>2h20min</v>
      </c>
      <c r="D149" s="178" t="s">
        <v>195</v>
      </c>
      <c r="E149" s="231"/>
      <c r="F149" s="232"/>
      <c r="G149" s="51"/>
    </row>
    <row r="150" spans="1:7" s="52" customFormat="1" ht="54" x14ac:dyDescent="0.3">
      <c r="A150" s="53" t="s">
        <v>16</v>
      </c>
      <c r="B150" s="54">
        <v>2</v>
      </c>
      <c r="C150" s="153" t="str">
        <f t="shared" si="12"/>
        <v>0h10min</v>
      </c>
      <c r="D150" s="178" t="s">
        <v>196</v>
      </c>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48</v>
      </c>
      <c r="C156" s="162" t="str">
        <f xml:space="preserve"> setValueToTime(B156)</f>
        <v>4h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ht="40.5" x14ac:dyDescent="0.3">
      <c r="A160" s="48" t="s">
        <v>50</v>
      </c>
      <c r="B160" s="49">
        <v>36</v>
      </c>
      <c r="C160" s="152" t="str">
        <f xml:space="preserve"> IF(B160="","",setValueToTime(B160))</f>
        <v>3h</v>
      </c>
      <c r="D160" s="179" t="s">
        <v>192</v>
      </c>
      <c r="E160" s="229"/>
      <c r="F160" s="230"/>
      <c r="G160" s="51"/>
    </row>
    <row r="161" spans="1:7" s="52" customFormat="1" ht="27" x14ac:dyDescent="0.3">
      <c r="A161" s="53" t="s">
        <v>16</v>
      </c>
      <c r="B161" s="54">
        <v>2</v>
      </c>
      <c r="C161" s="153" t="str">
        <f t="shared" ref="C161:C167" si="13" xml:space="preserve"> IF(B161="","",setValueToTime(B161))</f>
        <v>0h10min</v>
      </c>
      <c r="D161" s="178" t="s">
        <v>193</v>
      </c>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38</v>
      </c>
      <c r="C168" s="162" t="str">
        <f xml:space="preserve"> setValueToTime(B168)</f>
        <v>3h10min</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ht="54.75" thickBot="1" x14ac:dyDescent="0.35">
      <c r="A172" s="48" t="s">
        <v>83</v>
      </c>
      <c r="B172" s="49">
        <v>8</v>
      </c>
      <c r="C172" s="152" t="str">
        <f xml:space="preserve"> IF(B172="","",setValueToTime(B172))</f>
        <v>0h40min</v>
      </c>
      <c r="D172" s="179" t="s">
        <v>190</v>
      </c>
      <c r="E172" s="229"/>
      <c r="F172" s="230"/>
      <c r="G172" s="51"/>
    </row>
    <row r="173" spans="1:7" s="52" customFormat="1" ht="27.75" thickBot="1" x14ac:dyDescent="0.35">
      <c r="A173" s="48" t="s">
        <v>66</v>
      </c>
      <c r="B173" s="49">
        <v>2</v>
      </c>
      <c r="C173" s="153" t="str">
        <f t="shared" ref="C173:C179" si="14" xml:space="preserve"> IF(B173="","",setValueToTime(B173))</f>
        <v>0h10min</v>
      </c>
      <c r="D173" s="179" t="s">
        <v>200</v>
      </c>
      <c r="E173" s="242" t="s">
        <v>199</v>
      </c>
      <c r="F173" s="232"/>
      <c r="G173" s="51"/>
    </row>
    <row r="174" spans="1:7" s="52" customFormat="1" ht="40.5" x14ac:dyDescent="0.3">
      <c r="A174" s="48" t="s">
        <v>50</v>
      </c>
      <c r="B174" s="54">
        <v>36</v>
      </c>
      <c r="C174" s="153" t="str">
        <f t="shared" si="14"/>
        <v>3h</v>
      </c>
      <c r="D174" s="178" t="s">
        <v>191</v>
      </c>
      <c r="E174" s="231"/>
      <c r="F174" s="232"/>
      <c r="G174" s="51"/>
    </row>
    <row r="175" spans="1:7" s="52" customFormat="1" ht="40.5" x14ac:dyDescent="0.3">
      <c r="A175" s="53" t="s">
        <v>16</v>
      </c>
      <c r="B175" s="54">
        <v>2</v>
      </c>
      <c r="C175" s="153" t="str">
        <f t="shared" si="14"/>
        <v>0h10min</v>
      </c>
      <c r="D175" s="178" t="s">
        <v>189</v>
      </c>
      <c r="E175" s="231"/>
      <c r="F175" s="232"/>
      <c r="G175" s="51"/>
    </row>
    <row r="176" spans="1:7" s="52" customFormat="1" x14ac:dyDescent="0.3">
      <c r="A176" s="53"/>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48</v>
      </c>
      <c r="C180" s="162" t="str">
        <f xml:space="preserve"> setValueToTime(B180)</f>
        <v>4h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ht="67.5" x14ac:dyDescent="0.3">
      <c r="A184" s="48" t="s">
        <v>83</v>
      </c>
      <c r="B184" s="49">
        <v>6</v>
      </c>
      <c r="C184" s="152" t="str">
        <f xml:space="preserve"> IF(B184="","",setValueToTime(B184))</f>
        <v>0h30min</v>
      </c>
      <c r="D184" s="179" t="s">
        <v>184</v>
      </c>
      <c r="E184" s="229"/>
      <c r="F184" s="230"/>
      <c r="G184" s="51"/>
    </row>
    <row r="185" spans="1:7" s="52" customFormat="1" ht="27" x14ac:dyDescent="0.3">
      <c r="A185" s="53" t="s">
        <v>185</v>
      </c>
      <c r="B185" s="54">
        <v>16</v>
      </c>
      <c r="C185" s="153" t="str">
        <f t="shared" ref="C185:C191" si="15" xml:space="preserve"> IF(B185="","",setValueToTime(B185))</f>
        <v>1h20min</v>
      </c>
      <c r="D185" s="178" t="s">
        <v>187</v>
      </c>
      <c r="E185" s="231"/>
      <c r="F185" s="232"/>
      <c r="G185" s="51"/>
    </row>
    <row r="186" spans="1:7" s="52" customFormat="1" ht="27" x14ac:dyDescent="0.3">
      <c r="A186" s="53" t="s">
        <v>15</v>
      </c>
      <c r="B186" s="54">
        <v>4</v>
      </c>
      <c r="C186" s="153" t="str">
        <f t="shared" si="15"/>
        <v>0h20min</v>
      </c>
      <c r="D186" s="178" t="s">
        <v>186</v>
      </c>
      <c r="E186" s="231"/>
      <c r="F186" s="232"/>
      <c r="G186" s="51"/>
    </row>
    <row r="187" spans="1:7" s="52" customFormat="1" ht="81" x14ac:dyDescent="0.3">
      <c r="A187" s="53" t="s">
        <v>16</v>
      </c>
      <c r="B187" s="54">
        <v>2</v>
      </c>
      <c r="C187" s="153" t="str">
        <f t="shared" si="15"/>
        <v>0h10min</v>
      </c>
      <c r="D187" s="178" t="s">
        <v>188</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28</v>
      </c>
      <c r="C192" s="162" t="str">
        <f xml:space="preserve"> setValueToTime(B192)</f>
        <v>2h20min</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ht="27.75" thickBot="1" x14ac:dyDescent="0.35">
      <c r="A196" s="48" t="s">
        <v>66</v>
      </c>
      <c r="B196" s="49">
        <v>2</v>
      </c>
      <c r="C196" s="152" t="str">
        <f xml:space="preserve"> IF(B196="","",setValueToTime(B196))</f>
        <v>0h10min</v>
      </c>
      <c r="D196" s="179" t="s">
        <v>197</v>
      </c>
      <c r="E196" s="241" t="s">
        <v>198</v>
      </c>
      <c r="F196" s="230"/>
      <c r="G196" s="51"/>
    </row>
    <row r="197" spans="1:7" s="52" customFormat="1" ht="27" x14ac:dyDescent="0.3">
      <c r="A197" s="48" t="s">
        <v>49</v>
      </c>
      <c r="B197" s="49">
        <v>17</v>
      </c>
      <c r="C197" s="153" t="str">
        <f t="shared" ref="C197:C203" si="16" xml:space="preserve"> IF(B197="","",setValueToTime(B197))</f>
        <v>1h25min</v>
      </c>
      <c r="D197" s="179" t="s">
        <v>178</v>
      </c>
      <c r="E197" s="231"/>
      <c r="F197" s="232"/>
      <c r="G197" s="51"/>
    </row>
    <row r="198" spans="1:7" s="52" customFormat="1" ht="27" x14ac:dyDescent="0.3">
      <c r="A198" s="53" t="s">
        <v>15</v>
      </c>
      <c r="B198" s="54">
        <v>7</v>
      </c>
      <c r="C198" s="153" t="str">
        <f t="shared" si="16"/>
        <v>0h35min</v>
      </c>
      <c r="D198" s="178" t="s">
        <v>182</v>
      </c>
      <c r="E198" s="231"/>
      <c r="F198" s="232"/>
      <c r="G198" s="51"/>
    </row>
    <row r="199" spans="1:7" s="52" customFormat="1" ht="54" x14ac:dyDescent="0.3">
      <c r="A199" s="53" t="s">
        <v>16</v>
      </c>
      <c r="B199" s="54">
        <v>2</v>
      </c>
      <c r="C199" s="153" t="str">
        <f t="shared" si="16"/>
        <v>0h10min</v>
      </c>
      <c r="D199" s="178" t="s">
        <v>183</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28</v>
      </c>
      <c r="C204" s="162" t="str">
        <f xml:space="preserve"> setValueToTime(B204)</f>
        <v>2h20min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ht="27" x14ac:dyDescent="0.3">
      <c r="A208" s="48" t="s">
        <v>49</v>
      </c>
      <c r="B208" s="49">
        <v>40</v>
      </c>
      <c r="C208" s="152" t="str">
        <f xml:space="preserve"> IF(B208="","",setValueToTime(B208))</f>
        <v>3h20min</v>
      </c>
      <c r="D208" s="179" t="s">
        <v>179</v>
      </c>
      <c r="E208" s="229"/>
      <c r="F208" s="230"/>
      <c r="G208" s="51"/>
    </row>
    <row r="209" spans="1:7" s="52" customFormat="1" ht="40.5" x14ac:dyDescent="0.3">
      <c r="A209" s="53" t="s">
        <v>56</v>
      </c>
      <c r="B209" s="54">
        <v>6</v>
      </c>
      <c r="C209" s="153" t="str">
        <f t="shared" ref="C209:C215" si="17" xml:space="preserve"> IF(B209="","",setValueToTime(B209))</f>
        <v>0h30min</v>
      </c>
      <c r="D209" s="178" t="s">
        <v>181</v>
      </c>
      <c r="E209" s="231"/>
      <c r="F209" s="232"/>
      <c r="G209" s="51"/>
    </row>
    <row r="210" spans="1:7" s="52" customFormat="1" ht="54" x14ac:dyDescent="0.3">
      <c r="A210" s="53" t="s">
        <v>16</v>
      </c>
      <c r="B210" s="54">
        <v>2</v>
      </c>
      <c r="C210" s="153" t="str">
        <f t="shared" si="17"/>
        <v>0h10min</v>
      </c>
      <c r="D210" s="178" t="s">
        <v>180</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48</v>
      </c>
      <c r="C216" s="162" t="str">
        <f xml:space="preserve"> setValueToTime(B216)</f>
        <v>4h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1"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2"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1"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1"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48:B155 B160:B167 B196:B203 B136:B143 B124:B131 B112:B119 B100:B107 B88:B95 B76:B83 B64:B71 B52:B59 B40:B47 B28:B35 B16:B23 B172:B17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24:A131 A112:A119 A100:A107 A88:A95 A76:A83 A64:A71 A52:A59 A40:A47 A28:A35 A16:A23 A172:A17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 ref="E173" r:id="rId6" xr:uid="{7B031803-4AEE-4583-BB93-40A1E80FA8F6}"/>
  </hyperlinks>
  <printOptions horizontalCentered="1" verticalCentered="1"/>
  <pageMargins left="0.78740157480314965" right="0.78740157480314965" top="0.98425196850393704" bottom="0.98425196850393704" header="0.51181102362204722" footer="0.51181102362204722"/>
  <pageSetup paperSize="9" scale="27" fitToHeight="4" orientation="landscape"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2024-05-24T14:21:56Z</dcterms:modified>
</cp:coreProperties>
</file>